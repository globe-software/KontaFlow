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/Downloads/"/>
    </mc:Choice>
  </mc:AlternateContent>
  <xr:revisionPtr revIDLastSave="0" documentId="13_ncr:1_{995A00D4-140F-2A47-83EE-E714F777D547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Resumen" sheetId="1" r:id="rId1"/>
    <sheet name="FacAnual" sheetId="3" r:id="rId2"/>
    <sheet name="Facturacion" sheetId="4" r:id="rId3"/>
    <sheet name="Irae" sheetId="5" r:id="rId4"/>
    <sheet name="Gastos" sheetId="7" r:id="rId5"/>
    <sheet name="CtaCteMN" sheetId="9" r:id="rId6"/>
    <sheet name="CtaCteUSS" sheetId="10" r:id="rId7"/>
    <sheet name="CertificadosFinal" sheetId="11" r:id="rId8"/>
    <sheet name="Prestamos" sheetId="14" r:id="rId9"/>
    <sheet name="APagar" sheetId="15" r:id="rId10"/>
  </sheets>
  <definedNames>
    <definedName name="_xlnm._FilterDatabase" localSheetId="2" hidden="1">Facturacion!$A$1:$R$1186</definedName>
    <definedName name="_xlnm._FilterDatabase" localSheetId="4" hidden="1">Gastos!$A$1:$AA$1420</definedName>
    <definedName name="Z_37306B67_734E_4E55_90C3_DA23EA5F66FD_.wvu.FilterData" localSheetId="6" hidden="1">CtaCteUSS!$A$6:$AC$619</definedName>
  </definedNames>
  <calcPr calcId="191029"/>
  <customWorkbookViews>
    <customWorkbookView name="Filter 1" guid="{37306B67-734E-4E55-90C3-DA23EA5F66F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5" l="1"/>
  <c r="I3" i="15" s="1"/>
  <c r="E35" i="15"/>
  <c r="H3" i="15"/>
  <c r="E21" i="14"/>
  <c r="I19" i="14"/>
  <c r="H19" i="14"/>
  <c r="I4" i="14"/>
  <c r="P39" i="11"/>
  <c r="P36" i="11"/>
  <c r="F36" i="11"/>
  <c r="O33" i="11"/>
  <c r="O27" i="11"/>
  <c r="E23" i="11"/>
  <c r="E24" i="11" s="1"/>
  <c r="E25" i="11" s="1"/>
  <c r="E26" i="11" s="1"/>
  <c r="E27" i="11" s="1"/>
  <c r="E22" i="11"/>
  <c r="E7" i="1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4" i="11"/>
  <c r="E5" i="11" s="1"/>
  <c r="E6" i="11" s="1"/>
  <c r="Y3" i="10"/>
  <c r="R3" i="10"/>
  <c r="K3" i="10"/>
  <c r="D3" i="10"/>
  <c r="P2" i="9"/>
  <c r="G2" i="9"/>
  <c r="I3" i="9" s="1"/>
  <c r="K1448" i="7"/>
  <c r="J1446" i="7"/>
  <c r="I1446" i="7" s="1"/>
  <c r="I1445" i="7"/>
  <c r="I1444" i="7"/>
  <c r="I1443" i="7"/>
  <c r="I1448" i="7" s="1"/>
  <c r="K1441" i="7"/>
  <c r="I1441" i="7"/>
  <c r="I1439" i="7"/>
  <c r="I1438" i="7"/>
  <c r="I1437" i="7"/>
  <c r="I1436" i="7"/>
  <c r="M1431" i="7"/>
  <c r="J1431" i="7"/>
  <c r="I1431" i="7"/>
  <c r="M1430" i="7"/>
  <c r="M1429" i="7"/>
  <c r="M1428" i="7"/>
  <c r="P1415" i="7"/>
  <c r="T1414" i="7"/>
  <c r="L1414" i="7"/>
  <c r="O1415" i="7" s="1"/>
  <c r="O1413" i="7"/>
  <c r="K1413" i="7"/>
  <c r="T1413" i="7" s="1"/>
  <c r="L1388" i="7"/>
  <c r="K1387" i="7"/>
  <c r="L1381" i="7"/>
  <c r="I1376" i="7"/>
  <c r="T1355" i="7" s="1"/>
  <c r="H1376" i="7"/>
  <c r="L1370" i="7"/>
  <c r="L1339" i="7"/>
  <c r="I1328" i="7"/>
  <c r="T1302" i="7" s="1"/>
  <c r="H1328" i="7"/>
  <c r="L1318" i="7"/>
  <c r="O1303" i="7" s="1"/>
  <c r="K1317" i="7"/>
  <c r="K1315" i="7"/>
  <c r="K1299" i="7"/>
  <c r="K1297" i="7"/>
  <c r="L1292" i="7"/>
  <c r="K1282" i="7"/>
  <c r="J1282" i="7"/>
  <c r="I1273" i="7"/>
  <c r="H1273" i="7"/>
  <c r="L1264" i="7"/>
  <c r="O1258" i="7" s="1"/>
  <c r="I1263" i="7"/>
  <c r="T1257" i="7" s="1"/>
  <c r="H1263" i="7"/>
  <c r="T1256" i="7"/>
  <c r="K1256" i="7"/>
  <c r="K1254" i="7"/>
  <c r="I1252" i="7"/>
  <c r="H1252" i="7"/>
  <c r="I1251" i="7"/>
  <c r="H1251" i="7"/>
  <c r="I1233" i="7"/>
  <c r="H1233" i="7"/>
  <c r="I1226" i="7"/>
  <c r="T1221" i="7" s="1"/>
  <c r="H1226" i="7"/>
  <c r="O1222" i="7"/>
  <c r="K1221" i="7"/>
  <c r="T1220" i="7" s="1"/>
  <c r="K1209" i="7"/>
  <c r="T1182" i="7" s="1"/>
  <c r="J1209" i="7"/>
  <c r="I1205" i="7"/>
  <c r="H1205" i="7"/>
  <c r="I1198" i="7"/>
  <c r="H1198" i="7"/>
  <c r="L1192" i="7"/>
  <c r="K1191" i="7"/>
  <c r="O1184" i="7"/>
  <c r="T1183" i="7"/>
  <c r="I1174" i="7"/>
  <c r="H1174" i="7"/>
  <c r="K1167" i="7"/>
  <c r="J1167" i="7"/>
  <c r="L1157" i="7"/>
  <c r="O1150" i="7" s="1"/>
  <c r="K1156" i="7"/>
  <c r="T1148" i="7" s="1"/>
  <c r="T1149" i="7"/>
  <c r="I1135" i="7"/>
  <c r="H1135" i="7"/>
  <c r="K1128" i="7"/>
  <c r="J1128" i="7"/>
  <c r="I1126" i="7"/>
  <c r="H1126" i="7"/>
  <c r="P1116" i="7"/>
  <c r="L1116" i="7"/>
  <c r="K1113" i="7"/>
  <c r="L1112" i="7"/>
  <c r="O1104" i="7" s="1"/>
  <c r="K1110" i="7"/>
  <c r="J1110" i="7"/>
  <c r="K1101" i="7"/>
  <c r="I1089" i="7"/>
  <c r="H1089" i="7"/>
  <c r="I1086" i="7"/>
  <c r="H1086" i="7"/>
  <c r="I1083" i="7"/>
  <c r="H1083" i="7"/>
  <c r="L1081" i="7"/>
  <c r="O1065" i="7" s="1"/>
  <c r="I1072" i="7"/>
  <c r="T1064" i="7" s="1"/>
  <c r="H1072" i="7"/>
  <c r="K1070" i="7"/>
  <c r="T1063" i="7"/>
  <c r="K1063" i="7"/>
  <c r="I1047" i="7"/>
  <c r="H1047" i="7"/>
  <c r="I1036" i="7"/>
  <c r="H1036" i="7"/>
  <c r="K1031" i="7"/>
  <c r="L1026" i="7"/>
  <c r="T1023" i="7"/>
  <c r="K1023" i="7"/>
  <c r="L1022" i="7"/>
  <c r="K1017" i="7"/>
  <c r="T970" i="7" s="1"/>
  <c r="I1014" i="7"/>
  <c r="H1014" i="7"/>
  <c r="I1010" i="7"/>
  <c r="H1010" i="7"/>
  <c r="I999" i="7"/>
  <c r="H999" i="7"/>
  <c r="I996" i="7"/>
  <c r="H996" i="7"/>
  <c r="I993" i="7"/>
  <c r="H993" i="7"/>
  <c r="I992" i="7"/>
  <c r="T971" i="7" s="1"/>
  <c r="H992" i="7"/>
  <c r="K981" i="7"/>
  <c r="L980" i="7"/>
  <c r="O972" i="7" s="1"/>
  <c r="K974" i="7"/>
  <c r="K973" i="7"/>
  <c r="I969" i="7"/>
  <c r="H969" i="7"/>
  <c r="I956" i="7"/>
  <c r="H956" i="7"/>
  <c r="I954" i="7"/>
  <c r="H954" i="7"/>
  <c r="I950" i="7"/>
  <c r="H950" i="7"/>
  <c r="I949" i="7"/>
  <c r="H949" i="7"/>
  <c r="K938" i="7"/>
  <c r="L937" i="7"/>
  <c r="K935" i="7"/>
  <c r="O929" i="7"/>
  <c r="T928" i="7"/>
  <c r="K927" i="7"/>
  <c r="T927" i="7" s="1"/>
  <c r="I924" i="7"/>
  <c r="H924" i="7"/>
  <c r="I921" i="7"/>
  <c r="H921" i="7"/>
  <c r="I920" i="7"/>
  <c r="H920" i="7"/>
  <c r="I912" i="7"/>
  <c r="H912" i="7"/>
  <c r="I908" i="7"/>
  <c r="T896" i="7" s="1"/>
  <c r="H908" i="7"/>
  <c r="I907" i="7"/>
  <c r="H907" i="7"/>
  <c r="L898" i="7"/>
  <c r="L896" i="7"/>
  <c r="K895" i="7"/>
  <c r="T895" i="7" s="1"/>
  <c r="L892" i="7"/>
  <c r="O897" i="7" s="1"/>
  <c r="I889" i="7"/>
  <c r="T859" i="7" s="1"/>
  <c r="H889" i="7"/>
  <c r="I878" i="7"/>
  <c r="H878" i="7"/>
  <c r="I875" i="7"/>
  <c r="H875" i="7"/>
  <c r="I874" i="7"/>
  <c r="H874" i="7"/>
  <c r="L862" i="7"/>
  <c r="O860" i="7"/>
  <c r="K857" i="7"/>
  <c r="T858" i="7" s="1"/>
  <c r="I844" i="7"/>
  <c r="H844" i="7"/>
  <c r="I841" i="7"/>
  <c r="H841" i="7"/>
  <c r="I838" i="7"/>
  <c r="H838" i="7"/>
  <c r="I837" i="7"/>
  <c r="H837" i="7"/>
  <c r="L825" i="7"/>
  <c r="O821" i="7" s="1"/>
  <c r="T820" i="7"/>
  <c r="T819" i="7"/>
  <c r="K819" i="7"/>
  <c r="I814" i="7"/>
  <c r="H814" i="7"/>
  <c r="I813" i="7"/>
  <c r="H813" i="7"/>
  <c r="I812" i="7"/>
  <c r="H812" i="7"/>
  <c r="I811" i="7"/>
  <c r="H811" i="7"/>
  <c r="I809" i="7"/>
  <c r="H809" i="7"/>
  <c r="I807" i="7"/>
  <c r="H807" i="7"/>
  <c r="I796" i="7"/>
  <c r="H796" i="7"/>
  <c r="I795" i="7"/>
  <c r="H795" i="7"/>
  <c r="L785" i="7"/>
  <c r="O779" i="7"/>
  <c r="K778" i="7"/>
  <c r="T777" i="7"/>
  <c r="I772" i="7"/>
  <c r="T744" i="7" s="1"/>
  <c r="H772" i="7"/>
  <c r="I771" i="7"/>
  <c r="H771" i="7"/>
  <c r="I761" i="7"/>
  <c r="H761" i="7"/>
  <c r="I760" i="7"/>
  <c r="H760" i="7"/>
  <c r="I758" i="7"/>
  <c r="H758" i="7"/>
  <c r="K749" i="7"/>
  <c r="L746" i="7"/>
  <c r="O745" i="7" s="1"/>
  <c r="K743" i="7"/>
  <c r="K742" i="7"/>
  <c r="I734" i="7"/>
  <c r="H734" i="7"/>
  <c r="I725" i="7"/>
  <c r="H725" i="7"/>
  <c r="I722" i="7"/>
  <c r="H722" i="7"/>
  <c r="L713" i="7"/>
  <c r="O703" i="7"/>
  <c r="T701" i="7"/>
  <c r="I701" i="7"/>
  <c r="H701" i="7"/>
  <c r="I698" i="7"/>
  <c r="H698" i="7"/>
  <c r="I696" i="7"/>
  <c r="H696" i="7"/>
  <c r="I693" i="7"/>
  <c r="H693" i="7"/>
  <c r="I685" i="7"/>
  <c r="H685" i="7"/>
  <c r="I684" i="7"/>
  <c r="H684" i="7"/>
  <c r="I681" i="7"/>
  <c r="H681" i="7"/>
  <c r="L672" i="7"/>
  <c r="K671" i="7"/>
  <c r="T667" i="7" s="1"/>
  <c r="O669" i="7"/>
  <c r="I665" i="7"/>
  <c r="H665" i="7"/>
  <c r="I661" i="7"/>
  <c r="H661" i="7"/>
  <c r="O653" i="7"/>
  <c r="T652" i="7"/>
  <c r="I651" i="7"/>
  <c r="H651" i="7"/>
  <c r="L638" i="7"/>
  <c r="K637" i="7"/>
  <c r="K636" i="7"/>
  <c r="K635" i="7"/>
  <c r="K634" i="7"/>
  <c r="K631" i="7"/>
  <c r="I627" i="7"/>
  <c r="H627" i="7"/>
  <c r="H617" i="7"/>
  <c r="K607" i="7"/>
  <c r="O602" i="7"/>
  <c r="K602" i="7"/>
  <c r="T601" i="7"/>
  <c r="K601" i="7"/>
  <c r="I594" i="7"/>
  <c r="H594" i="7"/>
  <c r="H584" i="7"/>
  <c r="L575" i="7"/>
  <c r="K571" i="7"/>
  <c r="L570" i="7"/>
  <c r="O565" i="7"/>
  <c r="K563" i="7"/>
  <c r="O562" i="7"/>
  <c r="K562" i="7"/>
  <c r="T561" i="7"/>
  <c r="L555" i="7"/>
  <c r="K539" i="7"/>
  <c r="I527" i="7"/>
  <c r="H527" i="7"/>
  <c r="K526" i="7"/>
  <c r="T522" i="7" s="1"/>
  <c r="T523" i="7"/>
  <c r="K504" i="7"/>
  <c r="I500" i="7"/>
  <c r="H500" i="7"/>
  <c r="K491" i="7"/>
  <c r="K489" i="7"/>
  <c r="I476" i="7"/>
  <c r="T474" i="7" s="1"/>
  <c r="H476" i="7"/>
  <c r="I474" i="7"/>
  <c r="H474" i="7"/>
  <c r="I470" i="7"/>
  <c r="H470" i="7"/>
  <c r="I450" i="7"/>
  <c r="T430" i="7" s="1"/>
  <c r="H450" i="7"/>
  <c r="K442" i="7"/>
  <c r="L441" i="7"/>
  <c r="L440" i="7"/>
  <c r="L439" i="7"/>
  <c r="K438" i="7"/>
  <c r="K430" i="7"/>
  <c r="K428" i="7"/>
  <c r="J426" i="7"/>
  <c r="K425" i="7"/>
  <c r="I404" i="7"/>
  <c r="H404" i="7"/>
  <c r="K398" i="7"/>
  <c r="T394" i="7" s="1"/>
  <c r="L397" i="7"/>
  <c r="L396" i="7"/>
  <c r="T395" i="7"/>
  <c r="L392" i="7"/>
  <c r="L384" i="7"/>
  <c r="K377" i="7"/>
  <c r="I374" i="7"/>
  <c r="H374" i="7"/>
  <c r="I365" i="7"/>
  <c r="H365" i="7"/>
  <c r="L363" i="7"/>
  <c r="L362" i="7"/>
  <c r="L361" i="7"/>
  <c r="L360" i="7"/>
  <c r="L359" i="7"/>
  <c r="L358" i="7"/>
  <c r="I357" i="7"/>
  <c r="H357" i="7"/>
  <c r="K350" i="7"/>
  <c r="L344" i="7"/>
  <c r="I344" i="7"/>
  <c r="K342" i="7"/>
  <c r="K341" i="7"/>
  <c r="K325" i="7"/>
  <c r="T305" i="7" s="1"/>
  <c r="H323" i="7"/>
  <c r="L317" i="7"/>
  <c r="L316" i="7"/>
  <c r="L315" i="7"/>
  <c r="T306" i="7"/>
  <c r="L294" i="7"/>
  <c r="T293" i="7"/>
  <c r="L293" i="7"/>
  <c r="O294" i="7" s="1"/>
  <c r="T292" i="7"/>
  <c r="O292" i="7"/>
  <c r="L292" i="7"/>
  <c r="K291" i="7"/>
  <c r="K286" i="7"/>
  <c r="K267" i="7"/>
  <c r="T247" i="7" s="1"/>
  <c r="I265" i="7"/>
  <c r="H265" i="7"/>
  <c r="L256" i="7"/>
  <c r="O249" i="7" s="1"/>
  <c r="J250" i="7"/>
  <c r="T248" i="7"/>
  <c r="I243" i="7"/>
  <c r="H243" i="7"/>
  <c r="I242" i="7"/>
  <c r="H242" i="7"/>
  <c r="H237" i="7"/>
  <c r="K226" i="7"/>
  <c r="T221" i="7"/>
  <c r="J218" i="7"/>
  <c r="K217" i="7"/>
  <c r="L216" i="7"/>
  <c r="H215" i="7"/>
  <c r="L208" i="7"/>
  <c r="K205" i="7"/>
  <c r="L204" i="7"/>
  <c r="H189" i="7"/>
  <c r="H187" i="7"/>
  <c r="H185" i="7"/>
  <c r="H183" i="7"/>
  <c r="L182" i="7"/>
  <c r="L181" i="7"/>
  <c r="L180" i="7"/>
  <c r="K179" i="7"/>
  <c r="H172" i="7"/>
  <c r="O171" i="7"/>
  <c r="K171" i="7"/>
  <c r="T170" i="7"/>
  <c r="H170" i="7"/>
  <c r="K169" i="7"/>
  <c r="K168" i="7"/>
  <c r="T150" i="7"/>
  <c r="O150" i="7"/>
  <c r="K150" i="7"/>
  <c r="K149" i="7"/>
  <c r="T149" i="7" s="1"/>
  <c r="K133" i="7"/>
  <c r="T132" i="7"/>
  <c r="K130" i="7"/>
  <c r="L124" i="7"/>
  <c r="O133" i="7" s="1"/>
  <c r="H124" i="7"/>
  <c r="K111" i="7"/>
  <c r="O108" i="7"/>
  <c r="K103" i="7"/>
  <c r="H102" i="7"/>
  <c r="K100" i="7"/>
  <c r="I96" i="7"/>
  <c r="H96" i="7"/>
  <c r="K92" i="7"/>
  <c r="L86" i="7"/>
  <c r="O70" i="7" s="1"/>
  <c r="H86" i="7"/>
  <c r="L85" i="7"/>
  <c r="H85" i="7"/>
  <c r="H1431" i="7" s="1"/>
  <c r="I84" i="7"/>
  <c r="H84" i="7"/>
  <c r="K80" i="7"/>
  <c r="L57" i="7"/>
  <c r="L56" i="7"/>
  <c r="O55" i="7" s="1"/>
  <c r="L36" i="7"/>
  <c r="L35" i="7"/>
  <c r="O36" i="7" s="1"/>
  <c r="K33" i="7"/>
  <c r="L17" i="7"/>
  <c r="L16" i="7"/>
  <c r="I68" i="5"/>
  <c r="F70" i="5" s="1"/>
  <c r="F68" i="5"/>
  <c r="D68" i="5" s="1"/>
  <c r="D67" i="5"/>
  <c r="F74" i="5" s="1"/>
  <c r="G66" i="5"/>
  <c r="G65" i="5"/>
  <c r="G64" i="5"/>
  <c r="G63" i="5"/>
  <c r="B63" i="5"/>
  <c r="G62" i="5"/>
  <c r="B62" i="5"/>
  <c r="G61" i="5"/>
  <c r="B61" i="5"/>
  <c r="G60" i="5"/>
  <c r="B60" i="5"/>
  <c r="G59" i="5"/>
  <c r="B59" i="5"/>
  <c r="G58" i="5"/>
  <c r="B58" i="5"/>
  <c r="G57" i="5"/>
  <c r="B57" i="5"/>
  <c r="G56" i="5"/>
  <c r="B56" i="5"/>
  <c r="G55" i="5"/>
  <c r="G68" i="5" s="1"/>
  <c r="B55" i="5"/>
  <c r="A55" i="5"/>
  <c r="F71" i="5" s="1"/>
  <c r="F72" i="5" s="1"/>
  <c r="F44" i="5"/>
  <c r="I42" i="5"/>
  <c r="F42" i="5"/>
  <c r="D42" i="5" s="1"/>
  <c r="D41" i="5"/>
  <c r="F48" i="5" s="1"/>
  <c r="G40" i="5"/>
  <c r="G39" i="5"/>
  <c r="G38" i="5"/>
  <c r="G37" i="5"/>
  <c r="G36" i="5"/>
  <c r="G35" i="5"/>
  <c r="G34" i="5"/>
  <c r="G42" i="5" s="1"/>
  <c r="G33" i="5"/>
  <c r="G32" i="5"/>
  <c r="G31" i="5"/>
  <c r="G30" i="5"/>
  <c r="G29" i="5"/>
  <c r="F18" i="5"/>
  <c r="I16" i="5"/>
  <c r="D15" i="5"/>
  <c r="F22" i="5" s="1"/>
  <c r="H14" i="5"/>
  <c r="H13" i="5"/>
  <c r="G13" i="5" s="1"/>
  <c r="H12" i="5"/>
  <c r="G12" i="5" s="1"/>
  <c r="H11" i="5"/>
  <c r="G11" i="5" s="1"/>
  <c r="H10" i="5"/>
  <c r="G10" i="5" s="1"/>
  <c r="H9" i="5"/>
  <c r="G9" i="5" s="1"/>
  <c r="H8" i="5"/>
  <c r="G8" i="5"/>
  <c r="H7" i="5"/>
  <c r="G7" i="5" s="1"/>
  <c r="H6" i="5"/>
  <c r="G6" i="5" s="1"/>
  <c r="H5" i="5"/>
  <c r="G5" i="5" s="1"/>
  <c r="H4" i="5"/>
  <c r="G4" i="5"/>
  <c r="G3" i="5"/>
  <c r="G16" i="5" s="1"/>
  <c r="I240" i="4"/>
  <c r="H240" i="4"/>
  <c r="G240" i="4"/>
  <c r="C240" i="4"/>
  <c r="I239" i="4"/>
  <c r="H239" i="4"/>
  <c r="G239" i="4"/>
  <c r="I237" i="4"/>
  <c r="H237" i="4"/>
  <c r="G237" i="4"/>
  <c r="F237" i="4"/>
  <c r="C232" i="4"/>
  <c r="B232" i="4"/>
  <c r="J231" i="4"/>
  <c r="E231" i="4"/>
  <c r="F240" i="4" s="1"/>
  <c r="C231" i="4"/>
  <c r="B231" i="4"/>
  <c r="E230" i="4"/>
  <c r="F239" i="4" s="1"/>
  <c r="C230" i="4"/>
  <c r="B230" i="4"/>
  <c r="C239" i="4" s="1"/>
  <c r="Q229" i="4"/>
  <c r="E229" i="4"/>
  <c r="F238" i="4" s="1"/>
  <c r="D229" i="4"/>
  <c r="E238" i="4" s="1"/>
  <c r="C229" i="4"/>
  <c r="D238" i="4" s="1"/>
  <c r="B229" i="4"/>
  <c r="N229" i="4" s="1"/>
  <c r="E228" i="4"/>
  <c r="D228" i="4"/>
  <c r="E237" i="4" s="1"/>
  <c r="C228" i="4"/>
  <c r="N228" i="4" s="1"/>
  <c r="B228" i="4"/>
  <c r="E227" i="4"/>
  <c r="N227" i="4" s="1"/>
  <c r="N226" i="4"/>
  <c r="E226" i="4"/>
  <c r="N225" i="4"/>
  <c r="K225" i="4"/>
  <c r="E225" i="4"/>
  <c r="N224" i="4"/>
  <c r="E224" i="4"/>
  <c r="L219" i="4"/>
  <c r="Q219" i="4" s="1"/>
  <c r="R218" i="4"/>
  <c r="Q218" i="4"/>
  <c r="L218" i="4"/>
  <c r="N218" i="4" s="1"/>
  <c r="R217" i="4"/>
  <c r="K217" i="4"/>
  <c r="J211" i="4"/>
  <c r="E211" i="4"/>
  <c r="J210" i="4"/>
  <c r="E210" i="4"/>
  <c r="J209" i="4"/>
  <c r="E209" i="4"/>
  <c r="L217" i="4" s="1"/>
  <c r="J208" i="4"/>
  <c r="E208" i="4"/>
  <c r="L216" i="4" s="1"/>
  <c r="N216" i="4" s="1"/>
  <c r="J207" i="4"/>
  <c r="E207" i="4"/>
  <c r="R198" i="4"/>
  <c r="Q198" i="4"/>
  <c r="O198" i="4"/>
  <c r="N198" i="4"/>
  <c r="I198" i="4"/>
  <c r="R197" i="4"/>
  <c r="Q197" i="4"/>
  <c r="J224" i="4" s="1"/>
  <c r="O197" i="4"/>
  <c r="N197" i="4"/>
  <c r="I197" i="4" s="1"/>
  <c r="R196" i="4"/>
  <c r="Q196" i="4"/>
  <c r="O196" i="4"/>
  <c r="N196" i="4"/>
  <c r="I196" i="4" s="1"/>
  <c r="R195" i="4"/>
  <c r="Q195" i="4"/>
  <c r="O195" i="4"/>
  <c r="N195" i="4"/>
  <c r="I195" i="4" s="1"/>
  <c r="R194" i="4"/>
  <c r="Q194" i="4"/>
  <c r="O194" i="4"/>
  <c r="N194" i="4"/>
  <c r="I194" i="4"/>
  <c r="R193" i="4"/>
  <c r="O193" i="4"/>
  <c r="N193" i="4"/>
  <c r="K193" i="4"/>
  <c r="Q193" i="4" s="1"/>
  <c r="I193" i="4"/>
  <c r="R192" i="4"/>
  <c r="Q192" i="4"/>
  <c r="O192" i="4"/>
  <c r="N192" i="4"/>
  <c r="Q191" i="4"/>
  <c r="O191" i="4"/>
  <c r="R191" i="4" s="1"/>
  <c r="N191" i="4"/>
  <c r="I191" i="4"/>
  <c r="C46" i="11" s="1"/>
  <c r="R190" i="4"/>
  <c r="Q190" i="4"/>
  <c r="J225" i="4" s="1"/>
  <c r="O190" i="4"/>
  <c r="N190" i="4"/>
  <c r="D93" i="3" s="1"/>
  <c r="I190" i="4"/>
  <c r="R189" i="4"/>
  <c r="Q189" i="4"/>
  <c r="J226" i="4" s="1"/>
  <c r="O189" i="4"/>
  <c r="N189" i="4"/>
  <c r="R188" i="4"/>
  <c r="K224" i="4" s="1"/>
  <c r="Q188" i="4"/>
  <c r="O188" i="4"/>
  <c r="N188" i="4"/>
  <c r="I188" i="4"/>
  <c r="R187" i="4"/>
  <c r="Q187" i="4"/>
  <c r="O187" i="4"/>
  <c r="N187" i="4"/>
  <c r="I187" i="4"/>
  <c r="R186" i="4"/>
  <c r="Q186" i="4"/>
  <c r="O186" i="4"/>
  <c r="N186" i="4"/>
  <c r="I186" i="4"/>
  <c r="R185" i="4"/>
  <c r="O185" i="4"/>
  <c r="N185" i="4"/>
  <c r="K185" i="4"/>
  <c r="Q185" i="4" s="1"/>
  <c r="I185" i="4"/>
  <c r="R184" i="4"/>
  <c r="Q184" i="4"/>
  <c r="O184" i="4"/>
  <c r="N184" i="4"/>
  <c r="I184" i="4" s="1"/>
  <c r="C45" i="11" s="1"/>
  <c r="R183" i="4"/>
  <c r="Q183" i="4"/>
  <c r="O183" i="4"/>
  <c r="N183" i="4"/>
  <c r="R182" i="4"/>
  <c r="Q182" i="4"/>
  <c r="O182" i="4"/>
  <c r="N182" i="4"/>
  <c r="I182" i="4"/>
  <c r="R181" i="4"/>
  <c r="Q181" i="4"/>
  <c r="O181" i="4"/>
  <c r="N181" i="4"/>
  <c r="R180" i="4"/>
  <c r="O180" i="4"/>
  <c r="N180" i="4"/>
  <c r="K180" i="4"/>
  <c r="Q180" i="4" s="1"/>
  <c r="I180" i="4"/>
  <c r="R179" i="4"/>
  <c r="Q179" i="4"/>
  <c r="O179" i="4"/>
  <c r="N179" i="4"/>
  <c r="I179" i="4"/>
  <c r="R178" i="4"/>
  <c r="Q178" i="4"/>
  <c r="O178" i="4"/>
  <c r="N178" i="4"/>
  <c r="I178" i="4"/>
  <c r="R177" i="4"/>
  <c r="Q177" i="4"/>
  <c r="O177" i="4"/>
  <c r="N177" i="4"/>
  <c r="I177" i="4" s="1"/>
  <c r="R176" i="4"/>
  <c r="Q176" i="4"/>
  <c r="O176" i="4"/>
  <c r="N176" i="4"/>
  <c r="I176" i="4"/>
  <c r="R175" i="4"/>
  <c r="Q175" i="4"/>
  <c r="O175" i="4"/>
  <c r="N175" i="4"/>
  <c r="I175" i="4" s="1"/>
  <c r="R174" i="4"/>
  <c r="Q174" i="4"/>
  <c r="O174" i="4"/>
  <c r="N174" i="4"/>
  <c r="I174" i="4"/>
  <c r="R173" i="4"/>
  <c r="Q173" i="4"/>
  <c r="O173" i="4"/>
  <c r="N173" i="4"/>
  <c r="I173" i="4"/>
  <c r="R172" i="4"/>
  <c r="Q172" i="4"/>
  <c r="O172" i="4"/>
  <c r="N172" i="4"/>
  <c r="I172" i="4" s="1"/>
  <c r="R171" i="4"/>
  <c r="Q171" i="4"/>
  <c r="O171" i="4"/>
  <c r="N171" i="4"/>
  <c r="R170" i="4"/>
  <c r="Q170" i="4"/>
  <c r="O170" i="4"/>
  <c r="N170" i="4"/>
  <c r="I170" i="4" s="1"/>
  <c r="C42" i="11" s="1"/>
  <c r="R169" i="4"/>
  <c r="Q169" i="4"/>
  <c r="O169" i="4"/>
  <c r="N169" i="4"/>
  <c r="D90" i="3" s="1"/>
  <c r="K169" i="4"/>
  <c r="I169" i="4"/>
  <c r="O1220" i="7" s="1"/>
  <c r="P1222" i="7" s="1"/>
  <c r="R168" i="4"/>
  <c r="Q168" i="4"/>
  <c r="O168" i="4"/>
  <c r="N168" i="4"/>
  <c r="I168" i="4" s="1"/>
  <c r="R167" i="4"/>
  <c r="Q167" i="4"/>
  <c r="O167" i="4"/>
  <c r="N167" i="4"/>
  <c r="I167" i="4"/>
  <c r="R166" i="4"/>
  <c r="Q166" i="4"/>
  <c r="O166" i="4"/>
  <c r="N166" i="4"/>
  <c r="I166" i="4" s="1"/>
  <c r="R165" i="4"/>
  <c r="Q165" i="4"/>
  <c r="O165" i="4"/>
  <c r="N165" i="4"/>
  <c r="I165" i="4" s="1"/>
  <c r="R164" i="4"/>
  <c r="Q164" i="4"/>
  <c r="O164" i="4"/>
  <c r="N164" i="4"/>
  <c r="K164" i="4"/>
  <c r="I164" i="4"/>
  <c r="R163" i="4"/>
  <c r="Q163" i="4"/>
  <c r="O163" i="4"/>
  <c r="N163" i="4"/>
  <c r="R162" i="4"/>
  <c r="Q162" i="4"/>
  <c r="O162" i="4"/>
  <c r="N162" i="4"/>
  <c r="I162" i="4" s="1"/>
  <c r="R161" i="4"/>
  <c r="Q161" i="4"/>
  <c r="J227" i="4" s="1"/>
  <c r="O161" i="4"/>
  <c r="N161" i="4"/>
  <c r="I161" i="4"/>
  <c r="R160" i="4"/>
  <c r="Q160" i="4"/>
  <c r="O160" i="4"/>
  <c r="N160" i="4"/>
  <c r="D88" i="3" s="1"/>
  <c r="G88" i="3" s="1"/>
  <c r="B32" i="5" s="1"/>
  <c r="R159" i="4"/>
  <c r="Q159" i="4"/>
  <c r="O159" i="4"/>
  <c r="N159" i="4"/>
  <c r="K159" i="4"/>
  <c r="I159" i="4"/>
  <c r="R158" i="4"/>
  <c r="Q158" i="4"/>
  <c r="O158" i="4"/>
  <c r="N158" i="4"/>
  <c r="I158" i="4"/>
  <c r="O1148" i="7" s="1"/>
  <c r="P1150" i="7" s="1"/>
  <c r="R157" i="4"/>
  <c r="Q157" i="4"/>
  <c r="O157" i="4"/>
  <c r="N157" i="4"/>
  <c r="I157" i="4"/>
  <c r="R156" i="4"/>
  <c r="Q156" i="4"/>
  <c r="O156" i="4"/>
  <c r="N156" i="4"/>
  <c r="I156" i="4" s="1"/>
  <c r="R155" i="4"/>
  <c r="Q155" i="4"/>
  <c r="O155" i="4"/>
  <c r="N155" i="4"/>
  <c r="I155" i="4"/>
  <c r="R154" i="4"/>
  <c r="O154" i="4"/>
  <c r="N154" i="4"/>
  <c r="K154" i="4"/>
  <c r="Q154" i="4" s="1"/>
  <c r="I154" i="4"/>
  <c r="R153" i="4"/>
  <c r="Q153" i="4"/>
  <c r="O153" i="4"/>
  <c r="N153" i="4"/>
  <c r="I153" i="4" s="1"/>
  <c r="R152" i="4"/>
  <c r="Q152" i="4"/>
  <c r="O152" i="4"/>
  <c r="N152" i="4"/>
  <c r="R151" i="4"/>
  <c r="Q151" i="4"/>
  <c r="O151" i="4"/>
  <c r="N151" i="4"/>
  <c r="R150" i="4"/>
  <c r="Q150" i="4"/>
  <c r="O150" i="4"/>
  <c r="N150" i="4"/>
  <c r="K150" i="4"/>
  <c r="I150" i="4"/>
  <c r="R149" i="4"/>
  <c r="Q149" i="4"/>
  <c r="O149" i="4"/>
  <c r="N149" i="4"/>
  <c r="I149" i="4" s="1"/>
  <c r="R148" i="4"/>
  <c r="Q148" i="4"/>
  <c r="O148" i="4"/>
  <c r="N148" i="4"/>
  <c r="I148" i="4" s="1"/>
  <c r="R147" i="4"/>
  <c r="Q147" i="4"/>
  <c r="O147" i="4"/>
  <c r="N147" i="4"/>
  <c r="I147" i="4"/>
  <c r="R146" i="4"/>
  <c r="Q146" i="4"/>
  <c r="O146" i="4"/>
  <c r="N146" i="4"/>
  <c r="I146" i="4"/>
  <c r="R145" i="4"/>
  <c r="O145" i="4"/>
  <c r="N145" i="4"/>
  <c r="K145" i="4"/>
  <c r="Q145" i="4" s="1"/>
  <c r="I145" i="4"/>
  <c r="R144" i="4"/>
  <c r="Q144" i="4"/>
  <c r="O144" i="4"/>
  <c r="N144" i="4"/>
  <c r="I144" i="4" s="1"/>
  <c r="R143" i="4"/>
  <c r="Q143" i="4"/>
  <c r="O143" i="4"/>
  <c r="N143" i="4"/>
  <c r="L208" i="4" s="1"/>
  <c r="I143" i="4"/>
  <c r="R142" i="4"/>
  <c r="Q142" i="4"/>
  <c r="O142" i="4"/>
  <c r="N142" i="4"/>
  <c r="I142" i="4"/>
  <c r="R141" i="4"/>
  <c r="Q141" i="4"/>
  <c r="O141" i="4"/>
  <c r="N141" i="4"/>
  <c r="I141" i="4" s="1"/>
  <c r="R140" i="4"/>
  <c r="Q140" i="4"/>
  <c r="O140" i="4"/>
  <c r="N140" i="4"/>
  <c r="I140" i="4"/>
  <c r="R139" i="4"/>
  <c r="Q139" i="4"/>
  <c r="O139" i="4"/>
  <c r="N139" i="4"/>
  <c r="R138" i="4"/>
  <c r="Q138" i="4"/>
  <c r="O138" i="4"/>
  <c r="N138" i="4"/>
  <c r="R137" i="4"/>
  <c r="Q137" i="4"/>
  <c r="O137" i="4"/>
  <c r="N137" i="4"/>
  <c r="I137" i="4"/>
  <c r="R136" i="4"/>
  <c r="Q136" i="4"/>
  <c r="O136" i="4"/>
  <c r="N136" i="4"/>
  <c r="I136" i="4" s="1"/>
  <c r="R135" i="4"/>
  <c r="Q135" i="4"/>
  <c r="O135" i="4"/>
  <c r="N135" i="4"/>
  <c r="I135" i="4" s="1"/>
  <c r="R134" i="4"/>
  <c r="Q134" i="4"/>
  <c r="O134" i="4"/>
  <c r="N134" i="4"/>
  <c r="K134" i="4"/>
  <c r="I134" i="4"/>
  <c r="R133" i="4"/>
  <c r="Q133" i="4"/>
  <c r="O133" i="4"/>
  <c r="N133" i="4"/>
  <c r="I133" i="4" s="1"/>
  <c r="R132" i="4"/>
  <c r="Q132" i="4"/>
  <c r="O132" i="4"/>
  <c r="N132" i="4"/>
  <c r="I132" i="4"/>
  <c r="R131" i="4"/>
  <c r="Q131" i="4"/>
  <c r="O131" i="4"/>
  <c r="N131" i="4"/>
  <c r="I131" i="4"/>
  <c r="R130" i="4"/>
  <c r="Q130" i="4"/>
  <c r="O130" i="4"/>
  <c r="N130" i="4"/>
  <c r="D69" i="3" s="1"/>
  <c r="K130" i="4"/>
  <c r="I130" i="4"/>
  <c r="R129" i="4"/>
  <c r="Q129" i="4"/>
  <c r="O129" i="4"/>
  <c r="N129" i="4"/>
  <c r="R128" i="4"/>
  <c r="Q128" i="4"/>
  <c r="O128" i="4"/>
  <c r="N128" i="4"/>
  <c r="I128" i="4" s="1"/>
  <c r="R127" i="4"/>
  <c r="Q127" i="4"/>
  <c r="O127" i="4"/>
  <c r="N127" i="4"/>
  <c r="I127" i="4" s="1"/>
  <c r="R126" i="4"/>
  <c r="Q126" i="4"/>
  <c r="O126" i="4"/>
  <c r="N126" i="4"/>
  <c r="I126" i="4" s="1"/>
  <c r="R125" i="4"/>
  <c r="Q125" i="4"/>
  <c r="O125" i="4"/>
  <c r="N125" i="4"/>
  <c r="R124" i="4"/>
  <c r="Q124" i="4"/>
  <c r="K124" i="4"/>
  <c r="I124" i="4"/>
  <c r="R123" i="4"/>
  <c r="Q123" i="4"/>
  <c r="O123" i="4"/>
  <c r="N123" i="4"/>
  <c r="I123" i="4"/>
  <c r="R122" i="4"/>
  <c r="Q122" i="4"/>
  <c r="O122" i="4"/>
  <c r="N122" i="4"/>
  <c r="R121" i="4"/>
  <c r="Q121" i="4"/>
  <c r="O121" i="4"/>
  <c r="N121" i="4"/>
  <c r="R120" i="4"/>
  <c r="O120" i="4"/>
  <c r="N120" i="4"/>
  <c r="K120" i="4"/>
  <c r="Q120" i="4" s="1"/>
  <c r="I120" i="4"/>
  <c r="R119" i="4"/>
  <c r="Q119" i="4"/>
  <c r="O119" i="4"/>
  <c r="N119" i="4"/>
  <c r="I119" i="4"/>
  <c r="R118" i="4"/>
  <c r="Q118" i="4"/>
  <c r="O118" i="4"/>
  <c r="N118" i="4"/>
  <c r="I118" i="4" s="1"/>
  <c r="R117" i="4"/>
  <c r="Q117" i="4"/>
  <c r="O117" i="4"/>
  <c r="N117" i="4"/>
  <c r="I117" i="4" s="1"/>
  <c r="R116" i="4"/>
  <c r="Q116" i="4"/>
  <c r="O116" i="4"/>
  <c r="N116" i="4"/>
  <c r="I116" i="4"/>
  <c r="R115" i="4"/>
  <c r="Q115" i="4"/>
  <c r="K115" i="4"/>
  <c r="I115" i="4"/>
  <c r="R114" i="4"/>
  <c r="Q114" i="4"/>
  <c r="O114" i="4"/>
  <c r="N114" i="4"/>
  <c r="I114" i="4"/>
  <c r="R113" i="4"/>
  <c r="Q113" i="4"/>
  <c r="O113" i="4"/>
  <c r="N113" i="4"/>
  <c r="I113" i="4"/>
  <c r="R112" i="4"/>
  <c r="Q112" i="4"/>
  <c r="O112" i="4"/>
  <c r="N112" i="4"/>
  <c r="I112" i="4" s="1"/>
  <c r="R111" i="4"/>
  <c r="Q111" i="4"/>
  <c r="O111" i="4"/>
  <c r="N111" i="4"/>
  <c r="I111" i="4" s="1"/>
  <c r="R110" i="4"/>
  <c r="Q110" i="4"/>
  <c r="O110" i="4"/>
  <c r="N110" i="4"/>
  <c r="R109" i="4"/>
  <c r="Q109" i="4"/>
  <c r="O109" i="4"/>
  <c r="N109" i="4"/>
  <c r="R108" i="4"/>
  <c r="K108" i="4"/>
  <c r="Q108" i="4" s="1"/>
  <c r="I108" i="4"/>
  <c r="R107" i="4"/>
  <c r="Q107" i="4"/>
  <c r="O107" i="4"/>
  <c r="N107" i="4"/>
  <c r="I107" i="4" s="1"/>
  <c r="R106" i="4"/>
  <c r="Q106" i="4"/>
  <c r="O106" i="4"/>
  <c r="N106" i="4"/>
  <c r="I106" i="4" s="1"/>
  <c r="R105" i="4"/>
  <c r="Q105" i="4"/>
  <c r="O105" i="4"/>
  <c r="N105" i="4"/>
  <c r="I105" i="4"/>
  <c r="R104" i="4"/>
  <c r="Q104" i="4"/>
  <c r="O104" i="4"/>
  <c r="N104" i="4"/>
  <c r="I104" i="4"/>
  <c r="R103" i="4"/>
  <c r="Q103" i="4"/>
  <c r="O103" i="4"/>
  <c r="N103" i="4"/>
  <c r="R102" i="4"/>
  <c r="K102" i="4"/>
  <c r="Q102" i="4" s="1"/>
  <c r="I102" i="4"/>
  <c r="R101" i="4"/>
  <c r="Q101" i="4"/>
  <c r="O101" i="4"/>
  <c r="N101" i="4"/>
  <c r="I101" i="4"/>
  <c r="C41" i="11" s="1"/>
  <c r="R100" i="4"/>
  <c r="Q100" i="4"/>
  <c r="O100" i="4"/>
  <c r="N100" i="4"/>
  <c r="I100" i="4" s="1"/>
  <c r="R99" i="4"/>
  <c r="Q99" i="4"/>
  <c r="O99" i="4"/>
  <c r="N99" i="4"/>
  <c r="R98" i="4"/>
  <c r="Q98" i="4"/>
  <c r="O98" i="4"/>
  <c r="N98" i="4"/>
  <c r="R97" i="4"/>
  <c r="Q97" i="4"/>
  <c r="O97" i="4"/>
  <c r="N97" i="4"/>
  <c r="I97" i="4" s="1"/>
  <c r="R96" i="4"/>
  <c r="O96" i="4"/>
  <c r="N96" i="4"/>
  <c r="K96" i="4"/>
  <c r="Q96" i="4" s="1"/>
  <c r="I96" i="4"/>
  <c r="R95" i="4"/>
  <c r="O95" i="4"/>
  <c r="N95" i="4"/>
  <c r="K95" i="4"/>
  <c r="Q95" i="4" s="1"/>
  <c r="I95" i="4"/>
  <c r="R94" i="4"/>
  <c r="Q94" i="4"/>
  <c r="O94" i="4"/>
  <c r="N94" i="4"/>
  <c r="I94" i="4"/>
  <c r="O667" i="7" s="1"/>
  <c r="R93" i="4"/>
  <c r="Q93" i="4"/>
  <c r="O93" i="4"/>
  <c r="N93" i="4"/>
  <c r="D62" i="3" s="1"/>
  <c r="R92" i="4"/>
  <c r="Q92" i="4"/>
  <c r="O92" i="4"/>
  <c r="N92" i="4"/>
  <c r="I92" i="4"/>
  <c r="Q91" i="4"/>
  <c r="O91" i="4"/>
  <c r="N91" i="4"/>
  <c r="K91" i="4"/>
  <c r="I91" i="4"/>
  <c r="R90" i="4"/>
  <c r="Q90" i="4"/>
  <c r="O90" i="4"/>
  <c r="N90" i="4"/>
  <c r="D61" i="3" s="1"/>
  <c r="R89" i="4"/>
  <c r="Q89" i="4"/>
  <c r="O89" i="4"/>
  <c r="N89" i="4"/>
  <c r="R88" i="4"/>
  <c r="Q88" i="4"/>
  <c r="O88" i="4"/>
  <c r="N88" i="4"/>
  <c r="I88" i="4"/>
  <c r="R87" i="4"/>
  <c r="O87" i="4"/>
  <c r="N87" i="4"/>
  <c r="K87" i="4"/>
  <c r="Q87" i="4" s="1"/>
  <c r="I87" i="4"/>
  <c r="O600" i="7" s="1"/>
  <c r="R86" i="4"/>
  <c r="Q86" i="4"/>
  <c r="O86" i="4"/>
  <c r="N86" i="4"/>
  <c r="R85" i="4"/>
  <c r="Q85" i="4"/>
  <c r="O85" i="4"/>
  <c r="N85" i="4"/>
  <c r="I85" i="4"/>
  <c r="R84" i="4"/>
  <c r="Q84" i="4"/>
  <c r="O84" i="4"/>
  <c r="N84" i="4"/>
  <c r="I84" i="4"/>
  <c r="R83" i="4"/>
  <c r="O83" i="4"/>
  <c r="N83" i="4"/>
  <c r="K83" i="4"/>
  <c r="Q83" i="4" s="1"/>
  <c r="I83" i="4"/>
  <c r="R82" i="4"/>
  <c r="Q82" i="4"/>
  <c r="O82" i="4"/>
  <c r="N82" i="4"/>
  <c r="R81" i="4"/>
  <c r="Q81" i="4"/>
  <c r="O81" i="4"/>
  <c r="N81" i="4"/>
  <c r="K81" i="4"/>
  <c r="I81" i="4"/>
  <c r="R80" i="4"/>
  <c r="Q80" i="4"/>
  <c r="O80" i="4"/>
  <c r="N80" i="4"/>
  <c r="I80" i="4" s="1"/>
  <c r="C39" i="11" s="1"/>
  <c r="R79" i="4"/>
  <c r="Q79" i="4"/>
  <c r="O79" i="4"/>
  <c r="N79" i="4"/>
  <c r="R78" i="4"/>
  <c r="Q78" i="4"/>
  <c r="O78" i="4"/>
  <c r="N78" i="4"/>
  <c r="R77" i="4"/>
  <c r="O77" i="4"/>
  <c r="N77" i="4"/>
  <c r="K77" i="4"/>
  <c r="Q77" i="4" s="1"/>
  <c r="I77" i="4"/>
  <c r="R76" i="4"/>
  <c r="Q76" i="4"/>
  <c r="O76" i="4"/>
  <c r="N76" i="4"/>
  <c r="I76" i="4"/>
  <c r="C38" i="11" s="1"/>
  <c r="R75" i="4"/>
  <c r="Q75" i="4"/>
  <c r="O75" i="4"/>
  <c r="N75" i="4"/>
  <c r="R74" i="4"/>
  <c r="Q74" i="4"/>
  <c r="O74" i="4"/>
  <c r="N74" i="4"/>
  <c r="R73" i="4"/>
  <c r="Q73" i="4"/>
  <c r="O73" i="4"/>
  <c r="N73" i="4"/>
  <c r="R72" i="4"/>
  <c r="Q72" i="4"/>
  <c r="O72" i="4"/>
  <c r="N72" i="4"/>
  <c r="I72" i="4" s="1"/>
  <c r="C36" i="11" s="1"/>
  <c r="R71" i="4"/>
  <c r="Q71" i="4"/>
  <c r="O71" i="4"/>
  <c r="N71" i="4"/>
  <c r="I71" i="4"/>
  <c r="O394" i="7" s="1"/>
  <c r="R70" i="4"/>
  <c r="Q70" i="4"/>
  <c r="O70" i="4"/>
  <c r="N70" i="4"/>
  <c r="R69" i="4"/>
  <c r="Q69" i="4"/>
  <c r="O69" i="4"/>
  <c r="N69" i="4"/>
  <c r="I69" i="4"/>
  <c r="R68" i="4"/>
  <c r="Q68" i="4"/>
  <c r="O68" i="4"/>
  <c r="N68" i="4"/>
  <c r="R67" i="4"/>
  <c r="Q67" i="4"/>
  <c r="O67" i="4"/>
  <c r="N67" i="4"/>
  <c r="I67" i="4"/>
  <c r="C34" i="11" s="1"/>
  <c r="R66" i="4"/>
  <c r="Q66" i="4"/>
  <c r="O66" i="4"/>
  <c r="N66" i="4"/>
  <c r="R65" i="4"/>
  <c r="Q65" i="4"/>
  <c r="O65" i="4"/>
  <c r="N65" i="4"/>
  <c r="I65" i="4"/>
  <c r="C33" i="11" s="1"/>
  <c r="R64" i="4"/>
  <c r="Q64" i="4"/>
  <c r="O64" i="4"/>
  <c r="N64" i="4"/>
  <c r="I64" i="4"/>
  <c r="C31" i="11" s="1"/>
  <c r="R63" i="4"/>
  <c r="Q63" i="4"/>
  <c r="O63" i="4"/>
  <c r="N63" i="4"/>
  <c r="I63" i="4" s="1"/>
  <c r="O247" i="7" s="1"/>
  <c r="P249" i="7" s="1"/>
  <c r="R62" i="4"/>
  <c r="Q62" i="4"/>
  <c r="O62" i="4"/>
  <c r="N62" i="4"/>
  <c r="I62" i="4"/>
  <c r="R61" i="4"/>
  <c r="Q61" i="4"/>
  <c r="O61" i="4"/>
  <c r="N61" i="4"/>
  <c r="I61" i="4"/>
  <c r="C30" i="11" s="1"/>
  <c r="R60" i="4"/>
  <c r="Q60" i="4"/>
  <c r="O60" i="4"/>
  <c r="N60" i="4"/>
  <c r="I60" i="4"/>
  <c r="R59" i="4"/>
  <c r="Q59" i="4"/>
  <c r="O59" i="4"/>
  <c r="N59" i="4"/>
  <c r="I59" i="4"/>
  <c r="R58" i="4"/>
  <c r="Q58" i="4"/>
  <c r="O58" i="4"/>
  <c r="N58" i="4"/>
  <c r="I58" i="4"/>
  <c r="C29" i="11" s="1"/>
  <c r="R57" i="4"/>
  <c r="Q57" i="4"/>
  <c r="O57" i="4"/>
  <c r="N57" i="4"/>
  <c r="R56" i="4"/>
  <c r="Q56" i="4"/>
  <c r="O56" i="4"/>
  <c r="N56" i="4"/>
  <c r="R55" i="4"/>
  <c r="Q55" i="4"/>
  <c r="O55" i="4"/>
  <c r="N55" i="4"/>
  <c r="I55" i="4"/>
  <c r="C28" i="11" s="1"/>
  <c r="R54" i="4"/>
  <c r="Q54" i="4"/>
  <c r="O54" i="4"/>
  <c r="N54" i="4"/>
  <c r="I54" i="4" s="1"/>
  <c r="O148" i="7" s="1"/>
  <c r="P150" i="7" s="1"/>
  <c r="R53" i="4"/>
  <c r="Q53" i="4"/>
  <c r="N53" i="4"/>
  <c r="D32" i="3" s="1"/>
  <c r="R52" i="4"/>
  <c r="Q52" i="4"/>
  <c r="O52" i="4"/>
  <c r="N52" i="4"/>
  <c r="I52" i="4" s="1"/>
  <c r="R51" i="4"/>
  <c r="Q51" i="4"/>
  <c r="O51" i="4"/>
  <c r="N51" i="4"/>
  <c r="R50" i="4"/>
  <c r="Q50" i="4"/>
  <c r="O50" i="4"/>
  <c r="N50" i="4"/>
  <c r="K50" i="4"/>
  <c r="I50" i="4"/>
  <c r="R49" i="4"/>
  <c r="O49" i="4"/>
  <c r="N49" i="4"/>
  <c r="I49" i="4" s="1"/>
  <c r="K49" i="4"/>
  <c r="Q49" i="4" s="1"/>
  <c r="R48" i="4"/>
  <c r="Q48" i="4"/>
  <c r="O48" i="4"/>
  <c r="N48" i="4"/>
  <c r="I48" i="4" s="1"/>
  <c r="K48" i="4"/>
  <c r="R47" i="4"/>
  <c r="Q47" i="4"/>
  <c r="O47" i="4"/>
  <c r="N47" i="4"/>
  <c r="R46" i="4"/>
  <c r="O46" i="4"/>
  <c r="N46" i="4"/>
  <c r="K46" i="4"/>
  <c r="Q46" i="4" s="1"/>
  <c r="I46" i="4"/>
  <c r="R45" i="4"/>
  <c r="O45" i="4"/>
  <c r="N45" i="4"/>
  <c r="K45" i="4"/>
  <c r="Q45" i="4" s="1"/>
  <c r="I45" i="4"/>
  <c r="R44" i="4"/>
  <c r="Q44" i="4"/>
  <c r="O44" i="4"/>
  <c r="N44" i="4"/>
  <c r="I44" i="4"/>
  <c r="O106" i="7" s="1"/>
  <c r="P108" i="7" s="1"/>
  <c r="R43" i="4"/>
  <c r="Q43" i="4"/>
  <c r="O43" i="4"/>
  <c r="N43" i="4"/>
  <c r="R42" i="4"/>
  <c r="Q42" i="4"/>
  <c r="O42" i="4"/>
  <c r="N42" i="4"/>
  <c r="I42" i="4" s="1"/>
  <c r="R41" i="4"/>
  <c r="Q41" i="4"/>
  <c r="O41" i="4"/>
  <c r="N41" i="4"/>
  <c r="I41" i="4"/>
  <c r="R40" i="4"/>
  <c r="Q40" i="4"/>
  <c r="O40" i="4"/>
  <c r="N40" i="4"/>
  <c r="I40" i="4"/>
  <c r="R39" i="4"/>
  <c r="Q39" i="4"/>
  <c r="O39" i="4"/>
  <c r="N39" i="4"/>
  <c r="R38" i="4"/>
  <c r="Q38" i="4"/>
  <c r="O38" i="4"/>
  <c r="N38" i="4"/>
  <c r="I38" i="4" s="1"/>
  <c r="R37" i="4"/>
  <c r="Q37" i="4"/>
  <c r="O37" i="4"/>
  <c r="N37" i="4"/>
  <c r="I37" i="4" s="1"/>
  <c r="R36" i="4"/>
  <c r="Q36" i="4"/>
  <c r="O36" i="4"/>
  <c r="N36" i="4"/>
  <c r="I36" i="4" s="1"/>
  <c r="O53" i="7" s="1"/>
  <c r="P55" i="7" s="1"/>
  <c r="R35" i="4"/>
  <c r="Q35" i="4"/>
  <c r="J230" i="4" s="1"/>
  <c r="O35" i="4"/>
  <c r="N35" i="4"/>
  <c r="R34" i="4"/>
  <c r="Q34" i="4"/>
  <c r="O34" i="4"/>
  <c r="N34" i="4"/>
  <c r="I34" i="4" s="1"/>
  <c r="R33" i="4"/>
  <c r="Q33" i="4"/>
  <c r="O33" i="4"/>
  <c r="N33" i="4"/>
  <c r="I33" i="4"/>
  <c r="R32" i="4"/>
  <c r="Q32" i="4"/>
  <c r="O32" i="4"/>
  <c r="N32" i="4"/>
  <c r="R31" i="4"/>
  <c r="Q31" i="4"/>
  <c r="O31" i="4"/>
  <c r="N31" i="4"/>
  <c r="D12" i="3" s="1"/>
  <c r="G12" i="3" s="1"/>
  <c r="R30" i="4"/>
  <c r="Q30" i="4"/>
  <c r="O30" i="4"/>
  <c r="N30" i="4"/>
  <c r="I30" i="4"/>
  <c r="R29" i="4"/>
  <c r="O29" i="4"/>
  <c r="N29" i="4"/>
  <c r="K29" i="4"/>
  <c r="Q29" i="4" s="1"/>
  <c r="I29" i="4"/>
  <c r="R28" i="4"/>
  <c r="Q28" i="4"/>
  <c r="O28" i="4"/>
  <c r="N28" i="4"/>
  <c r="I28" i="4"/>
  <c r="R27" i="4"/>
  <c r="Q27" i="4"/>
  <c r="O27" i="4"/>
  <c r="N27" i="4"/>
  <c r="I27" i="4" s="1"/>
  <c r="R26" i="4"/>
  <c r="O26" i="4"/>
  <c r="N26" i="4"/>
  <c r="D11" i="3" s="1"/>
  <c r="G11" i="3" s="1"/>
  <c r="K26" i="4"/>
  <c r="Q26" i="4" s="1"/>
  <c r="I26" i="4"/>
  <c r="R25" i="4"/>
  <c r="Q25" i="4"/>
  <c r="O25" i="4"/>
  <c r="N25" i="4"/>
  <c r="I25" i="4"/>
  <c r="Q24" i="4"/>
  <c r="O24" i="4"/>
  <c r="N24" i="4"/>
  <c r="I24" i="4"/>
  <c r="R23" i="4"/>
  <c r="Q23" i="4"/>
  <c r="O23" i="4"/>
  <c r="N23" i="4"/>
  <c r="I23" i="4" s="1"/>
  <c r="R22" i="4"/>
  <c r="Q22" i="4"/>
  <c r="O22" i="4"/>
  <c r="N22" i="4"/>
  <c r="I22" i="4"/>
  <c r="R21" i="4"/>
  <c r="Q21" i="4"/>
  <c r="O21" i="4"/>
  <c r="N21" i="4"/>
  <c r="D10" i="3" s="1"/>
  <c r="I21" i="4"/>
  <c r="R20" i="4"/>
  <c r="Q20" i="4"/>
  <c r="O20" i="4"/>
  <c r="N20" i="4"/>
  <c r="I20" i="4"/>
  <c r="R19" i="4"/>
  <c r="Q19" i="4"/>
  <c r="O19" i="4"/>
  <c r="N19" i="4"/>
  <c r="D9" i="3" s="1"/>
  <c r="G9" i="3" s="1"/>
  <c r="B7" i="5" s="1"/>
  <c r="I19" i="4"/>
  <c r="R18" i="4"/>
  <c r="Q18" i="4"/>
  <c r="O18" i="4"/>
  <c r="N18" i="4"/>
  <c r="K18" i="4"/>
  <c r="I18" i="4"/>
  <c r="R17" i="4"/>
  <c r="Q17" i="4"/>
  <c r="O17" i="4"/>
  <c r="N17" i="4"/>
  <c r="I17" i="4"/>
  <c r="R16" i="4"/>
  <c r="Q16" i="4"/>
  <c r="O16" i="4"/>
  <c r="N16" i="4"/>
  <c r="I16" i="4" s="1"/>
  <c r="R15" i="4"/>
  <c r="O15" i="4"/>
  <c r="N15" i="4"/>
  <c r="K15" i="4"/>
  <c r="Q15" i="4" s="1"/>
  <c r="I15" i="4"/>
  <c r="R14" i="4"/>
  <c r="Q14" i="4"/>
  <c r="O14" i="4"/>
  <c r="N14" i="4"/>
  <c r="I14" i="4" s="1"/>
  <c r="R13" i="4"/>
  <c r="Q13" i="4"/>
  <c r="O13" i="4"/>
  <c r="N13" i="4"/>
  <c r="I13" i="4"/>
  <c r="T12" i="4"/>
  <c r="R12" i="4"/>
  <c r="Q12" i="4"/>
  <c r="O12" i="4"/>
  <c r="N12" i="4"/>
  <c r="I12" i="4"/>
  <c r="R11" i="4"/>
  <c r="Q11" i="4"/>
  <c r="O11" i="4"/>
  <c r="N11" i="4"/>
  <c r="I11" i="4"/>
  <c r="R10" i="4"/>
  <c r="O10" i="4"/>
  <c r="N10" i="4"/>
  <c r="K10" i="4"/>
  <c r="Q10" i="4" s="1"/>
  <c r="I10" i="4"/>
  <c r="R9" i="4"/>
  <c r="Q9" i="4"/>
  <c r="O9" i="4"/>
  <c r="N9" i="4"/>
  <c r="I9" i="4" s="1"/>
  <c r="R8" i="4"/>
  <c r="Q8" i="4"/>
  <c r="O8" i="4"/>
  <c r="N8" i="4"/>
  <c r="I8" i="4"/>
  <c r="Q7" i="4"/>
  <c r="O7" i="4"/>
  <c r="R7" i="4" s="1"/>
  <c r="N7" i="4"/>
  <c r="D6" i="3" s="1"/>
  <c r="I7" i="4"/>
  <c r="R6" i="4"/>
  <c r="Q6" i="4"/>
  <c r="O6" i="4"/>
  <c r="N6" i="4"/>
  <c r="I6" i="4"/>
  <c r="R5" i="4"/>
  <c r="Q5" i="4"/>
  <c r="O5" i="4"/>
  <c r="N5" i="4"/>
  <c r="I5" i="4" s="1"/>
  <c r="R4" i="4"/>
  <c r="Q4" i="4"/>
  <c r="J228" i="4" s="1"/>
  <c r="O4" i="4"/>
  <c r="N4" i="4"/>
  <c r="K4" i="4"/>
  <c r="I4" i="4"/>
  <c r="R3" i="4"/>
  <c r="Q3" i="4"/>
  <c r="O3" i="4"/>
  <c r="N3" i="4"/>
  <c r="I3" i="4"/>
  <c r="R2" i="4"/>
  <c r="Q2" i="4"/>
  <c r="O2" i="4"/>
  <c r="N2" i="4"/>
  <c r="K99" i="3"/>
  <c r="J96" i="3"/>
  <c r="J95" i="3"/>
  <c r="J94" i="3"/>
  <c r="K93" i="3"/>
  <c r="E93" i="3"/>
  <c r="C93" i="3"/>
  <c r="B93" i="3"/>
  <c r="K92" i="3"/>
  <c r="E92" i="3"/>
  <c r="C92" i="3"/>
  <c r="B92" i="3"/>
  <c r="F92" i="3" s="1"/>
  <c r="H92" i="3" s="1"/>
  <c r="L91" i="3"/>
  <c r="K91" i="3"/>
  <c r="F91" i="3"/>
  <c r="H91" i="3" s="1"/>
  <c r="E91" i="3"/>
  <c r="D91" i="3"/>
  <c r="G91" i="3" s="1"/>
  <c r="B35" i="5" s="1"/>
  <c r="C91" i="3"/>
  <c r="B91" i="3"/>
  <c r="L90" i="3"/>
  <c r="K90" i="3"/>
  <c r="E90" i="3"/>
  <c r="C90" i="3"/>
  <c r="B90" i="3"/>
  <c r="F89" i="3"/>
  <c r="H89" i="3" s="1"/>
  <c r="E89" i="3"/>
  <c r="D89" i="3"/>
  <c r="C89" i="3"/>
  <c r="B89" i="3"/>
  <c r="L88" i="3"/>
  <c r="K88" i="3"/>
  <c r="E88" i="3"/>
  <c r="C88" i="3"/>
  <c r="C100" i="3" s="1"/>
  <c r="B88" i="3"/>
  <c r="F88" i="3" s="1"/>
  <c r="L87" i="3"/>
  <c r="L99" i="3" s="1"/>
  <c r="K87" i="3"/>
  <c r="E87" i="3"/>
  <c r="F87" i="3" s="1"/>
  <c r="H87" i="3" s="1"/>
  <c r="D87" i="3"/>
  <c r="C87" i="3"/>
  <c r="B87" i="3"/>
  <c r="E86" i="3"/>
  <c r="C86" i="3"/>
  <c r="B86" i="3"/>
  <c r="F86" i="3" s="1"/>
  <c r="H86" i="3" s="1"/>
  <c r="E85" i="3"/>
  <c r="D85" i="3"/>
  <c r="C85" i="3"/>
  <c r="B85" i="3"/>
  <c r="L73" i="3"/>
  <c r="K70" i="3"/>
  <c r="F70" i="3"/>
  <c r="E70" i="3"/>
  <c r="C70" i="3"/>
  <c r="H70" i="3" s="1"/>
  <c r="B70" i="3"/>
  <c r="K69" i="3"/>
  <c r="E69" i="3"/>
  <c r="C69" i="3"/>
  <c r="B69" i="3"/>
  <c r="L68" i="3"/>
  <c r="K68" i="3"/>
  <c r="E68" i="3"/>
  <c r="C68" i="3"/>
  <c r="B68" i="3"/>
  <c r="L67" i="3"/>
  <c r="K67" i="3"/>
  <c r="G67" i="3"/>
  <c r="F67" i="3"/>
  <c r="E67" i="3"/>
  <c r="D67" i="3"/>
  <c r="C67" i="3"/>
  <c r="H67" i="3" s="1"/>
  <c r="B67" i="3"/>
  <c r="L66" i="3"/>
  <c r="K66" i="3"/>
  <c r="F66" i="3"/>
  <c r="E66" i="3"/>
  <c r="D66" i="3"/>
  <c r="C66" i="3"/>
  <c r="H66" i="3" s="1"/>
  <c r="B66" i="3"/>
  <c r="L65" i="3"/>
  <c r="K65" i="3"/>
  <c r="F65" i="3"/>
  <c r="H65" i="3" s="1"/>
  <c r="E65" i="3"/>
  <c r="C65" i="3"/>
  <c r="B65" i="3"/>
  <c r="K64" i="3"/>
  <c r="H64" i="3"/>
  <c r="E64" i="3"/>
  <c r="F64" i="3" s="1"/>
  <c r="C64" i="3"/>
  <c r="B64" i="3"/>
  <c r="K63" i="3"/>
  <c r="E63" i="3"/>
  <c r="F63" i="3" s="1"/>
  <c r="H63" i="3" s="1"/>
  <c r="D63" i="3"/>
  <c r="G63" i="3" s="1"/>
  <c r="C63" i="3"/>
  <c r="B63" i="3"/>
  <c r="E62" i="3"/>
  <c r="C62" i="3"/>
  <c r="B62" i="3"/>
  <c r="K61" i="3"/>
  <c r="J61" i="3" s="1"/>
  <c r="E61" i="3"/>
  <c r="F61" i="3" s="1"/>
  <c r="C61" i="3"/>
  <c r="H61" i="3" s="1"/>
  <c r="B61" i="3"/>
  <c r="G61" i="3" s="1"/>
  <c r="K60" i="3"/>
  <c r="H60" i="3"/>
  <c r="G60" i="3"/>
  <c r="F60" i="3"/>
  <c r="E60" i="3"/>
  <c r="D60" i="3"/>
  <c r="C60" i="3"/>
  <c r="B60" i="3"/>
  <c r="K59" i="3"/>
  <c r="E59" i="3"/>
  <c r="D59" i="3"/>
  <c r="C59" i="3"/>
  <c r="B59" i="3"/>
  <c r="F59" i="3" s="1"/>
  <c r="K43" i="3"/>
  <c r="E43" i="3"/>
  <c r="C43" i="3"/>
  <c r="B43" i="3"/>
  <c r="K42" i="3"/>
  <c r="J42" i="3"/>
  <c r="G42" i="3"/>
  <c r="E42" i="3"/>
  <c r="F42" i="3" s="1"/>
  <c r="D42" i="3"/>
  <c r="C42" i="3"/>
  <c r="B42" i="3"/>
  <c r="E41" i="3"/>
  <c r="C41" i="3"/>
  <c r="B41" i="3"/>
  <c r="F41" i="3" s="1"/>
  <c r="K40" i="3"/>
  <c r="E40" i="3"/>
  <c r="D40" i="3"/>
  <c r="C40" i="3"/>
  <c r="B40" i="3"/>
  <c r="K39" i="3"/>
  <c r="E39" i="3"/>
  <c r="F39" i="3" s="1"/>
  <c r="H39" i="3" s="1"/>
  <c r="C39" i="3"/>
  <c r="B39" i="3"/>
  <c r="L38" i="3"/>
  <c r="L47" i="3" s="1"/>
  <c r="K38" i="3"/>
  <c r="E38" i="3"/>
  <c r="F38" i="3" s="1"/>
  <c r="D38" i="3"/>
  <c r="G38" i="3" s="1"/>
  <c r="C38" i="3"/>
  <c r="B38" i="3"/>
  <c r="J37" i="3"/>
  <c r="H36" i="3"/>
  <c r="F36" i="3"/>
  <c r="E36" i="3"/>
  <c r="D36" i="3"/>
  <c r="C36" i="3"/>
  <c r="B36" i="3"/>
  <c r="L35" i="3"/>
  <c r="K35" i="3"/>
  <c r="F35" i="3"/>
  <c r="H35" i="3" s="1"/>
  <c r="E35" i="3"/>
  <c r="D35" i="3"/>
  <c r="C35" i="3"/>
  <c r="B35" i="3"/>
  <c r="K34" i="3"/>
  <c r="H34" i="3"/>
  <c r="E34" i="3"/>
  <c r="C34" i="3"/>
  <c r="B34" i="3"/>
  <c r="F34" i="3" s="1"/>
  <c r="K33" i="3"/>
  <c r="G33" i="3"/>
  <c r="F33" i="3"/>
  <c r="H33" i="3" s="1"/>
  <c r="E33" i="3"/>
  <c r="D33" i="3"/>
  <c r="C33" i="3"/>
  <c r="B33" i="3"/>
  <c r="L32" i="3"/>
  <c r="K32" i="3"/>
  <c r="E32" i="3"/>
  <c r="C32" i="3"/>
  <c r="C48" i="3" s="1"/>
  <c r="B32" i="3"/>
  <c r="F32" i="3" s="1"/>
  <c r="K16" i="3"/>
  <c r="E16" i="3"/>
  <c r="C16" i="3"/>
  <c r="B16" i="3"/>
  <c r="K15" i="3"/>
  <c r="E15" i="3"/>
  <c r="F15" i="3" s="1"/>
  <c r="D15" i="3"/>
  <c r="G15" i="3" s="1"/>
  <c r="C15" i="3"/>
  <c r="B15" i="3"/>
  <c r="K14" i="3"/>
  <c r="F14" i="3"/>
  <c r="E14" i="3"/>
  <c r="D14" i="3"/>
  <c r="C14" i="3"/>
  <c r="H14" i="3" s="1"/>
  <c r="B14" i="3"/>
  <c r="K13" i="3"/>
  <c r="E13" i="3"/>
  <c r="F13" i="3" s="1"/>
  <c r="C13" i="3"/>
  <c r="B13" i="3"/>
  <c r="K12" i="3"/>
  <c r="F12" i="3"/>
  <c r="H12" i="3" s="1"/>
  <c r="E12" i="3"/>
  <c r="C12" i="3"/>
  <c r="B12" i="3"/>
  <c r="K11" i="3"/>
  <c r="E11" i="3"/>
  <c r="F11" i="3" s="1"/>
  <c r="C11" i="3"/>
  <c r="B11" i="3"/>
  <c r="K10" i="3"/>
  <c r="H10" i="3"/>
  <c r="F10" i="3"/>
  <c r="E10" i="3"/>
  <c r="C10" i="3"/>
  <c r="B10" i="3"/>
  <c r="K9" i="3"/>
  <c r="E9" i="3"/>
  <c r="F9" i="3" s="1"/>
  <c r="C9" i="3"/>
  <c r="H9" i="3" s="1"/>
  <c r="B9" i="3"/>
  <c r="K8" i="3"/>
  <c r="H8" i="3"/>
  <c r="F8" i="3"/>
  <c r="E8" i="3"/>
  <c r="C8" i="3"/>
  <c r="B8" i="3"/>
  <c r="F7" i="3"/>
  <c r="E7" i="3"/>
  <c r="D7" i="3"/>
  <c r="G7" i="3" s="1"/>
  <c r="C7" i="3"/>
  <c r="H7" i="3" s="1"/>
  <c r="B7" i="3"/>
  <c r="K6" i="3"/>
  <c r="F6" i="3"/>
  <c r="H6" i="3" s="1"/>
  <c r="E6" i="3"/>
  <c r="C6" i="3"/>
  <c r="B6" i="3"/>
  <c r="K5" i="3"/>
  <c r="E5" i="3"/>
  <c r="F5" i="3" s="1"/>
  <c r="C5" i="3"/>
  <c r="B5" i="3"/>
  <c r="H35" i="1"/>
  <c r="C35" i="1" s="1"/>
  <c r="B35" i="1"/>
  <c r="C34" i="1"/>
  <c r="B34" i="1"/>
  <c r="C33" i="1"/>
  <c r="B33" i="1"/>
  <c r="C32" i="1"/>
  <c r="B32" i="1"/>
  <c r="C31" i="1"/>
  <c r="B31" i="1"/>
  <c r="C29" i="1"/>
  <c r="B29" i="1"/>
  <c r="B37" i="1" s="1"/>
  <c r="C37" i="1"/>
  <c r="C28" i="1"/>
  <c r="B27" i="1"/>
  <c r="C19" i="1"/>
  <c r="B19" i="1"/>
  <c r="H16" i="1"/>
  <c r="G16" i="1"/>
  <c r="C16" i="1"/>
  <c r="B16" i="1"/>
  <c r="C9" i="1"/>
  <c r="B8" i="1"/>
  <c r="G5" i="1"/>
  <c r="C5" i="1"/>
  <c r="G4" i="1"/>
  <c r="C4" i="1"/>
  <c r="B4" i="1"/>
  <c r="C3" i="1"/>
  <c r="B3" i="1"/>
  <c r="J3" i="1" s="1"/>
  <c r="K3" i="1" l="1"/>
  <c r="J4" i="1"/>
  <c r="K4" i="1"/>
  <c r="D37" i="1"/>
  <c r="G43" i="3"/>
  <c r="J43" i="3" s="1"/>
  <c r="B10" i="5"/>
  <c r="J12" i="3"/>
  <c r="B9" i="5"/>
  <c r="J11" i="3"/>
  <c r="J7" i="3"/>
  <c r="N7" i="3" s="1"/>
  <c r="B5" i="5"/>
  <c r="J15" i="3"/>
  <c r="B13" i="5"/>
  <c r="G14" i="3"/>
  <c r="B21" i="3"/>
  <c r="G35" i="3"/>
  <c r="G66" i="3"/>
  <c r="J66" i="3" s="1"/>
  <c r="O819" i="7"/>
  <c r="P821" i="7" s="1"/>
  <c r="Q217" i="4"/>
  <c r="N217" i="4"/>
  <c r="I31" i="4"/>
  <c r="I79" i="4"/>
  <c r="O522" i="7" s="1"/>
  <c r="D43" i="3"/>
  <c r="O605" i="7"/>
  <c r="I122" i="4"/>
  <c r="O895" i="7" s="1"/>
  <c r="P897" i="7" s="1"/>
  <c r="D68" i="3"/>
  <c r="G68" i="3" s="1"/>
  <c r="J68" i="3" s="1"/>
  <c r="O1354" i="7"/>
  <c r="L1430" i="7"/>
  <c r="H38" i="3"/>
  <c r="H41" i="3"/>
  <c r="J60" i="3"/>
  <c r="K73" i="3"/>
  <c r="D86" i="3"/>
  <c r="B100" i="3"/>
  <c r="O16" i="7"/>
  <c r="I74" i="4"/>
  <c r="D41" i="3"/>
  <c r="K20" i="3"/>
  <c r="H11" i="3"/>
  <c r="J33" i="3"/>
  <c r="G90" i="3"/>
  <c r="B34" i="5" s="1"/>
  <c r="G93" i="3"/>
  <c r="I2" i="4"/>
  <c r="L211" i="4"/>
  <c r="D5" i="3"/>
  <c r="G5" i="3" s="1"/>
  <c r="J5" i="3" s="1"/>
  <c r="O68" i="7"/>
  <c r="P70" i="7" s="1"/>
  <c r="J219" i="4"/>
  <c r="C74" i="3"/>
  <c r="H59" i="3"/>
  <c r="J67" i="3"/>
  <c r="G6" i="3"/>
  <c r="J35" i="3"/>
  <c r="G41" i="3"/>
  <c r="J41" i="3" s="1"/>
  <c r="F43" i="3"/>
  <c r="H43" i="3" s="1"/>
  <c r="G59" i="3"/>
  <c r="O339" i="7"/>
  <c r="C35" i="11"/>
  <c r="K227" i="4"/>
  <c r="H5" i="3"/>
  <c r="C21" i="3"/>
  <c r="J9" i="3"/>
  <c r="F16" i="3"/>
  <c r="H16" i="3" s="1"/>
  <c r="H32" i="3"/>
  <c r="O207" i="4"/>
  <c r="K228" i="4"/>
  <c r="I32" i="4"/>
  <c r="O34" i="7" s="1"/>
  <c r="P36" i="7" s="1"/>
  <c r="D13" i="3"/>
  <c r="G13" i="3" s="1"/>
  <c r="D39" i="3"/>
  <c r="G39" i="3" s="1"/>
  <c r="J39" i="3" s="1"/>
  <c r="O1182" i="7"/>
  <c r="P1184" i="7" s="1"/>
  <c r="D92" i="3"/>
  <c r="G92" i="3" s="1"/>
  <c r="E216" i="4"/>
  <c r="C14" i="1" s="1"/>
  <c r="B5" i="1"/>
  <c r="K47" i="3"/>
  <c r="J32" i="3"/>
  <c r="G36" i="3"/>
  <c r="J36" i="3" s="1"/>
  <c r="G40" i="3"/>
  <c r="J40" i="3" s="1"/>
  <c r="F40" i="3"/>
  <c r="H40" i="3" s="1"/>
  <c r="H42" i="3"/>
  <c r="D65" i="3"/>
  <c r="G65" i="3" s="1"/>
  <c r="J65" i="3" s="1"/>
  <c r="F68" i="3"/>
  <c r="H68" i="3" s="1"/>
  <c r="G85" i="3"/>
  <c r="F85" i="3"/>
  <c r="H85" i="3" s="1"/>
  <c r="J91" i="3"/>
  <c r="K231" i="4"/>
  <c r="K229" i="4"/>
  <c r="O560" i="7"/>
  <c r="J216" i="4"/>
  <c r="T131" i="7"/>
  <c r="O222" i="7"/>
  <c r="I1429" i="7"/>
  <c r="O4" i="1" s="1"/>
  <c r="B48" i="3"/>
  <c r="G32" i="3"/>
  <c r="G69" i="3"/>
  <c r="J69" i="3" s="1"/>
  <c r="F69" i="3"/>
  <c r="H69" i="3" s="1"/>
  <c r="G86" i="3"/>
  <c r="B74" i="3"/>
  <c r="G10" i="3"/>
  <c r="H13" i="3"/>
  <c r="H15" i="3"/>
  <c r="J38" i="3"/>
  <c r="H88" i="3"/>
  <c r="F90" i="3"/>
  <c r="H90" i="3" s="1"/>
  <c r="F93" i="3"/>
  <c r="H93" i="3" s="1"/>
  <c r="J229" i="4"/>
  <c r="L210" i="4"/>
  <c r="J218" i="4" s="1"/>
  <c r="I51" i="4"/>
  <c r="O131" i="7" s="1"/>
  <c r="P133" i="7" s="1"/>
  <c r="O970" i="7"/>
  <c r="P972" i="7" s="1"/>
  <c r="P207" i="4"/>
  <c r="T702" i="7"/>
  <c r="H1429" i="7"/>
  <c r="J63" i="3"/>
  <c r="J88" i="3"/>
  <c r="D64" i="3"/>
  <c r="G64" i="3" s="1"/>
  <c r="J64" i="3" s="1"/>
  <c r="I99" i="4"/>
  <c r="O743" i="7" s="1"/>
  <c r="P745" i="7" s="1"/>
  <c r="D34" i="3"/>
  <c r="G34" i="3" s="1"/>
  <c r="J34" i="3" s="1"/>
  <c r="I57" i="4"/>
  <c r="O169" i="7" s="1"/>
  <c r="P171" i="7" s="1"/>
  <c r="K232" i="4"/>
  <c r="G62" i="3"/>
  <c r="J62" i="3" s="1"/>
  <c r="F62" i="3"/>
  <c r="H62" i="3" s="1"/>
  <c r="J90" i="3"/>
  <c r="D8" i="3"/>
  <c r="G8" i="3" s="1"/>
  <c r="K230" i="4"/>
  <c r="G89" i="3"/>
  <c r="D16" i="3"/>
  <c r="G16" i="3" s="1"/>
  <c r="O220" i="7"/>
  <c r="P222" i="7" s="1"/>
  <c r="O777" i="7"/>
  <c r="P779" i="7" s="1"/>
  <c r="O1023" i="7"/>
  <c r="P1025" i="7" s="1"/>
  <c r="J232" i="4"/>
  <c r="O305" i="7"/>
  <c r="P307" i="7" s="1"/>
  <c r="O341" i="7" s="1"/>
  <c r="O1025" i="7"/>
  <c r="L1428" i="7"/>
  <c r="H186" i="7"/>
  <c r="H184" i="7"/>
  <c r="O1102" i="7"/>
  <c r="P1104" i="7" s="1"/>
  <c r="K226" i="4"/>
  <c r="T220" i="7"/>
  <c r="I1430" i="7"/>
  <c r="O3" i="1" s="1"/>
  <c r="O1063" i="7"/>
  <c r="P1065" i="7" s="1"/>
  <c r="I183" i="4"/>
  <c r="O1301" i="7" s="1"/>
  <c r="P1303" i="7" s="1"/>
  <c r="D230" i="4"/>
  <c r="D231" i="4"/>
  <c r="L1431" i="7"/>
  <c r="O18" i="7"/>
  <c r="C44" i="11"/>
  <c r="O1256" i="7"/>
  <c r="P1258" i="7" s="1"/>
  <c r="F76" i="5"/>
  <c r="F78" i="5" s="1"/>
  <c r="P294" i="7"/>
  <c r="O307" i="7" s="1"/>
  <c r="H1428" i="7"/>
  <c r="T743" i="7"/>
  <c r="I1428" i="7"/>
  <c r="O5" i="1" s="1"/>
  <c r="T1024" i="7"/>
  <c r="K1431" i="7"/>
  <c r="I1425" i="7"/>
  <c r="T339" i="7"/>
  <c r="E232" i="4"/>
  <c r="G87" i="3"/>
  <c r="L209" i="4"/>
  <c r="J217" i="4" s="1"/>
  <c r="O651" i="7"/>
  <c r="O927" i="7"/>
  <c r="P929" i="7" s="1"/>
  <c r="D70" i="3"/>
  <c r="G70" i="3" s="1"/>
  <c r="J70" i="3" s="1"/>
  <c r="C238" i="4"/>
  <c r="F73" i="5"/>
  <c r="F75" i="5" s="1"/>
  <c r="F77" i="5" s="1"/>
  <c r="T169" i="7"/>
  <c r="T340" i="7"/>
  <c r="T429" i="7"/>
  <c r="T668" i="7"/>
  <c r="T1102" i="7"/>
  <c r="T1301" i="7"/>
  <c r="I1424" i="7"/>
  <c r="H300" i="7"/>
  <c r="O701" i="7"/>
  <c r="P703" i="7" s="1"/>
  <c r="O858" i="7"/>
  <c r="P860" i="7" s="1"/>
  <c r="E215" i="4"/>
  <c r="B14" i="1" s="1"/>
  <c r="O473" i="7"/>
  <c r="R3" i="9"/>
  <c r="B10" i="1" s="1"/>
  <c r="E4" i="10"/>
  <c r="L1429" i="7"/>
  <c r="L4" i="10"/>
  <c r="C11" i="1" s="1"/>
  <c r="E28" i="11"/>
  <c r="E29" i="11" s="1"/>
  <c r="E30" i="11" s="1"/>
  <c r="E31" i="11" s="1"/>
  <c r="E32" i="11" s="1"/>
  <c r="E33" i="11" s="1"/>
  <c r="E34" i="11" s="1"/>
  <c r="E35" i="11" s="1"/>
  <c r="E36" i="11" s="1"/>
  <c r="E37" i="11" s="1"/>
  <c r="T778" i="7"/>
  <c r="S4" i="10"/>
  <c r="D12" i="1" s="1"/>
  <c r="C237" i="4"/>
  <c r="T1103" i="7"/>
  <c r="D237" i="4"/>
  <c r="Z4" i="10"/>
  <c r="C13" i="1" s="1"/>
  <c r="O1356" i="7"/>
  <c r="C21" i="1" l="1"/>
  <c r="C42" i="1" s="1"/>
  <c r="B14" i="5"/>
  <c r="F14" i="5" s="1"/>
  <c r="J16" i="3"/>
  <c r="C50" i="11"/>
  <c r="O218" i="4"/>
  <c r="M218" i="4"/>
  <c r="B36" i="5"/>
  <c r="J92" i="3"/>
  <c r="B6" i="5"/>
  <c r="J8" i="3"/>
  <c r="B104" i="3"/>
  <c r="J99" i="3" s="1"/>
  <c r="B29" i="5"/>
  <c r="J85" i="3"/>
  <c r="O217" i="4"/>
  <c r="M217" i="4"/>
  <c r="Q230" i="4"/>
  <c r="O219" i="4"/>
  <c r="A3" i="5" s="1"/>
  <c r="F19" i="5" s="1"/>
  <c r="Q228" i="4"/>
  <c r="C37" i="11"/>
  <c r="O429" i="7"/>
  <c r="E239" i="4"/>
  <c r="N230" i="4"/>
  <c r="D232" i="4"/>
  <c r="E38" i="11"/>
  <c r="E39" i="11" s="1"/>
  <c r="E40" i="11" s="1"/>
  <c r="E41" i="11" s="1"/>
  <c r="E42" i="11" s="1"/>
  <c r="B4" i="5"/>
  <c r="J6" i="3"/>
  <c r="P18" i="7"/>
  <c r="J14" i="3"/>
  <c r="B12" i="5"/>
  <c r="J10" i="3"/>
  <c r="B8" i="5"/>
  <c r="H224" i="7"/>
  <c r="H1424" i="7" s="1"/>
  <c r="B11" i="5"/>
  <c r="J13" i="3"/>
  <c r="C25" i="3"/>
  <c r="H19" i="3"/>
  <c r="B3" i="5"/>
  <c r="B25" i="3"/>
  <c r="J20" i="3" s="1"/>
  <c r="O657" i="7"/>
  <c r="E240" i="4"/>
  <c r="D240" i="4"/>
  <c r="N231" i="4"/>
  <c r="A29" i="5"/>
  <c r="F45" i="5" s="1"/>
  <c r="M216" i="4"/>
  <c r="P1356" i="7"/>
  <c r="J86" i="3"/>
  <c r="B30" i="5"/>
  <c r="P562" i="7"/>
  <c r="O567" i="7"/>
  <c r="H264" i="7"/>
  <c r="B31" i="5"/>
  <c r="J87" i="3"/>
  <c r="P341" i="7"/>
  <c r="O396" i="7" s="1"/>
  <c r="P396" i="7" s="1"/>
  <c r="O431" i="7" s="1"/>
  <c r="B37" i="5"/>
  <c r="J93" i="3"/>
  <c r="D239" i="4"/>
  <c r="B33" i="5"/>
  <c r="J89" i="3"/>
  <c r="K5" i="1"/>
  <c r="J5" i="1"/>
  <c r="H46" i="3"/>
  <c r="C52" i="3"/>
  <c r="B52" i="3"/>
  <c r="J47" i="3" s="1"/>
  <c r="C104" i="3"/>
  <c r="H98" i="3"/>
  <c r="B78" i="3"/>
  <c r="J73" i="3" s="1"/>
  <c r="J59" i="3"/>
  <c r="H72" i="3"/>
  <c r="C78" i="3"/>
  <c r="F20" i="5" l="1"/>
  <c r="F24" i="5" s="1"/>
  <c r="F26" i="5" s="1"/>
  <c r="F21" i="5"/>
  <c r="F23" i="5" s="1"/>
  <c r="F25" i="5" s="1"/>
  <c r="O660" i="7"/>
  <c r="F43" i="11"/>
  <c r="F50" i="11" s="1"/>
  <c r="N232" i="4"/>
  <c r="H1430" i="7"/>
  <c r="H1425" i="7"/>
  <c r="R230" i="4"/>
  <c r="Q231" i="4"/>
  <c r="J573" i="7"/>
  <c r="K573" i="7"/>
  <c r="P602" i="7"/>
  <c r="J1384" i="7"/>
  <c r="J1428" i="7" s="1"/>
  <c r="K1384" i="7"/>
  <c r="F46" i="5"/>
  <c r="F50" i="5" s="1"/>
  <c r="F52" i="5" s="1"/>
  <c r="F47" i="5"/>
  <c r="F49" i="5" s="1"/>
  <c r="F51" i="5" s="1"/>
  <c r="P431" i="7"/>
  <c r="O475" i="7" s="1"/>
  <c r="P475" i="7" s="1"/>
  <c r="G14" i="5"/>
  <c r="F16" i="5"/>
  <c r="D16" i="5" s="1"/>
  <c r="T560" i="7" l="1"/>
  <c r="T1354" i="7"/>
  <c r="K1428" i="7"/>
  <c r="N5" i="1" s="1"/>
  <c r="P5" i="1" s="1"/>
  <c r="J605" i="7"/>
  <c r="K605" i="7"/>
  <c r="T600" i="7" s="1"/>
  <c r="P653" i="7"/>
  <c r="E44" i="11"/>
  <c r="E45" i="11" s="1"/>
  <c r="E46" i="11" s="1"/>
  <c r="E50" i="11" s="1"/>
  <c r="B15" i="1" s="1"/>
  <c r="B21" i="1" s="1"/>
  <c r="K486" i="7"/>
  <c r="J486" i="7"/>
  <c r="O524" i="7"/>
  <c r="P524" i="7" s="1"/>
  <c r="J1430" i="7" l="1"/>
  <c r="T473" i="7"/>
  <c r="K1430" i="7"/>
  <c r="N3" i="1" s="1"/>
  <c r="K1425" i="7"/>
  <c r="K642" i="7"/>
  <c r="T651" i="7" s="1"/>
  <c r="J642" i="7"/>
  <c r="J1429" i="7" s="1"/>
  <c r="P669" i="7"/>
  <c r="B42" i="1"/>
  <c r="G43" i="1" s="1"/>
  <c r="D21" i="1"/>
  <c r="D43" i="1" s="1"/>
  <c r="K1424" i="7" l="1"/>
  <c r="J1425" i="7"/>
  <c r="J1424" i="7"/>
  <c r="K1429" i="7"/>
  <c r="N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149" authorId="0" shapeId="0" xr:uid="{00000000-0006-0000-0600-000001000000}">
      <text>
        <r>
          <rPr>
            <sz val="10"/>
            <color rgb="FF000000"/>
            <rFont val="Arial"/>
          </rPr>
          <t>liquidacion por egreso
	-Jacqueline Valverde</t>
        </r>
      </text>
    </comment>
  </commentList>
</comments>
</file>

<file path=xl/sharedStrings.xml><?xml version="1.0" encoding="utf-8"?>
<sst xmlns="http://schemas.openxmlformats.org/spreadsheetml/2006/main" count="10860" uniqueCount="1569">
  <si>
    <t>Total gastos anuales</t>
  </si>
  <si>
    <t>Total Ing - Egr</t>
  </si>
  <si>
    <t>$</t>
  </si>
  <si>
    <t>u$s</t>
  </si>
  <si>
    <t>T/C</t>
  </si>
  <si>
    <t>Convertido</t>
  </si>
  <si>
    <t>U$S</t>
  </si>
  <si>
    <t>Total u$s</t>
  </si>
  <si>
    <t>Facturacion 2023</t>
  </si>
  <si>
    <t>Gastos 2023</t>
  </si>
  <si>
    <t>Facturacion 2024</t>
  </si>
  <si>
    <t>Gastos 2024</t>
  </si>
  <si>
    <t>Facturacion 2025</t>
  </si>
  <si>
    <t>Gastos 2025</t>
  </si>
  <si>
    <t>Activo</t>
  </si>
  <si>
    <t>Simulacion</t>
  </si>
  <si>
    <t>Cta.Cte. Santander m/n</t>
  </si>
  <si>
    <t>Cta.Cte. Santander u$s</t>
  </si>
  <si>
    <t>Aplicar ?</t>
  </si>
  <si>
    <t>Cta.Cte. ITAU $</t>
  </si>
  <si>
    <t>Cta.Cte. ITAU u$s</t>
  </si>
  <si>
    <t>Cta.Cte. MERCURY U$S</t>
  </si>
  <si>
    <t>Cta.Cte. Payoneer U$S</t>
  </si>
  <si>
    <t>Fact. a cobrar</t>
  </si>
  <si>
    <t>Certificados</t>
  </si>
  <si>
    <t>Prestamos a cobrar</t>
  </si>
  <si>
    <t>revisar - 2/05/2025</t>
  </si>
  <si>
    <t>Caja Chica</t>
  </si>
  <si>
    <t>IRNR a recuperar</t>
  </si>
  <si>
    <t>Utilidades retiradas</t>
  </si>
  <si>
    <t>Control</t>
  </si>
  <si>
    <t>nota: estas columnas grises se cargan manualmente para simular</t>
  </si>
  <si>
    <t>Total activo</t>
  </si>
  <si>
    <t>Pasivo</t>
  </si>
  <si>
    <t>Cobranzas sin imputar</t>
  </si>
  <si>
    <t>Iva a pagar m/n</t>
  </si>
  <si>
    <t>Irae a Pagar fin año</t>
  </si>
  <si>
    <t>Impuesto patrimonio</t>
  </si>
  <si>
    <t>Prestamos a pagar</t>
  </si>
  <si>
    <t>Cuentas a pagar</t>
  </si>
  <si>
    <t>Licencias a pagar</t>
  </si>
  <si>
    <t>Sueldos a pagar</t>
  </si>
  <si>
    <t>Bps a pagar</t>
  </si>
  <si>
    <t>Gastos oficina a pagar</t>
  </si>
  <si>
    <t>Utilidades socios mes</t>
  </si>
  <si>
    <t>Utilidades a pagar</t>
  </si>
  <si>
    <t>Total pasivo</t>
  </si>
  <si>
    <t>Utilidad total</t>
  </si>
  <si>
    <t>Patrimonio</t>
  </si>
  <si>
    <t>Convertido u$s</t>
  </si>
  <si>
    <t>Gastos Comunes</t>
  </si>
  <si>
    <t>IRAE</t>
  </si>
  <si>
    <t>t/c</t>
  </si>
  <si>
    <t>Total</t>
  </si>
  <si>
    <t>29/12/2022</t>
  </si>
  <si>
    <t>Fecha</t>
  </si>
  <si>
    <t>30/12/2022</t>
  </si>
  <si>
    <t>31/12/2023</t>
  </si>
  <si>
    <t>24/07/2024</t>
  </si>
  <si>
    <t>Subtotal</t>
  </si>
  <si>
    <t>31/01/2023</t>
  </si>
  <si>
    <t>dolares</t>
  </si>
  <si>
    <t>27/12/2024</t>
  </si>
  <si>
    <t>Santander</t>
  </si>
  <si>
    <t>Iva</t>
  </si>
  <si>
    <t>29/04/2025</t>
  </si>
  <si>
    <t>Saldo inicial</t>
  </si>
  <si>
    <t>31/07/2025</t>
  </si>
  <si>
    <t>Google Suite Globe</t>
  </si>
  <si>
    <t>Google Cloud</t>
  </si>
  <si>
    <t xml:space="preserve"> </t>
  </si>
  <si>
    <t>FACTURACION 2022</t>
  </si>
  <si>
    <t>Mes</t>
  </si>
  <si>
    <t>Monto s/IVA</t>
  </si>
  <si>
    <t>Conversion</t>
  </si>
  <si>
    <t>Totales</t>
  </si>
  <si>
    <t>Diferencia UCFE</t>
  </si>
  <si>
    <t>UCFE</t>
  </si>
  <si>
    <t xml:space="preserve">$ </t>
  </si>
  <si>
    <t xml:space="preserve">U$S </t>
  </si>
  <si>
    <t xml:space="preserve">Enero </t>
  </si>
  <si>
    <t>Febrero</t>
  </si>
  <si>
    <t>Marzo</t>
  </si>
  <si>
    <t>diferencia tipo de cambio</t>
  </si>
  <si>
    <t>Abril</t>
  </si>
  <si>
    <t>Mayo</t>
  </si>
  <si>
    <t>Junio</t>
  </si>
  <si>
    <t>Julio</t>
  </si>
  <si>
    <t>Agosto</t>
  </si>
  <si>
    <t>Setiembre</t>
  </si>
  <si>
    <t>Factura de exportacion</t>
  </si>
  <si>
    <t>Octubre</t>
  </si>
  <si>
    <t>Noviembre</t>
  </si>
  <si>
    <t>Diciembre</t>
  </si>
  <si>
    <t>Promedio</t>
  </si>
  <si>
    <t>Total facturado 2022</t>
  </si>
  <si>
    <t>Total facturado expresado en</t>
  </si>
  <si>
    <t>FACTURACION 2023</t>
  </si>
  <si>
    <t>$ - fac con IVA</t>
  </si>
  <si>
    <t>$ - factura de exportacion</t>
  </si>
  <si>
    <t>Total facturado 2023</t>
  </si>
  <si>
    <t>FACTURACION 2024</t>
  </si>
  <si>
    <t>Total facturado 2024</t>
  </si>
  <si>
    <t>FACTURACION 2025</t>
  </si>
  <si>
    <t>Total facturado 2025</t>
  </si>
  <si>
    <t>Factura</t>
  </si>
  <si>
    <t>Cliente</t>
  </si>
  <si>
    <t>C.Costos</t>
  </si>
  <si>
    <t>Tema</t>
  </si>
  <si>
    <t>Neto m/n</t>
  </si>
  <si>
    <t>Cobrado?</t>
  </si>
  <si>
    <t>Pagado?</t>
  </si>
  <si>
    <t>Monto m/n</t>
  </si>
  <si>
    <t>Neto u$s</t>
  </si>
  <si>
    <t>Convertido $</t>
  </si>
  <si>
    <t>Monto u$s</t>
  </si>
  <si>
    <t>Exonerado</t>
  </si>
  <si>
    <t>A cobrar $</t>
  </si>
  <si>
    <t>A cobrar u$s</t>
  </si>
  <si>
    <t>A cuenta $</t>
  </si>
  <si>
    <t>A cuenta $s</t>
  </si>
  <si>
    <t>A001</t>
  </si>
  <si>
    <t>UXDivers</t>
  </si>
  <si>
    <t>26/01/2022</t>
  </si>
  <si>
    <t>web orders/Team Minder web</t>
  </si>
  <si>
    <t>S</t>
  </si>
  <si>
    <t>A002</t>
  </si>
  <si>
    <t>A003</t>
  </si>
  <si>
    <t>Mevir</t>
  </si>
  <si>
    <t>31/01/2022</t>
  </si>
  <si>
    <t>A004</t>
  </si>
  <si>
    <t>A005</t>
  </si>
  <si>
    <t>A006</t>
  </si>
  <si>
    <t>Ingesol</t>
  </si>
  <si>
    <t>16/02/2022</t>
  </si>
  <si>
    <t>A007</t>
  </si>
  <si>
    <t>A008</t>
  </si>
  <si>
    <t>25/02/2022</t>
  </si>
  <si>
    <t>A009</t>
  </si>
  <si>
    <t>A010</t>
  </si>
  <si>
    <t>A011</t>
  </si>
  <si>
    <t>31/03/2022</t>
  </si>
  <si>
    <t>web orders</t>
  </si>
  <si>
    <t>A012</t>
  </si>
  <si>
    <t>greatvines</t>
  </si>
  <si>
    <t>A013</t>
  </si>
  <si>
    <t>25/04/2022</t>
  </si>
  <si>
    <t>Manejo de archivos | Gestión Mevir | SIM</t>
  </si>
  <si>
    <t>A014</t>
  </si>
  <si>
    <t>30/04/2022</t>
  </si>
  <si>
    <t>A015</t>
  </si>
  <si>
    <t>Greatvines</t>
  </si>
  <si>
    <t>A016</t>
  </si>
  <si>
    <t>25/05/2022</t>
  </si>
  <si>
    <t>A017</t>
  </si>
  <si>
    <t>31/05/2022</t>
  </si>
  <si>
    <t>A018</t>
  </si>
  <si>
    <t>A019</t>
  </si>
  <si>
    <t>13/06/2022</t>
  </si>
  <si>
    <t>Sets</t>
  </si>
  <si>
    <t>Anticipo inicial 30% - SETS</t>
  </si>
  <si>
    <t>A020</t>
  </si>
  <si>
    <t>30/06/2022</t>
  </si>
  <si>
    <t>A021</t>
  </si>
  <si>
    <t>A022</t>
  </si>
  <si>
    <t>25/07/2022</t>
  </si>
  <si>
    <t>A023</t>
  </si>
  <si>
    <t>A024</t>
  </si>
  <si>
    <t>29/07/2022</t>
  </si>
  <si>
    <t>GreatVines</t>
  </si>
  <si>
    <t>A025</t>
  </si>
  <si>
    <t>A026</t>
  </si>
  <si>
    <t>31/08/2022</t>
  </si>
  <si>
    <t>A027</t>
  </si>
  <si>
    <t>A028</t>
  </si>
  <si>
    <t>A029</t>
  </si>
  <si>
    <t>30/09/2022</t>
  </si>
  <si>
    <t>Iteración 1 de 8</t>
  </si>
  <si>
    <t>A030</t>
  </si>
  <si>
    <t>A031</t>
  </si>
  <si>
    <t>A01</t>
  </si>
  <si>
    <t>OrgaPlus</t>
  </si>
  <si>
    <t>E-Factura de Exportacion</t>
  </si>
  <si>
    <t>A032</t>
  </si>
  <si>
    <t>20/10/2022</t>
  </si>
  <si>
    <t>Iteracion 2 de 8</t>
  </si>
  <si>
    <t>A033</t>
  </si>
  <si>
    <t>31/10/2022</t>
  </si>
  <si>
    <t>A034</t>
  </si>
  <si>
    <t>A02</t>
  </si>
  <si>
    <t>A035</t>
  </si>
  <si>
    <t>20/11/2022</t>
  </si>
  <si>
    <t>Iteracion 3 de 8</t>
  </si>
  <si>
    <t>A036</t>
  </si>
  <si>
    <t>30/11/2022</t>
  </si>
  <si>
    <t>A037</t>
  </si>
  <si>
    <t>A03</t>
  </si>
  <si>
    <t>A038</t>
  </si>
  <si>
    <t>19/12/2022</t>
  </si>
  <si>
    <t>Iteracion 4 de 8</t>
  </si>
  <si>
    <t>A039</t>
  </si>
  <si>
    <t>26/12/2022</t>
  </si>
  <si>
    <t>Actas | GS UI Components</t>
  </si>
  <si>
    <t>A040</t>
  </si>
  <si>
    <t>Pragmatic platform | GS UI Components</t>
  </si>
  <si>
    <t>A04</t>
  </si>
  <si>
    <t>31/12/2022</t>
  </si>
  <si>
    <t>A041</t>
  </si>
  <si>
    <t>A042</t>
  </si>
  <si>
    <t>A043</t>
  </si>
  <si>
    <t>Saldo por desarrollo de software - Proyecto App Solicitudes</t>
  </si>
  <si>
    <t>A044</t>
  </si>
  <si>
    <t>19/01/2023</t>
  </si>
  <si>
    <t>Iteracion 5 de 8</t>
  </si>
  <si>
    <t>A045</t>
  </si>
  <si>
    <t>A05</t>
  </si>
  <si>
    <t>A046</t>
  </si>
  <si>
    <t>27/02/2023</t>
  </si>
  <si>
    <t>Iteracion 6 de 8</t>
  </si>
  <si>
    <t>A047</t>
  </si>
  <si>
    <t>28/02/2023</t>
  </si>
  <si>
    <t>A06</t>
  </si>
  <si>
    <t>A048</t>
  </si>
  <si>
    <t>22/03/2023</t>
  </si>
  <si>
    <t>Iteracion 7 de 8</t>
  </si>
  <si>
    <t>A049</t>
  </si>
  <si>
    <t>31/03/2023</t>
  </si>
  <si>
    <t>A07</t>
  </si>
  <si>
    <t>A050</t>
  </si>
  <si>
    <t>20/04/2023</t>
  </si>
  <si>
    <t>Iteracion 8 de 8</t>
  </si>
  <si>
    <t>A051</t>
  </si>
  <si>
    <t>30/04/2023</t>
  </si>
  <si>
    <t>A08</t>
  </si>
  <si>
    <t>A09</t>
  </si>
  <si>
    <t>31/05/2023</t>
  </si>
  <si>
    <t>A052</t>
  </si>
  <si>
    <t>A053</t>
  </si>
  <si>
    <t>A10</t>
  </si>
  <si>
    <t>A054</t>
  </si>
  <si>
    <t>31/07/2023</t>
  </si>
  <si>
    <t>A11</t>
  </si>
  <si>
    <t>A055</t>
  </si>
  <si>
    <t>31/08/2023</t>
  </si>
  <si>
    <t>A056</t>
  </si>
  <si>
    <t>27/09/2023</t>
  </si>
  <si>
    <t>A057</t>
  </si>
  <si>
    <t>30/09/2023</t>
  </si>
  <si>
    <t>A058</t>
  </si>
  <si>
    <t>31/10/2023</t>
  </si>
  <si>
    <t>A059</t>
  </si>
  <si>
    <t>30/11/2023</t>
  </si>
  <si>
    <t>A060</t>
  </si>
  <si>
    <t>Actas | Sim Evolution | SIM</t>
  </si>
  <si>
    <t>A061</t>
  </si>
  <si>
    <t>Sets - migracion</t>
  </si>
  <si>
    <t>A062</t>
  </si>
  <si>
    <t>A063</t>
  </si>
  <si>
    <t>Pragmatic platform / Sim Evolution</t>
  </si>
  <si>
    <t>A104</t>
  </si>
  <si>
    <t>31/01/2024</t>
  </si>
  <si>
    <t>A105</t>
  </si>
  <si>
    <t>A106</t>
  </si>
  <si>
    <t>Cambio de alcance patologias</t>
  </si>
  <si>
    <t>A107</t>
  </si>
  <si>
    <t>29/02/2024</t>
  </si>
  <si>
    <t>Pragmatic platform | Sim Evolution</t>
  </si>
  <si>
    <t>A108</t>
  </si>
  <si>
    <t>web orders.</t>
  </si>
  <si>
    <t>Script Monkey.</t>
  </si>
  <si>
    <t>31/03/2024</t>
  </si>
  <si>
    <t>A109</t>
  </si>
  <si>
    <t>A110</t>
  </si>
  <si>
    <t>30/04/2024</t>
  </si>
  <si>
    <t>A111</t>
  </si>
  <si>
    <t>A112</t>
  </si>
  <si>
    <t>A113</t>
  </si>
  <si>
    <t>31/05/2024</t>
  </si>
  <si>
    <t>A114</t>
  </si>
  <si>
    <t>Script monkey</t>
  </si>
  <si>
    <t>A115</t>
  </si>
  <si>
    <t>Saldo proyecto SETS</t>
  </si>
  <si>
    <t>A116</t>
  </si>
  <si>
    <t>28/06/2024</t>
  </si>
  <si>
    <t>A117</t>
  </si>
  <si>
    <t>A118</t>
  </si>
  <si>
    <t>A119</t>
  </si>
  <si>
    <t>30/06/2024</t>
  </si>
  <si>
    <t>soporte ASESP</t>
  </si>
  <si>
    <t>A120</t>
  </si>
  <si>
    <t>31/07/2024</t>
  </si>
  <si>
    <t>A121</t>
  </si>
  <si>
    <t>A122</t>
  </si>
  <si>
    <t>A123</t>
  </si>
  <si>
    <t>31/08/2024</t>
  </si>
  <si>
    <t>A124</t>
  </si>
  <si>
    <t>A125</t>
  </si>
  <si>
    <t>A126</t>
  </si>
  <si>
    <t>Soporte SETS</t>
  </si>
  <si>
    <t>A127</t>
  </si>
  <si>
    <t>Soporte ASESP</t>
  </si>
  <si>
    <t>A128</t>
  </si>
  <si>
    <t>Nota de credito</t>
  </si>
  <si>
    <t>A129</t>
  </si>
  <si>
    <t>30/09/2024</t>
  </si>
  <si>
    <t>A130</t>
  </si>
  <si>
    <t>A131</t>
  </si>
  <si>
    <t>A132</t>
  </si>
  <si>
    <t>A101</t>
  </si>
  <si>
    <t>A133</t>
  </si>
  <si>
    <t>31/10/2024</t>
  </si>
  <si>
    <t>Soporte SETs</t>
  </si>
  <si>
    <t>A134</t>
  </si>
  <si>
    <t>Web orders</t>
  </si>
  <si>
    <t>A135</t>
  </si>
  <si>
    <t>A102</t>
  </si>
  <si>
    <t>A136</t>
  </si>
  <si>
    <t>A137</t>
  </si>
  <si>
    <t>15/11/2024</t>
  </si>
  <si>
    <t>Fase II - Soy Española</t>
  </si>
  <si>
    <t>A138</t>
  </si>
  <si>
    <t>30/11/2024</t>
  </si>
  <si>
    <t>A103</t>
  </si>
  <si>
    <t>A139</t>
  </si>
  <si>
    <t>A140</t>
  </si>
  <si>
    <t>A141</t>
  </si>
  <si>
    <t>A142</t>
  </si>
  <si>
    <t>A143</t>
  </si>
  <si>
    <t>30/12/2024</t>
  </si>
  <si>
    <t>Pragmatic platform</t>
  </si>
  <si>
    <t>A144</t>
  </si>
  <si>
    <t>sets</t>
  </si>
  <si>
    <t>A145</t>
  </si>
  <si>
    <t>A146</t>
  </si>
  <si>
    <t>AVA (Script monkey)</t>
  </si>
  <si>
    <t>31/01/2025</t>
  </si>
  <si>
    <t>A147</t>
  </si>
  <si>
    <t>A148</t>
  </si>
  <si>
    <t>Sets - Ampliación funcional</t>
  </si>
  <si>
    <t>A149</t>
  </si>
  <si>
    <t>A150</t>
  </si>
  <si>
    <t>A151</t>
  </si>
  <si>
    <t xml:space="preserve">Soporte SETS </t>
  </si>
  <si>
    <t>A152</t>
  </si>
  <si>
    <t>A153</t>
  </si>
  <si>
    <t>28/02/2025</t>
  </si>
  <si>
    <t>A154</t>
  </si>
  <si>
    <t>A155</t>
  </si>
  <si>
    <t>A156</t>
  </si>
  <si>
    <t>A157</t>
  </si>
  <si>
    <t>Pragmatic platform | Gestión Mevir | Sim Evolutio</t>
  </si>
  <si>
    <t>31/03/2025</t>
  </si>
  <si>
    <t>A158</t>
  </si>
  <si>
    <t>A159</t>
  </si>
  <si>
    <t>A160</t>
  </si>
  <si>
    <t>A161</t>
  </si>
  <si>
    <t>A162</t>
  </si>
  <si>
    <t>30/04/2025</t>
  </si>
  <si>
    <t>A163</t>
  </si>
  <si>
    <t>Mantenimiento correctivo</t>
  </si>
  <si>
    <t>A164</t>
  </si>
  <si>
    <t>A165</t>
  </si>
  <si>
    <t>Paytrue SA</t>
  </si>
  <si>
    <t>A166</t>
  </si>
  <si>
    <t>31/05/2025</t>
  </si>
  <si>
    <t>A167</t>
  </si>
  <si>
    <t>A168</t>
  </si>
  <si>
    <t>PayStudio</t>
  </si>
  <si>
    <t>A169</t>
  </si>
  <si>
    <t>A170</t>
  </si>
  <si>
    <t>A171</t>
  </si>
  <si>
    <t>Saldo Soy Española - Fase 2</t>
  </si>
  <si>
    <t>A172</t>
  </si>
  <si>
    <t>30/06/2025</t>
  </si>
  <si>
    <t>A173</t>
  </si>
  <si>
    <t>A174</t>
  </si>
  <si>
    <t>A175</t>
  </si>
  <si>
    <t>A176</t>
  </si>
  <si>
    <t>A177</t>
  </si>
  <si>
    <t>A178</t>
  </si>
  <si>
    <t>A179</t>
  </si>
  <si>
    <t>Soporte Sets</t>
  </si>
  <si>
    <t>A180</t>
  </si>
  <si>
    <t>A181</t>
  </si>
  <si>
    <t>A182</t>
  </si>
  <si>
    <t>Pragmatic platform | Sim Evolution | Migracion Me</t>
  </si>
  <si>
    <t>A183</t>
  </si>
  <si>
    <t>Luciano y Karina</t>
  </si>
  <si>
    <t>A184</t>
  </si>
  <si>
    <t>31/08/2025</t>
  </si>
  <si>
    <t>A185</t>
  </si>
  <si>
    <t>A186</t>
  </si>
  <si>
    <t>A187</t>
  </si>
  <si>
    <t>Soporte SETS | Soporte ASESP</t>
  </si>
  <si>
    <t>A188</t>
  </si>
  <si>
    <t>A189</t>
  </si>
  <si>
    <t>Signum SRL</t>
  </si>
  <si>
    <t>soporte de aplicaciones</t>
  </si>
  <si>
    <t>DCCS</t>
  </si>
  <si>
    <t>A190</t>
  </si>
  <si>
    <t>Porto Seguro</t>
  </si>
  <si>
    <t>30/09/2025</t>
  </si>
  <si>
    <t>40% del desarrollo</t>
  </si>
  <si>
    <t>A191</t>
  </si>
  <si>
    <t>P</t>
  </si>
  <si>
    <t>A192</t>
  </si>
  <si>
    <t>A193</t>
  </si>
  <si>
    <t>A194</t>
  </si>
  <si>
    <t>A195</t>
  </si>
  <si>
    <t>A196</t>
  </si>
  <si>
    <t>A197</t>
  </si>
  <si>
    <t>Neto $</t>
  </si>
  <si>
    <t>A cobrar u$s</t>
  </si>
  <si>
    <t>Aumento fact.</t>
  </si>
  <si>
    <t>Exonerado Irae $</t>
  </si>
  <si>
    <t>Utilidad u$s</t>
  </si>
  <si>
    <t>% utilidad</t>
  </si>
  <si>
    <t>Aumento Util</t>
  </si>
  <si>
    <t>30-12</t>
  </si>
  <si>
    <t>Total 2025</t>
  </si>
  <si>
    <t>Total 2024</t>
  </si>
  <si>
    <t>Total 2023</t>
  </si>
  <si>
    <t>Total 2022</t>
  </si>
  <si>
    <t>Facturacion por cliente  (u$s aproximados)</t>
  </si>
  <si>
    <t>Total historico</t>
  </si>
  <si>
    <t>UI</t>
  </si>
  <si>
    <t>distancia irae $</t>
  </si>
  <si>
    <t>limite 7% irpf $</t>
  </si>
  <si>
    <t>s/utilidades</t>
  </si>
  <si>
    <t>distancia IRPF $</t>
  </si>
  <si>
    <t>dist. irpf u$s</t>
  </si>
  <si>
    <t>Evolución de la facturación por cliente</t>
  </si>
  <si>
    <t>Imponible $ 2022</t>
  </si>
  <si>
    <t>Facturacion $</t>
  </si>
  <si>
    <t>Anticipos Irae</t>
  </si>
  <si>
    <t>IRAE S/deduc</t>
  </si>
  <si>
    <t>IRAE C/d u$s</t>
  </si>
  <si>
    <t>Aporte patronal</t>
  </si>
  <si>
    <t>Enero</t>
  </si>
  <si>
    <t>Febrebro</t>
  </si>
  <si>
    <t>coef irae</t>
  </si>
  <si>
    <t>Total anticipado</t>
  </si>
  <si>
    <t>IRAE C/deduc</t>
  </si>
  <si>
    <t>Saldo ant IRAE</t>
  </si>
  <si>
    <t>Total Irae con ded</t>
  </si>
  <si>
    <t>Total deducciones</t>
  </si>
  <si>
    <t>Facturado</t>
  </si>
  <si>
    <t>Anticipo</t>
  </si>
  <si>
    <t>IRAE al 48</t>
  </si>
  <si>
    <t>IRAE al 36</t>
  </si>
  <si>
    <t>Saldo a pagar al 48</t>
  </si>
  <si>
    <t>Saldo a pagar al 36</t>
  </si>
  <si>
    <t>Imponible $ 2025</t>
  </si>
  <si>
    <t>Imponible $ 2026</t>
  </si>
  <si>
    <t>Proveedor</t>
  </si>
  <si>
    <t>Concepto</t>
  </si>
  <si>
    <t>Abitab</t>
  </si>
  <si>
    <t>Iva ventas</t>
  </si>
  <si>
    <t>Gonzalo Cameto</t>
  </si>
  <si>
    <t>Honorarios profesionales</t>
  </si>
  <si>
    <t>Fernando Medina</t>
  </si>
  <si>
    <t>Iva compras</t>
  </si>
  <si>
    <t>Iva a pagar</t>
  </si>
  <si>
    <t>Codesal</t>
  </si>
  <si>
    <t>honorarios</t>
  </si>
  <si>
    <t>Año</t>
  </si>
  <si>
    <t>Fecha Pago</t>
  </si>
  <si>
    <t>Centro de Costo</t>
  </si>
  <si>
    <t>Tipo de Gasto</t>
  </si>
  <si>
    <t>Total COP $</t>
  </si>
  <si>
    <t>Total U$S</t>
  </si>
  <si>
    <t xml:space="preserve"> Neto U$S</t>
  </si>
  <si>
    <t>Total $</t>
  </si>
  <si>
    <t>IVA $</t>
  </si>
  <si>
    <t>Colombia</t>
  </si>
  <si>
    <t>Hardware</t>
  </si>
  <si>
    <t>Tecnoplaza</t>
  </si>
  <si>
    <t>Notebooks</t>
  </si>
  <si>
    <t>transferencias</t>
  </si>
  <si>
    <t>Itau</t>
  </si>
  <si>
    <t>transferencia</t>
  </si>
  <si>
    <t>Uruguay</t>
  </si>
  <si>
    <t>Honorarios Profesionales</t>
  </si>
  <si>
    <t>Camilo Arboleda</t>
  </si>
  <si>
    <t>Sueldos</t>
  </si>
  <si>
    <t>trasferencia</t>
  </si>
  <si>
    <t>DETALLE SERVICIOS REGISTRADOS</t>
  </si>
  <si>
    <t>Juan Pellegrini</t>
  </si>
  <si>
    <t>sueldo</t>
  </si>
  <si>
    <t>Servicio</t>
  </si>
  <si>
    <t>Locales</t>
  </si>
  <si>
    <t>Web</t>
  </si>
  <si>
    <t>Viajes</t>
  </si>
  <si>
    <t>Varios</t>
  </si>
  <si>
    <t>Impuestos</t>
  </si>
  <si>
    <t>Rodolfo Vazquez</t>
  </si>
  <si>
    <t>utilidad mensual</t>
  </si>
  <si>
    <t>Alquiler</t>
  </si>
  <si>
    <t>Microsoft</t>
  </si>
  <si>
    <t xml:space="preserve">Honorarios </t>
  </si>
  <si>
    <t>Pasaje aereo</t>
  </si>
  <si>
    <t xml:space="preserve">Almuerzo </t>
  </si>
  <si>
    <t>BPS</t>
  </si>
  <si>
    <t>Andrea Correa</t>
  </si>
  <si>
    <t>S&amp;M COMPUTER SAS</t>
  </si>
  <si>
    <t>Auriculares</t>
  </si>
  <si>
    <t>Monitores</t>
  </si>
  <si>
    <t>UTE</t>
  </si>
  <si>
    <t>Google Suite Botmeli</t>
  </si>
  <si>
    <t>Santiago Lamanna</t>
  </si>
  <si>
    <t>Hospedaje</t>
  </si>
  <si>
    <t>Autoland (ACF SA)</t>
  </si>
  <si>
    <t>DGI</t>
  </si>
  <si>
    <t>Jacqueline Valverde</t>
  </si>
  <si>
    <t>Gastos Adm Bancos</t>
  </si>
  <si>
    <t>Antel</t>
  </si>
  <si>
    <t>Impuestos Municipales</t>
  </si>
  <si>
    <t>Amazon Web Services</t>
  </si>
  <si>
    <t>Eugenia Lopez</t>
  </si>
  <si>
    <t>Taxis</t>
  </si>
  <si>
    <t>coorporacion vial</t>
  </si>
  <si>
    <t>BSE</t>
  </si>
  <si>
    <t>bps</t>
  </si>
  <si>
    <t>Mongobd inc</t>
  </si>
  <si>
    <t>Comidas</t>
  </si>
  <si>
    <t>Computrabajo</t>
  </si>
  <si>
    <t>Github inc</t>
  </si>
  <si>
    <t>Papeleria</t>
  </si>
  <si>
    <t>IVA</t>
  </si>
  <si>
    <t>Buscojobs</t>
  </si>
  <si>
    <t>Universal Assistence</t>
  </si>
  <si>
    <t>Forteza</t>
  </si>
  <si>
    <t>Miro</t>
  </si>
  <si>
    <t>CoWork</t>
  </si>
  <si>
    <t>Zoom</t>
  </si>
  <si>
    <t>Jose Martinez</t>
  </si>
  <si>
    <t>Mail track</t>
  </si>
  <si>
    <t>Miguel Angel Lasso</t>
  </si>
  <si>
    <t>Utilidades socios</t>
  </si>
  <si>
    <t>comision</t>
  </si>
  <si>
    <t>Dasuly Giraldo</t>
  </si>
  <si>
    <t>David Pernett</t>
  </si>
  <si>
    <t>Claudia Garcia Arboleda</t>
  </si>
  <si>
    <t>bps irpf</t>
  </si>
  <si>
    <t>accidentes de trabajo</t>
  </si>
  <si>
    <t>Avisos</t>
  </si>
  <si>
    <t>avisos</t>
  </si>
  <si>
    <t>sobre sueldo honorarios</t>
  </si>
  <si>
    <t>Mailtrack</t>
  </si>
  <si>
    <t>anualidad</t>
  </si>
  <si>
    <t>ayuda Santiago Berreta</t>
  </si>
  <si>
    <t>Viaje</t>
  </si>
  <si>
    <t>Avianca</t>
  </si>
  <si>
    <t>Pasaje</t>
  </si>
  <si>
    <t>honorarios Profesionales</t>
  </si>
  <si>
    <t>seguro medico</t>
  </si>
  <si>
    <t>Rossa Palma</t>
  </si>
  <si>
    <t>EnfoqueLab</t>
  </si>
  <si>
    <t>cowork</t>
  </si>
  <si>
    <t>Il Forno wajaca</t>
  </si>
  <si>
    <t>comidas</t>
  </si>
  <si>
    <t>Inversiones CGroups S</t>
  </si>
  <si>
    <t>Chipichape Cali</t>
  </si>
  <si>
    <t>Notebook Mac</t>
  </si>
  <si>
    <t>Viaticos</t>
  </si>
  <si>
    <t>devolucion de viaticos</t>
  </si>
  <si>
    <t xml:space="preserve">retiro banco </t>
  </si>
  <si>
    <t>Uber</t>
  </si>
  <si>
    <t>locomocion</t>
  </si>
  <si>
    <t>Garcia</t>
  </si>
  <si>
    <t>cena despedida</t>
  </si>
  <si>
    <t>Terra Computers</t>
  </si>
  <si>
    <t>monitor y mouse/teclado</t>
  </si>
  <si>
    <t>BPS de diciembre</t>
  </si>
  <si>
    <t>Impuesto al Patrimonio</t>
  </si>
  <si>
    <t>microsoft</t>
  </si>
  <si>
    <t>mensualidad</t>
  </si>
  <si>
    <t>Alkosto</t>
  </si>
  <si>
    <t>notebook Dasuly</t>
  </si>
  <si>
    <t>seguro notebook</t>
  </si>
  <si>
    <t>Google play</t>
  </si>
  <si>
    <t>Apple.com/us</t>
  </si>
  <si>
    <t>IRNR</t>
  </si>
  <si>
    <t>Total de Gastos</t>
  </si>
  <si>
    <t>Neto U$S</t>
  </si>
  <si>
    <t>Copa</t>
  </si>
  <si>
    <t>avion</t>
  </si>
  <si>
    <t>liquidacion egreso</t>
  </si>
  <si>
    <t>web</t>
  </si>
  <si>
    <t>Google storage</t>
  </si>
  <si>
    <t>google storage</t>
  </si>
  <si>
    <t>Chat GPT</t>
  </si>
  <si>
    <t>Github</t>
  </si>
  <si>
    <t>Hotel IBis</t>
  </si>
  <si>
    <t>hospedaje</t>
  </si>
  <si>
    <t>Davilan</t>
  </si>
  <si>
    <t>Evento</t>
  </si>
  <si>
    <t>Diseñadora Vanessa</t>
  </si>
  <si>
    <t>Diseño web</t>
  </si>
  <si>
    <t>Neuromark</t>
  </si>
  <si>
    <t>Diseño stand retail</t>
  </si>
  <si>
    <t>Mongodb</t>
  </si>
  <si>
    <t>OpenAI</t>
  </si>
  <si>
    <t>pasaje aereo</t>
  </si>
  <si>
    <t>diseño tarjetas</t>
  </si>
  <si>
    <t>por evento retail (gonzalo y javier)</t>
  </si>
  <si>
    <t>por evento retail (rodolfo)</t>
  </si>
  <si>
    <t>Deaco SRL</t>
  </si>
  <si>
    <t>Chromcast</t>
  </si>
  <si>
    <t>lidertek</t>
  </si>
  <si>
    <t>acces point</t>
  </si>
  <si>
    <t>Gonzalo y Javier</t>
  </si>
  <si>
    <t>Grupo Heorica</t>
  </si>
  <si>
    <t>Internet Evento</t>
  </si>
  <si>
    <t>Stand</t>
  </si>
  <si>
    <t>Retail del futuro</t>
  </si>
  <si>
    <t>Central Papelera</t>
  </si>
  <si>
    <t>tarjetas personales</t>
  </si>
  <si>
    <t>Honorarios</t>
  </si>
  <si>
    <t>Almuerzos</t>
  </si>
  <si>
    <t>Hotel Faranda</t>
  </si>
  <si>
    <t>retiro banco comision</t>
  </si>
  <si>
    <t xml:space="preserve">Stand </t>
  </si>
  <si>
    <t>Sala de reuniones</t>
  </si>
  <si>
    <t>Cargo por compras en el exterior VISA</t>
  </si>
  <si>
    <t>restaurante patria</t>
  </si>
  <si>
    <t>la espiga</t>
  </si>
  <si>
    <t>Zabaleta Asociados</t>
  </si>
  <si>
    <t>UCFE sistema</t>
  </si>
  <si>
    <t>confiteria</t>
  </si>
  <si>
    <t>Vanessa Muñoz</t>
  </si>
  <si>
    <t>Diseñadora</t>
  </si>
  <si>
    <t>Fernanda Castro</t>
  </si>
  <si>
    <t>Google suite botmeni</t>
  </si>
  <si>
    <t>bizcochos</t>
  </si>
  <si>
    <t>Palser</t>
  </si>
  <si>
    <t>notebooks</t>
  </si>
  <si>
    <t>FBM advisory</t>
  </si>
  <si>
    <t>Google cloud</t>
  </si>
  <si>
    <t>Figma</t>
  </si>
  <si>
    <t>Canva</t>
  </si>
  <si>
    <t>Farmacia</t>
  </si>
  <si>
    <t>farmacia</t>
  </si>
  <si>
    <t>cargo por compras en el exterior VISA</t>
  </si>
  <si>
    <t>Rafael Cadenas</t>
  </si>
  <si>
    <t>Udemy</t>
  </si>
  <si>
    <t>Hostmonster</t>
  </si>
  <si>
    <t>Movistar</t>
  </si>
  <si>
    <t>celular</t>
  </si>
  <si>
    <t>Bar tasende</t>
  </si>
  <si>
    <t>Tasende</t>
  </si>
  <si>
    <t>propina</t>
  </si>
  <si>
    <t>Unisport S.A</t>
  </si>
  <si>
    <t>gastos electricos</t>
  </si>
  <si>
    <t>Botmeni.com</t>
  </si>
  <si>
    <t>Universal Assintece</t>
  </si>
  <si>
    <t>efectivo</t>
  </si>
  <si>
    <t>Hotel del Occidente</t>
  </si>
  <si>
    <t>retiro banco</t>
  </si>
  <si>
    <t>aeropempaques</t>
  </si>
  <si>
    <t>Gastos adm Bancos</t>
  </si>
  <si>
    <t xml:space="preserve">costo tarjeta </t>
  </si>
  <si>
    <t>celular dasuyly</t>
  </si>
  <si>
    <t>Cowork la sexta</t>
  </si>
  <si>
    <t>liquidacion por despido</t>
  </si>
  <si>
    <t>aguinaldo</t>
  </si>
  <si>
    <t>Virginia Servente Borges</t>
  </si>
  <si>
    <t>Escribana cert. abitab</t>
  </si>
  <si>
    <t>salario vacacional</t>
  </si>
  <si>
    <t>Total de Gastos x mes</t>
  </si>
  <si>
    <t>certificado abitab</t>
  </si>
  <si>
    <t>seguro camioneta toyota</t>
  </si>
  <si>
    <t>Iva no camioneta descontado</t>
  </si>
  <si>
    <t>Iva ventas - otro iva descontado = IVA Camioneta</t>
  </si>
  <si>
    <t>Ayax</t>
  </si>
  <si>
    <t>compra camioneta toyota</t>
  </si>
  <si>
    <t>Notovil</t>
  </si>
  <si>
    <t>vidrios oscuros toyota</t>
  </si>
  <si>
    <t>accesorios Toyota</t>
  </si>
  <si>
    <t>Argentina</t>
  </si>
  <si>
    <t>Amelia Barcia</t>
  </si>
  <si>
    <t>video federico mendez</t>
  </si>
  <si>
    <t>video cliente</t>
  </si>
  <si>
    <t>Grimifer</t>
  </si>
  <si>
    <t>cargador notebook</t>
  </si>
  <si>
    <t>nota de credito</t>
  </si>
  <si>
    <t xml:space="preserve">Orga </t>
  </si>
  <si>
    <t>pasaje aereo Vico</t>
  </si>
  <si>
    <t xml:space="preserve">Creoltir </t>
  </si>
  <si>
    <t>estacionamiento</t>
  </si>
  <si>
    <t>Cargo compras exterior</t>
  </si>
  <si>
    <t>IVA saldo camioneta</t>
  </si>
  <si>
    <t xml:space="preserve">Twilio inc </t>
  </si>
  <si>
    <t>viaticos</t>
  </si>
  <si>
    <t>service notebook</t>
  </si>
  <si>
    <t xml:space="preserve">service mac jose </t>
  </si>
  <si>
    <t>Almacenes Exito</t>
  </si>
  <si>
    <t xml:space="preserve">notebook </t>
  </si>
  <si>
    <t>cargo compras exterior</t>
  </si>
  <si>
    <t>La Vaca</t>
  </si>
  <si>
    <t>almuerzo</t>
  </si>
  <si>
    <t>Payoneer</t>
  </si>
  <si>
    <t>Cowork</t>
  </si>
  <si>
    <t xml:space="preserve">Copa </t>
  </si>
  <si>
    <t>pasaje aereo rodolfo</t>
  </si>
  <si>
    <t>Airbn</t>
  </si>
  <si>
    <t>hospedaje rodolfo cali</t>
  </si>
  <si>
    <t>varios</t>
  </si>
  <si>
    <t>Confiteria Zurich</t>
  </si>
  <si>
    <t>Claude.ai</t>
  </si>
  <si>
    <t>Memo estampados</t>
  </si>
  <si>
    <t>buzos botmeni</t>
  </si>
  <si>
    <t>remeras botmeni</t>
  </si>
  <si>
    <t xml:space="preserve">Nota de credito </t>
  </si>
  <si>
    <t>cursos</t>
  </si>
  <si>
    <t>Gaminer S.A.</t>
  </si>
  <si>
    <t>Service toyota</t>
  </si>
  <si>
    <t>Costo tarjeta visa 1/3</t>
  </si>
  <si>
    <t>hostmonster</t>
  </si>
  <si>
    <t>Google</t>
  </si>
  <si>
    <t>Macrotec</t>
  </si>
  <si>
    <t>camara web</t>
  </si>
  <si>
    <t>costo tarjeta visa</t>
  </si>
  <si>
    <t>Mongodb Inc Botmeni</t>
  </si>
  <si>
    <t>Google cloud MZXVJW</t>
  </si>
  <si>
    <t>Pinecone Systems, Inc.</t>
  </si>
  <si>
    <t>lg granada</t>
  </si>
  <si>
    <t>El toro enamorado</t>
  </si>
  <si>
    <t>subway</t>
  </si>
  <si>
    <t>rappi colombia</t>
  </si>
  <si>
    <t>Plazuela</t>
  </si>
  <si>
    <t>TBC 40 tabaco</t>
  </si>
  <si>
    <t>Costo tarjeta visa 2/3</t>
  </si>
  <si>
    <t>Porto seguro</t>
  </si>
  <si>
    <t>seguro toyota</t>
  </si>
  <si>
    <t>Cosmos Agencia Digital</t>
  </si>
  <si>
    <t>seña marketing botmeni</t>
  </si>
  <si>
    <t>Javier Mendez</t>
  </si>
  <si>
    <t>Rappi</t>
  </si>
  <si>
    <t>intereses moratorios</t>
  </si>
  <si>
    <t>USA</t>
  </si>
  <si>
    <t>EmergeAmericas</t>
  </si>
  <si>
    <t>entrada evento</t>
  </si>
  <si>
    <t>La corte</t>
  </si>
  <si>
    <t>Xtrategy US LLC</t>
  </si>
  <si>
    <t>viaticos al uy</t>
  </si>
  <si>
    <t>hospedaje rodolfo</t>
  </si>
  <si>
    <t>Calendly LLC</t>
  </si>
  <si>
    <t>Linkedin profesional</t>
  </si>
  <si>
    <t>traslados</t>
  </si>
  <si>
    <t>pasaje</t>
  </si>
  <si>
    <t>liquidacion por egreso</t>
  </si>
  <si>
    <t>Luciano Putruele</t>
  </si>
  <si>
    <t>Anthropic</t>
  </si>
  <si>
    <t>Cursor</t>
  </si>
  <si>
    <t>Marcela Papaleo</t>
  </si>
  <si>
    <t xml:space="preserve">Agencia RRHH </t>
  </si>
  <si>
    <t>Lazo</t>
  </si>
  <si>
    <t>Mercury</t>
  </si>
  <si>
    <t>Uruware</t>
  </si>
  <si>
    <t>sistema facturacion</t>
  </si>
  <si>
    <t>Karina Montero</t>
  </si>
  <si>
    <t>Botmeni</t>
  </si>
  <si>
    <t>Goodady</t>
  </si>
  <si>
    <t>seguro tiguan</t>
  </si>
  <si>
    <t xml:space="preserve">Signun </t>
  </si>
  <si>
    <t>compra camioneta</t>
  </si>
  <si>
    <t>Iva camioneta tiguan</t>
  </si>
  <si>
    <t>cel jacque</t>
  </si>
  <si>
    <t>cel rodo</t>
  </si>
  <si>
    <t>Cecilia Forteza</t>
  </si>
  <si>
    <t>escribana - tramites separacion empresa</t>
  </si>
  <si>
    <t>La pasiva</t>
  </si>
  <si>
    <t>Castobo</t>
  </si>
  <si>
    <t>Durimar</t>
  </si>
  <si>
    <t>Creoltir SA</t>
  </si>
  <si>
    <t>Escribano BCU</t>
  </si>
  <si>
    <t>por inscripcion empresa nueva</t>
  </si>
  <si>
    <t>Local</t>
  </si>
  <si>
    <t>Alma Duc</t>
  </si>
  <si>
    <t>Gastos comunes liquidacion</t>
  </si>
  <si>
    <t>DMAS SAS</t>
  </si>
  <si>
    <t>router</t>
  </si>
  <si>
    <t>JOMINAR S.A.</t>
  </si>
  <si>
    <t>adaptador computadora</t>
  </si>
  <si>
    <t>costo comision</t>
  </si>
  <si>
    <t>Google suite botmeNi</t>
  </si>
  <si>
    <t>Pinecone Systems, Inc. (globe)</t>
  </si>
  <si>
    <t>OpenAI (globe)</t>
  </si>
  <si>
    <t>Mongodb Inc BotmeLi</t>
  </si>
  <si>
    <t xml:space="preserve">GOOGLE CLOUD D8X7WK BotmeLi </t>
  </si>
  <si>
    <t>Google Suite botmeLi</t>
  </si>
  <si>
    <t>GOOGLE *CLOUD R492W2  SW Globe Software</t>
  </si>
  <si>
    <t>Google Cloud SW Prod (globe)</t>
  </si>
  <si>
    <t xml:space="preserve">&lt;= este monto debe estar incluido en GoogleCloud de GlobeSoftware. </t>
  </si>
  <si>
    <t>Google Cloud SW Test (globe)</t>
  </si>
  <si>
    <t>Presentation AI Pte</t>
  </si>
  <si>
    <t>Opean AI</t>
  </si>
  <si>
    <t>Antel Ip Fija</t>
  </si>
  <si>
    <t>pago compensansion Javier</t>
  </si>
  <si>
    <t>Euskadi</t>
  </si>
  <si>
    <t>repuesto</t>
  </si>
  <si>
    <t>Claude AI</t>
  </si>
  <si>
    <t>Google Suite BotmeNi</t>
  </si>
  <si>
    <t>Google Cloud Q2CS2N BotmeLi</t>
  </si>
  <si>
    <t>HOSTMON-BLUEHOST</t>
  </si>
  <si>
    <t>Sonatel</t>
  </si>
  <si>
    <t>Google Suite BotmeLi</t>
  </si>
  <si>
    <t>Google Cloud BZQCJB</t>
  </si>
  <si>
    <t>MYIQ.COM</t>
  </si>
  <si>
    <t>Mox</t>
  </si>
  <si>
    <t>Monitor</t>
  </si>
  <si>
    <t>Dario Armella</t>
  </si>
  <si>
    <t>Sebastian Sandoval</t>
  </si>
  <si>
    <t>Matias Correa</t>
  </si>
  <si>
    <t>Eduardo Tamayo</t>
  </si>
  <si>
    <t>DSSC: ya abono esta factura</t>
  </si>
  <si>
    <t>pendiente</t>
  </si>
  <si>
    <t>subtotal</t>
  </si>
  <si>
    <t>Sueldo</t>
  </si>
  <si>
    <t>TOTAL 2024</t>
  </si>
  <si>
    <t>TOTAL 2025</t>
  </si>
  <si>
    <t>29/12/2023</t>
  </si>
  <si>
    <t>SANTANDER</t>
  </si>
  <si>
    <t>ITAU</t>
  </si>
  <si>
    <t>Saldo Actual</t>
  </si>
  <si>
    <t>Crédito</t>
  </si>
  <si>
    <t>Débito</t>
  </si>
  <si>
    <t>Nota</t>
  </si>
  <si>
    <t>Disponible</t>
  </si>
  <si>
    <t>27/01/2022</t>
  </si>
  <si>
    <t>compra pesos</t>
  </si>
  <si>
    <t>15/08/2022</t>
  </si>
  <si>
    <t>venta dolares entre cta</t>
  </si>
  <si>
    <t>Honorarios Cameto</t>
  </si>
  <si>
    <t>costo banking card</t>
  </si>
  <si>
    <t>Honorarios Medina</t>
  </si>
  <si>
    <t>15/09/2022</t>
  </si>
  <si>
    <t>costo transferencia</t>
  </si>
  <si>
    <t>24/02/2022</t>
  </si>
  <si>
    <t>14/10/2022</t>
  </si>
  <si>
    <t>honorarios Medina</t>
  </si>
  <si>
    <t>15/11/2022</t>
  </si>
  <si>
    <t>pago mevir</t>
  </si>
  <si>
    <t>Fac A003</t>
  </si>
  <si>
    <t>15/12/2022</t>
  </si>
  <si>
    <t>14/03/2022</t>
  </si>
  <si>
    <t>24/03/2022</t>
  </si>
  <si>
    <t>Fac 008</t>
  </si>
  <si>
    <t>13/01/2023</t>
  </si>
  <si>
    <t>15/02/2023</t>
  </si>
  <si>
    <t>Pago Escribana</t>
  </si>
  <si>
    <t>pago contador</t>
  </si>
  <si>
    <t>Febrero y marzo</t>
  </si>
  <si>
    <t>15/03/2023</t>
  </si>
  <si>
    <t>20/04/2022</t>
  </si>
  <si>
    <t>26/04/2022</t>
  </si>
  <si>
    <t>14/04/2023</t>
  </si>
  <si>
    <t>27/04/2022</t>
  </si>
  <si>
    <t>29/04/2022</t>
  </si>
  <si>
    <t>comision por producto</t>
  </si>
  <si>
    <t>26/04/2023</t>
  </si>
  <si>
    <t>devolucion ML por compra</t>
  </si>
  <si>
    <t>pesos de santander para pago tarjeta visa</t>
  </si>
  <si>
    <t>pago tarjeta visa pesos</t>
  </si>
  <si>
    <t>15/05/2023</t>
  </si>
  <si>
    <t>utilidades Javier</t>
  </si>
  <si>
    <t>78,60</t>
  </si>
  <si>
    <t>15/06/2023</t>
  </si>
  <si>
    <t>utilidades Rodolfo</t>
  </si>
  <si>
    <t>prestamo socios</t>
  </si>
  <si>
    <t>transferencia de cta santander pesos</t>
  </si>
  <si>
    <t>14/07/2023</t>
  </si>
  <si>
    <t>transferencia recibida santander para pagos sueldos y mas</t>
  </si>
  <si>
    <t>19/05/2022</t>
  </si>
  <si>
    <t>Fac A013</t>
  </si>
  <si>
    <t>Sueldo Fernanda Castro</t>
  </si>
  <si>
    <t>adelanto socio</t>
  </si>
  <si>
    <t>30/05/2022</t>
  </si>
  <si>
    <t>15/08/2023</t>
  </si>
  <si>
    <t>utilidad Rodolfo</t>
  </si>
  <si>
    <t>15/09/2023</t>
  </si>
  <si>
    <t>honorarios medina</t>
  </si>
  <si>
    <t>13/10/2023</t>
  </si>
  <si>
    <t>15/11/2023</t>
  </si>
  <si>
    <t>28/06/2022</t>
  </si>
  <si>
    <t>transfrencia de cuenta santander</t>
  </si>
  <si>
    <t>comision edc cta cte</t>
  </si>
  <si>
    <t>15/12/2023</t>
  </si>
  <si>
    <t>Fac A016</t>
  </si>
  <si>
    <t>Pago Contador</t>
  </si>
  <si>
    <t>19/07/2022</t>
  </si>
  <si>
    <t>15/01/2024</t>
  </si>
  <si>
    <t>27/07/2022</t>
  </si>
  <si>
    <t>15/02/2024</t>
  </si>
  <si>
    <t>Sueldo Juan Pellegrini</t>
  </si>
  <si>
    <t>15/03/2024</t>
  </si>
  <si>
    <t>18/08/2022</t>
  </si>
  <si>
    <t>15/04/2024</t>
  </si>
  <si>
    <t>15/05/2024</t>
  </si>
  <si>
    <t>29/08/2022</t>
  </si>
  <si>
    <t>30/08/2022</t>
  </si>
  <si>
    <t>14/06/2024</t>
  </si>
  <si>
    <t>15/07/2024</t>
  </si>
  <si>
    <t>15/08/2024</t>
  </si>
  <si>
    <t>13/09/2024</t>
  </si>
  <si>
    <t>BPS irpf</t>
  </si>
  <si>
    <t>15/10/2024</t>
  </si>
  <si>
    <t>Fac A023</t>
  </si>
  <si>
    <t>pagos contador</t>
  </si>
  <si>
    <t>16/12/2024</t>
  </si>
  <si>
    <t>Fac A026</t>
  </si>
  <si>
    <t>transferencia pago tarjeta</t>
  </si>
  <si>
    <t>16/01/2025</t>
  </si>
  <si>
    <t>17/02/2025</t>
  </si>
  <si>
    <t>17/03/2025</t>
  </si>
  <si>
    <t>27/10/2022</t>
  </si>
  <si>
    <t>16/04/2025</t>
  </si>
  <si>
    <t>traspaso cuenta santander</t>
  </si>
  <si>
    <t>Utilidades Rodolfo</t>
  </si>
  <si>
    <t>15/05/2025</t>
  </si>
  <si>
    <t>16/06/2025</t>
  </si>
  <si>
    <t>16/07/2025</t>
  </si>
  <si>
    <t>efectivo para cali</t>
  </si>
  <si>
    <t>18/08/2025</t>
  </si>
  <si>
    <t>14/11/2022</t>
  </si>
  <si>
    <t>16/09/2025</t>
  </si>
  <si>
    <t>BPS Irpf</t>
  </si>
  <si>
    <t>21/11/2022</t>
  </si>
  <si>
    <t>16/10/2025</t>
  </si>
  <si>
    <t>23/11/2022</t>
  </si>
  <si>
    <t>Sueldo Juan Pellegrini + aguinaldo</t>
  </si>
  <si>
    <t xml:space="preserve">BSE </t>
  </si>
  <si>
    <t>27/01/2023</t>
  </si>
  <si>
    <t>pago Mevir</t>
  </si>
  <si>
    <t>Fac A039 y A040</t>
  </si>
  <si>
    <t>13/02/2023</t>
  </si>
  <si>
    <t>enero</t>
  </si>
  <si>
    <t>Egreso Juan Pellegrini</t>
  </si>
  <si>
    <t>30/03/2023</t>
  </si>
  <si>
    <t>19/04/2023</t>
  </si>
  <si>
    <t>28/04/2023</t>
  </si>
  <si>
    <t>pago visa itau pesos</t>
  </si>
  <si>
    <t>16/05/2023</t>
  </si>
  <si>
    <t>tarjetas evento - central papelera</t>
  </si>
  <si>
    <t>pago Contador</t>
  </si>
  <si>
    <t>14/06/2023</t>
  </si>
  <si>
    <t>30/06/2023</t>
  </si>
  <si>
    <t>uwuware</t>
  </si>
  <si>
    <t>traspado a cuenta pesos itau pago visa</t>
  </si>
  <si>
    <t>19/07/2023</t>
  </si>
  <si>
    <t>traspaso a cuenta itau pesos</t>
  </si>
  <si>
    <t>28/08/2023</t>
  </si>
  <si>
    <t>pago Central papelera</t>
  </si>
  <si>
    <t>pago prodatos</t>
  </si>
  <si>
    <t>29/09/2023</t>
  </si>
  <si>
    <t>sueldo Rafael Cadenas</t>
  </si>
  <si>
    <t>30/10/2023</t>
  </si>
  <si>
    <t>sueldo Fernanda Castro</t>
  </si>
  <si>
    <t>29/11/2023</t>
  </si>
  <si>
    <t>comision costo producto</t>
  </si>
  <si>
    <t>venta dolares</t>
  </si>
  <si>
    <t>liquidacion Fernanda Castro</t>
  </si>
  <si>
    <t>aguinaldo Rafael Cadenas</t>
  </si>
  <si>
    <t>transferencia a cuenta itau pesos</t>
  </si>
  <si>
    <t>26/12/2023</t>
  </si>
  <si>
    <t>Fac A060</t>
  </si>
  <si>
    <t>con ajuste de consejo de salario</t>
  </si>
  <si>
    <t>salario vacacional Rafael Cadenas</t>
  </si>
  <si>
    <t>17/01/2024</t>
  </si>
  <si>
    <t>18/01/2024</t>
  </si>
  <si>
    <t>pago BPS</t>
  </si>
  <si>
    <t>Fac A063</t>
  </si>
  <si>
    <t>19/02/2024</t>
  </si>
  <si>
    <t xml:space="preserve">pago tarjeta y costos comision </t>
  </si>
  <si>
    <t>Fac A104</t>
  </si>
  <si>
    <t>22/03/2024</t>
  </si>
  <si>
    <t>27/03/2024</t>
  </si>
  <si>
    <t>Utilidades Rodolfo y devolucion de gastos</t>
  </si>
  <si>
    <t>envio pesos a cuenta itau</t>
  </si>
  <si>
    <t>Fac A107</t>
  </si>
  <si>
    <t>certificados descontados</t>
  </si>
  <si>
    <t>Sueldo Rafael Cadenas</t>
  </si>
  <si>
    <t>29/05/2024</t>
  </si>
  <si>
    <t>Fac A109</t>
  </si>
  <si>
    <t>Fac A112</t>
  </si>
  <si>
    <t>Aguinaldo Rafael Cadenas</t>
  </si>
  <si>
    <t>13/06/2024</t>
  </si>
  <si>
    <t>25/06/2024</t>
  </si>
  <si>
    <t>lo pase a cuenta de rodolfo x error por eso se ve dos veces</t>
  </si>
  <si>
    <t>Fac A113</t>
  </si>
  <si>
    <t>19/07/2024</t>
  </si>
  <si>
    <t>pago Uruware</t>
  </si>
  <si>
    <t>25/07/2024</t>
  </si>
  <si>
    <t>Fac A118</t>
  </si>
  <si>
    <t>14/08/2024</t>
  </si>
  <si>
    <t>23/08/2024</t>
  </si>
  <si>
    <t>Pago DGI</t>
  </si>
  <si>
    <t>29/08/2024</t>
  </si>
  <si>
    <t>30/08/2024</t>
  </si>
  <si>
    <t>Fac A123</t>
  </si>
  <si>
    <t>23/09/2024</t>
  </si>
  <si>
    <t>26/10/2024</t>
  </si>
  <si>
    <t>Fac A128</t>
  </si>
  <si>
    <t>buzos Botmeni</t>
  </si>
  <si>
    <t>14/10/2024</t>
  </si>
  <si>
    <t>remeras Botmeni</t>
  </si>
  <si>
    <t>23/10/2024</t>
  </si>
  <si>
    <t>29/10/2024</t>
  </si>
  <si>
    <t>25/11/2024</t>
  </si>
  <si>
    <t>29/11/2024</t>
  </si>
  <si>
    <t>Fac A132</t>
  </si>
  <si>
    <t>BSE accidentes de trabajo</t>
  </si>
  <si>
    <t>devolucion de utiildades</t>
  </si>
  <si>
    <t>23/12/2024</t>
  </si>
  <si>
    <t>utilidades anuales rodolfo</t>
  </si>
  <si>
    <t>utilidades anuales javier</t>
  </si>
  <si>
    <t>Fac A135</t>
  </si>
  <si>
    <t>transpaso a cuenta itau</t>
  </si>
  <si>
    <t>Fac A139</t>
  </si>
  <si>
    <t>Utilidades Javier</t>
  </si>
  <si>
    <t>Fac A143</t>
  </si>
  <si>
    <t>devolucion de gastos</t>
  </si>
  <si>
    <t>14/03/2025</t>
  </si>
  <si>
    <t>24/03/2025</t>
  </si>
  <si>
    <t>25/03/2025</t>
  </si>
  <si>
    <t>Salario vacacional Rafael Cadenas</t>
  </si>
  <si>
    <t>Utlilidades Javier</t>
  </si>
  <si>
    <t>Fac A152</t>
  </si>
  <si>
    <t>Liquidacion Rafael Cadenas</t>
  </si>
  <si>
    <t>Fac A157</t>
  </si>
  <si>
    <t>pesos pago tarjeta y mas</t>
  </si>
  <si>
    <t>14/05/2025</t>
  </si>
  <si>
    <t>20/05/2025</t>
  </si>
  <si>
    <t>30/05/2025</t>
  </si>
  <si>
    <t>Fac A159 y A162</t>
  </si>
  <si>
    <t>23/06/2025</t>
  </si>
  <si>
    <t>24/06/2025</t>
  </si>
  <si>
    <t>Fac A167</t>
  </si>
  <si>
    <t>21/07/2025</t>
  </si>
  <si>
    <t>24/07/2025</t>
  </si>
  <si>
    <t>30/07/2025</t>
  </si>
  <si>
    <t xml:space="preserve">certificados nuevas empresas </t>
  </si>
  <si>
    <t>22/08/2025</t>
  </si>
  <si>
    <t>26/08/2025</t>
  </si>
  <si>
    <t>Gastos Comunes Alma Duc</t>
  </si>
  <si>
    <t xml:space="preserve">julio y agosto 2025 </t>
  </si>
  <si>
    <t>Alma Duc - consumo julio</t>
  </si>
  <si>
    <t>29/08/2025</t>
  </si>
  <si>
    <t>Fac A172</t>
  </si>
  <si>
    <t>sueldo Jacqueline Valverde</t>
  </si>
  <si>
    <t>Fac A182</t>
  </si>
  <si>
    <t>Antel IP Fija</t>
  </si>
  <si>
    <t>devolucion gastos a Javier</t>
  </si>
  <si>
    <t>19/09/2025</t>
  </si>
  <si>
    <t>22/09/2025</t>
  </si>
  <si>
    <t>pago escribana</t>
  </si>
  <si>
    <t>pago Antel</t>
  </si>
  <si>
    <t>IP fija</t>
  </si>
  <si>
    <t>Alma Duc - liquidacion</t>
  </si>
  <si>
    <t>Fac A186</t>
  </si>
  <si>
    <t>15/10/2025</t>
  </si>
  <si>
    <t>21/10/2025</t>
  </si>
  <si>
    <t>Accidentes de trabajo</t>
  </si>
  <si>
    <t>pago DGI</t>
  </si>
  <si>
    <t>MERCURY</t>
  </si>
  <si>
    <t>PAYONEER</t>
  </si>
  <si>
    <t>Pago UXDivers</t>
  </si>
  <si>
    <t>Fac A002</t>
  </si>
  <si>
    <t>deposito cta santander</t>
  </si>
  <si>
    <t>transferencia de itau U$S</t>
  </si>
  <si>
    <t>28/01/2022</t>
  </si>
  <si>
    <t>honorarios Camilo Arboleda</t>
  </si>
  <si>
    <t>envio a payoneer</t>
  </si>
  <si>
    <t>comision banco x transferencia</t>
  </si>
  <si>
    <t>comision Camilo Arboleda</t>
  </si>
  <si>
    <t>comision payoneer</t>
  </si>
  <si>
    <t>traspaso a cta pesos</t>
  </si>
  <si>
    <t>Honorarios Camilo Arboleda</t>
  </si>
  <si>
    <t>Honorarios Amelia Barcia</t>
  </si>
  <si>
    <t>pago UXDivers</t>
  </si>
  <si>
    <t>Fac A001</t>
  </si>
  <si>
    <t>Honorarios Luciano Putruele</t>
  </si>
  <si>
    <t>devolucion compra mac a javier</t>
  </si>
  <si>
    <t>21/06/2024</t>
  </si>
  <si>
    <t>pago personal de Rodolfo</t>
  </si>
  <si>
    <t>descontado de las devoluciones en dolares</t>
  </si>
  <si>
    <t>Honorarios Jose Manuel Martinez</t>
  </si>
  <si>
    <t>26/06/2024</t>
  </si>
  <si>
    <t>21/02/2022</t>
  </si>
  <si>
    <t>Fac A004</t>
  </si>
  <si>
    <t xml:space="preserve">Marcela Papeleo </t>
  </si>
  <si>
    <t>Argentina - RRHH</t>
  </si>
  <si>
    <t>Honorarios David Pernett</t>
  </si>
  <si>
    <t>Lazo fintech</t>
  </si>
  <si>
    <t xml:space="preserve">Xtrategy </t>
  </si>
  <si>
    <t>tercer mes de tabajo</t>
  </si>
  <si>
    <t>se PAGO IVA con esta venta y la anterior</t>
  </si>
  <si>
    <t>Honorarios Claudia garcia</t>
  </si>
  <si>
    <t xml:space="preserve">reserva sala cowork </t>
  </si>
  <si>
    <t>envio a camilo</t>
  </si>
  <si>
    <t>29/07/2024</t>
  </si>
  <si>
    <t>prueba honorarios miguel lasso</t>
  </si>
  <si>
    <t>Fac A005</t>
  </si>
  <si>
    <t>pago UXdivers</t>
  </si>
  <si>
    <t>Fac A027</t>
  </si>
  <si>
    <t>prueba honorarios david</t>
  </si>
  <si>
    <t>Fac A024</t>
  </si>
  <si>
    <t>cuarto mes de tabajo</t>
  </si>
  <si>
    <t>21/03/2022</t>
  </si>
  <si>
    <t>Fac A009</t>
  </si>
  <si>
    <t>22/03/2022</t>
  </si>
  <si>
    <t>se pago el IVA con esta venta de dolares</t>
  </si>
  <si>
    <t>Fac A028</t>
  </si>
  <si>
    <t>honorarios Miguel Lasso</t>
  </si>
  <si>
    <t>28/03/2022</t>
  </si>
  <si>
    <t>Fac A010</t>
  </si>
  <si>
    <t>prueba honorarios Jose</t>
  </si>
  <si>
    <t>29/03/2022</t>
  </si>
  <si>
    <t>honorarios david Pernett</t>
  </si>
  <si>
    <t>honorarios Cameto</t>
  </si>
  <si>
    <t>pago Ingesol</t>
  </si>
  <si>
    <t>Fac A007</t>
  </si>
  <si>
    <t>honorarios jose Manuel Martinez</t>
  </si>
  <si>
    <t>honorarios Jose Manuel Martinez</t>
  </si>
  <si>
    <t>compra mac maquina rodo</t>
  </si>
  <si>
    <t>honorarios David Pernett</t>
  </si>
  <si>
    <t>Fac A030</t>
  </si>
  <si>
    <t>honorarios miguel Lasso</t>
  </si>
  <si>
    <t>comision por transferencia</t>
  </si>
  <si>
    <t>Orga+</t>
  </si>
  <si>
    <t>pago Orga+</t>
  </si>
  <si>
    <t>Fac Exportacion A001</t>
  </si>
  <si>
    <t>27/09/2024</t>
  </si>
  <si>
    <t>Fac A031</t>
  </si>
  <si>
    <t>Fac A012</t>
  </si>
  <si>
    <t>Fac 011</t>
  </si>
  <si>
    <t>honorarios camilo Arboleda</t>
  </si>
  <si>
    <t>Fac A014</t>
  </si>
  <si>
    <t>debito VISA credito</t>
  </si>
  <si>
    <t>23/05/2022</t>
  </si>
  <si>
    <t>Fac A015</t>
  </si>
  <si>
    <t>Fac A033</t>
  </si>
  <si>
    <t>17/11/2022</t>
  </si>
  <si>
    <t>Fac Exportacion A002</t>
  </si>
  <si>
    <t>Fac A017</t>
  </si>
  <si>
    <t>28/11/2022</t>
  </si>
  <si>
    <t>Fac A034</t>
  </si>
  <si>
    <t>Fac A019</t>
  </si>
  <si>
    <t>transferencia santander x venta dolares</t>
  </si>
  <si>
    <t>Fac A018</t>
  </si>
  <si>
    <t>26/12/2024</t>
  </si>
  <si>
    <t>devolucion a javier por deposito sueldo a Camilo Arboleda</t>
  </si>
  <si>
    <t>Honorarios Miguel Angel Lasso</t>
  </si>
  <si>
    <t>13/07/2022</t>
  </si>
  <si>
    <t>Fac A020</t>
  </si>
  <si>
    <t>Fac A036</t>
  </si>
  <si>
    <t>orga plus</t>
  </si>
  <si>
    <t>Fac A021</t>
  </si>
  <si>
    <t>Fac Exportacion A003</t>
  </si>
  <si>
    <t>honorarios David Pernett + gastos auriculares</t>
  </si>
  <si>
    <t>22/12/2022</t>
  </si>
  <si>
    <t>Fac A037</t>
  </si>
  <si>
    <t>28/12/2022</t>
  </si>
  <si>
    <t>pago notebooks colombia</t>
  </si>
  <si>
    <t>transferencia a cuenta itau pragmatic</t>
  </si>
  <si>
    <t>honorarios miguel Angel Lasso</t>
  </si>
  <si>
    <t>costo transfernecia</t>
  </si>
  <si>
    <t>Fac A025</t>
  </si>
  <si>
    <t>18/09/2022</t>
  </si>
  <si>
    <t>para cubrir el sobregiro</t>
  </si>
  <si>
    <t>transferencia de mercury</t>
  </si>
  <si>
    <t>Fac A041</t>
  </si>
  <si>
    <t>comision Amelia Barcia</t>
  </si>
  <si>
    <t>Fac Exportacion A004</t>
  </si>
  <si>
    <t>comision David Pernett</t>
  </si>
  <si>
    <t>17/01/2023</t>
  </si>
  <si>
    <t>computadora Dasuly</t>
  </si>
  <si>
    <t>comision Jose Manuel Martinez</t>
  </si>
  <si>
    <t>18/01/2023</t>
  </si>
  <si>
    <t xml:space="preserve">BSE - seguro notebook Rodolfo </t>
  </si>
  <si>
    <t>Fac A029</t>
  </si>
  <si>
    <t>26/10/2022</t>
  </si>
  <si>
    <t>Fac A032</t>
  </si>
  <si>
    <t>honorarios Miguel Angel Lasso</t>
  </si>
  <si>
    <t>Honorarios Dasuly Giraldo</t>
  </si>
  <si>
    <t>retiro efectivo colombia</t>
  </si>
  <si>
    <t>Fac Exportacion A005</t>
  </si>
  <si>
    <t>Honorarios Karina Montero</t>
  </si>
  <si>
    <t>comision retiro exterior</t>
  </si>
  <si>
    <t>comision Karina Montero</t>
  </si>
  <si>
    <t>25/11/2022</t>
  </si>
  <si>
    <t>devolucion retiro exterior</t>
  </si>
  <si>
    <t>FacA035</t>
  </si>
  <si>
    <t>Fac A047</t>
  </si>
  <si>
    <t>13/03/2022</t>
  </si>
  <si>
    <t>29/03/2023</t>
  </si>
  <si>
    <t>Fac Exportacion A006</t>
  </si>
  <si>
    <t>Vanessa Muñoz - Diseñadora web</t>
  </si>
  <si>
    <t>Fac A038</t>
  </si>
  <si>
    <t xml:space="preserve">50% seña Neurobrank - stand del Retail del Futuro Colombia </t>
  </si>
  <si>
    <t>Fac A044</t>
  </si>
  <si>
    <t>14/02/2023</t>
  </si>
  <si>
    <t>Fac A042 y A045</t>
  </si>
  <si>
    <t>17/02/2023</t>
  </si>
  <si>
    <t>venta dolares para pago IVA</t>
  </si>
  <si>
    <t>honorarios Dasuly Giraldo</t>
  </si>
  <si>
    <t>Fac A046</t>
  </si>
  <si>
    <t>Honorarios Dario Armella</t>
  </si>
  <si>
    <t>comision Dario Armella</t>
  </si>
  <si>
    <t>Honorarios Sebastian Sandoval</t>
  </si>
  <si>
    <t>Fac A048</t>
  </si>
  <si>
    <t>comision Sebastan Sandoval</t>
  </si>
  <si>
    <t>Honorarios Vico</t>
  </si>
  <si>
    <t>Fac A049</t>
  </si>
  <si>
    <t>Honorarios Matias Correa</t>
  </si>
  <si>
    <t>comision Matias Correa</t>
  </si>
  <si>
    <t>25/04/2023</t>
  </si>
  <si>
    <t>Grupo Heroica</t>
  </si>
  <si>
    <t>Internet Evento Cali</t>
  </si>
  <si>
    <t>Honorarios Eduardo Tamayo</t>
  </si>
  <si>
    <t>comision Eduardo Tamayo</t>
  </si>
  <si>
    <t>viaticos cali Cameto</t>
  </si>
  <si>
    <t>Stand Retail del Futuro</t>
  </si>
  <si>
    <t>Evento Cali</t>
  </si>
  <si>
    <t>pago DSSC</t>
  </si>
  <si>
    <t>Fac A112 y A113</t>
  </si>
  <si>
    <t>comision pago DSSC</t>
  </si>
  <si>
    <t>viaticos cali Javier</t>
  </si>
  <si>
    <t>Mongondb</t>
  </si>
  <si>
    <t>Fac A50</t>
  </si>
  <si>
    <t>pago tarjeta visa itau pragmatic</t>
  </si>
  <si>
    <t>17/10/2025</t>
  </si>
  <si>
    <t>pago Ignacio Fernandez</t>
  </si>
  <si>
    <t>RRHH Argentina</t>
  </si>
  <si>
    <t>Fac A052</t>
  </si>
  <si>
    <t>Fac A043</t>
  </si>
  <si>
    <t>Hotel Cali</t>
  </si>
  <si>
    <t>Evento Retaill</t>
  </si>
  <si>
    <t>retiro cajero</t>
  </si>
  <si>
    <t>Cali Evento</t>
  </si>
  <si>
    <t>debito plus</t>
  </si>
  <si>
    <t>Neuromark . stand Retail</t>
  </si>
  <si>
    <t>17/07/2023</t>
  </si>
  <si>
    <t>Fac A053</t>
  </si>
  <si>
    <t>cali evento</t>
  </si>
  <si>
    <t>14/08/2023</t>
  </si>
  <si>
    <t>pago BPS julio</t>
  </si>
  <si>
    <t>con venta dolares</t>
  </si>
  <si>
    <t>ingreso pago tarjeta</t>
  </si>
  <si>
    <t>pago Palser</t>
  </si>
  <si>
    <t>compra noteboook Rafael Cadenas</t>
  </si>
  <si>
    <t>pago tarjeta credito itau</t>
  </si>
  <si>
    <t>Fac A051</t>
  </si>
  <si>
    <t>devolucion prestamo signum (aporte socio)</t>
  </si>
  <si>
    <t>Fac Exportacion A07</t>
  </si>
  <si>
    <t>25/05/2023</t>
  </si>
  <si>
    <t>Fac Exportacion A08</t>
  </si>
  <si>
    <t>Hotel Faranda - Sala de reuniones</t>
  </si>
  <si>
    <t>Honorarios VIco</t>
  </si>
  <si>
    <t>para pagar Bps y prodatos</t>
  </si>
  <si>
    <t>18/09/2023</t>
  </si>
  <si>
    <t>Pago Contador USA FB</t>
  </si>
  <si>
    <t>transferencia de cuenta itau</t>
  </si>
  <si>
    <t>prestamo socio</t>
  </si>
  <si>
    <t>Fac A56</t>
  </si>
  <si>
    <t>Honorarios camilo Arboleda</t>
  </si>
  <si>
    <t>enviado a pragmatic itau</t>
  </si>
  <si>
    <t>17/11/2023</t>
  </si>
  <si>
    <t>PAGO BPS</t>
  </si>
  <si>
    <t>honorarios MIguel Angel Lasso</t>
  </si>
  <si>
    <t>noviembre</t>
  </si>
  <si>
    <t>Fac Exportacion A09</t>
  </si>
  <si>
    <t>28/12/2023</t>
  </si>
  <si>
    <t>Fac A61</t>
  </si>
  <si>
    <t>utilidades rodolfo</t>
  </si>
  <si>
    <t>13/07/2023</t>
  </si>
  <si>
    <t>utiliades Javier</t>
  </si>
  <si>
    <t>Fac Exportacion A10</t>
  </si>
  <si>
    <t>16/01/2024</t>
  </si>
  <si>
    <t>transferencia compra camioneta toyota</t>
  </si>
  <si>
    <t>honorarios Fernando Medina</t>
  </si>
  <si>
    <t>seña compra camioneta toyota</t>
  </si>
  <si>
    <t>Honorarios Ingesol</t>
  </si>
  <si>
    <t>22/01/2024</t>
  </si>
  <si>
    <t>Fac A103</t>
  </si>
  <si>
    <t>transferencia a rodo (horacio/amelia)</t>
  </si>
  <si>
    <t>30/05/2024</t>
  </si>
  <si>
    <t xml:space="preserve">venta dolares </t>
  </si>
  <si>
    <t>Fac A115</t>
  </si>
  <si>
    <t>venta dolares para pago bps</t>
  </si>
  <si>
    <t>26/07/2024</t>
  </si>
  <si>
    <t>Fac A116</t>
  </si>
  <si>
    <t>Fac A054</t>
  </si>
  <si>
    <t>Fac A119</t>
  </si>
  <si>
    <t>Fac Exportacion A11</t>
  </si>
  <si>
    <t>16/08/2024</t>
  </si>
  <si>
    <t>Fac A120 y A121</t>
  </si>
  <si>
    <t>traspaso cta pesos</t>
  </si>
  <si>
    <t>Fac A125,126,127 y NC A104</t>
  </si>
  <si>
    <t>28/10/2024</t>
  </si>
  <si>
    <t>BSE seguro notebook</t>
  </si>
  <si>
    <t>Fac A130 y A131</t>
  </si>
  <si>
    <t>con Marcelo de San vicente</t>
  </si>
  <si>
    <t>Fac Exportacion A012</t>
  </si>
  <si>
    <t>Fac A137</t>
  </si>
  <si>
    <t>19/11/2024</t>
  </si>
  <si>
    <t>venta dol pago DGI</t>
  </si>
  <si>
    <t>DGI octubre</t>
  </si>
  <si>
    <t>14/09/2023</t>
  </si>
  <si>
    <t>Fac A133 y A136</t>
  </si>
  <si>
    <t>26/11/2024</t>
  </si>
  <si>
    <t>19/09/2023</t>
  </si>
  <si>
    <t>pesos</t>
  </si>
  <si>
    <t>pago ingesol</t>
  </si>
  <si>
    <t>Fac A14,141,142</t>
  </si>
  <si>
    <t>utilidades anuales Rodolfo</t>
  </si>
  <si>
    <t>23/01/2025</t>
  </si>
  <si>
    <t xml:space="preserve">Cosmo - agencia - 50% por inicio </t>
  </si>
  <si>
    <t>24/01/2025</t>
  </si>
  <si>
    <t>honorarios dasuly Giraldo</t>
  </si>
  <si>
    <t>Fac A144 y A145</t>
  </si>
  <si>
    <t>sueldos</t>
  </si>
  <si>
    <t>transferencia santander</t>
  </si>
  <si>
    <t>24/02/2025</t>
  </si>
  <si>
    <t>Fac A148,149,150 y 151</t>
  </si>
  <si>
    <t>Honorarios Gonzalo Cameto</t>
  </si>
  <si>
    <t>Fac A57</t>
  </si>
  <si>
    <t>pago visa itau dolares</t>
  </si>
  <si>
    <t>regatones escritorio</t>
  </si>
  <si>
    <t>pasaje y viatico Amelia venida al uy</t>
  </si>
  <si>
    <t>Hospedaje Miami</t>
  </si>
  <si>
    <t>Evento 2025</t>
  </si>
  <si>
    <t>18/10/2023</t>
  </si>
  <si>
    <t>Cosmo - agencia - 50% por el final</t>
  </si>
  <si>
    <t>27/10/2023</t>
  </si>
  <si>
    <t>27/03/2025</t>
  </si>
  <si>
    <t>Fac A154,155 y 156</t>
  </si>
  <si>
    <t>Fac Exportacion A013</t>
  </si>
  <si>
    <t>Honorarios Fernando Medina</t>
  </si>
  <si>
    <t>Costo transferencia</t>
  </si>
  <si>
    <t>Fac A160 y A161</t>
  </si>
  <si>
    <t>Fac A163</t>
  </si>
  <si>
    <t>por bps</t>
  </si>
  <si>
    <t>27/06/2025</t>
  </si>
  <si>
    <t>Fac A169,170 y 171</t>
  </si>
  <si>
    <t>CALI</t>
  </si>
  <si>
    <t>pago Visa itau dolares</t>
  </si>
  <si>
    <t>debito visa credito</t>
  </si>
  <si>
    <t>Fac A175 y A176</t>
  </si>
  <si>
    <t>trasnferencia de cuenta santander</t>
  </si>
  <si>
    <t>devolucion Horacio Vico</t>
  </si>
  <si>
    <t>pago Visa itau pesos</t>
  </si>
  <si>
    <t>Fac A058</t>
  </si>
  <si>
    <t>19/08/2025</t>
  </si>
  <si>
    <t>pago escribano BCU</t>
  </si>
  <si>
    <t>14/11/2023</t>
  </si>
  <si>
    <t>Fac Exportacion A014</t>
  </si>
  <si>
    <t>Fac A179,180,181</t>
  </si>
  <si>
    <t>Honorarios jose Manuel Martinez</t>
  </si>
  <si>
    <t xml:space="preserve">pago Signum </t>
  </si>
  <si>
    <t>Fac A189</t>
  </si>
  <si>
    <t>Fac A187 y A188</t>
  </si>
  <si>
    <t>Fac A059</t>
  </si>
  <si>
    <t>Pago monitor Apple MOX</t>
  </si>
  <si>
    <t>Fac A196</t>
  </si>
  <si>
    <t>28/10/2025</t>
  </si>
  <si>
    <t>Fac A193,194 y 195</t>
  </si>
  <si>
    <t>21/12/2023</t>
  </si>
  <si>
    <t>Fac Exportacion A015</t>
  </si>
  <si>
    <t>utilidades javier</t>
  </si>
  <si>
    <t>pago escribana y abitab</t>
  </si>
  <si>
    <t>Fac A062</t>
  </si>
  <si>
    <t>pago escribana certificados abitab</t>
  </si>
  <si>
    <t>19/01/2024</t>
  </si>
  <si>
    <t>liquidacion enero, y los 17 de Febrero</t>
  </si>
  <si>
    <t>BSE - poliza seguro notebook Rodolfo</t>
  </si>
  <si>
    <t>23/01/2024</t>
  </si>
  <si>
    <t>Fac Exportacion A016</t>
  </si>
  <si>
    <t>más costo de cowork</t>
  </si>
  <si>
    <t>video Mendez</t>
  </si>
  <si>
    <t>14/02/2024</t>
  </si>
  <si>
    <t>Fac A102</t>
  </si>
  <si>
    <t>Fac Exportacion A017</t>
  </si>
  <si>
    <t>transpaso entre cuentas</t>
  </si>
  <si>
    <t>22/02/2024</t>
  </si>
  <si>
    <t>IVA Fac A102</t>
  </si>
  <si>
    <t>pago pasaje aereo Vico</t>
  </si>
  <si>
    <t>a cliente orga</t>
  </si>
  <si>
    <t>Diferencia</t>
  </si>
  <si>
    <t>19/03/2024</t>
  </si>
  <si>
    <t>Fac A108</t>
  </si>
  <si>
    <t>Fac Exportacion A019 y A020 + pasaje aereo Horacio Vico</t>
  </si>
  <si>
    <t>Fac A110</t>
  </si>
  <si>
    <t>16/04/2024</t>
  </si>
  <si>
    <t>a horacio</t>
  </si>
  <si>
    <t>viaje a españa</t>
  </si>
  <si>
    <t xml:space="preserve">service tecnico mac jose manuel </t>
  </si>
  <si>
    <t>compra notebook Jose Martinez</t>
  </si>
  <si>
    <t>IVA camioneta devolucion a Rodolfo</t>
  </si>
  <si>
    <t>13/05/2024</t>
  </si>
  <si>
    <t>Fac A111</t>
  </si>
  <si>
    <t>14/05/2024</t>
  </si>
  <si>
    <t>Fac Exportacion A021</t>
  </si>
  <si>
    <t>transferencia a payoneer</t>
  </si>
  <si>
    <t>sueldo amelia</t>
  </si>
  <si>
    <t>Fac A114</t>
  </si>
  <si>
    <t>Fac Exportacion A022</t>
  </si>
  <si>
    <t>Fac Exportacion A023</t>
  </si>
  <si>
    <t>Fac A117</t>
  </si>
  <si>
    <t>15//07/2024</t>
  </si>
  <si>
    <t>cali</t>
  </si>
  <si>
    <t>costo retiro cajero</t>
  </si>
  <si>
    <t>y costo cowork</t>
  </si>
  <si>
    <t>mandamos U$S 50 el 1/08 x payoneer-versi lo recibio</t>
  </si>
  <si>
    <t>mandamos U$S 50 el 31/7 x payoneer-versi lo recibio</t>
  </si>
  <si>
    <t>Fac Exportacion A024</t>
  </si>
  <si>
    <t xml:space="preserve">almuerzo Rodolfo </t>
  </si>
  <si>
    <t>devolucion iva almuerzo rodo</t>
  </si>
  <si>
    <t>Fac A122</t>
  </si>
  <si>
    <t>traspaso entre cuentas</t>
  </si>
  <si>
    <t>traspaso a payoneer</t>
  </si>
  <si>
    <t>Fac A124</t>
  </si>
  <si>
    <t>Fac A129</t>
  </si>
  <si>
    <t>Fac Exportacion A101</t>
  </si>
  <si>
    <t>Fac Exportacion A102</t>
  </si>
  <si>
    <t>Fac A134</t>
  </si>
  <si>
    <t>Fac Exportacion A103</t>
  </si>
  <si>
    <t>Fac A138</t>
  </si>
  <si>
    <t>15/12/2024</t>
  </si>
  <si>
    <t>13/01/2025</t>
  </si>
  <si>
    <t>Fac A146</t>
  </si>
  <si>
    <t>21/01/2025</t>
  </si>
  <si>
    <t>Fac Exportacion A104</t>
  </si>
  <si>
    <t>Fac A147</t>
  </si>
  <si>
    <t>19/02/2025</t>
  </si>
  <si>
    <t>Fax Exportacion A105</t>
  </si>
  <si>
    <t>21/02/2025</t>
  </si>
  <si>
    <t xml:space="preserve">DGI Enero </t>
  </si>
  <si>
    <t>transferencia cuenta santander</t>
  </si>
  <si>
    <t>devolucion iva</t>
  </si>
  <si>
    <t>compra devoto</t>
  </si>
  <si>
    <t>primer mes</t>
  </si>
  <si>
    <t>13/03/2025</t>
  </si>
  <si>
    <t>Fac Exportacion A106</t>
  </si>
  <si>
    <t>segundo mes</t>
  </si>
  <si>
    <t>Fac A158</t>
  </si>
  <si>
    <t>liquidacion x egreso Rafael</t>
  </si>
  <si>
    <t>liquidacion x egreso</t>
  </si>
  <si>
    <t>Fac A153</t>
  </si>
  <si>
    <t>23/04/2025</t>
  </si>
  <si>
    <t>contraprestacion Utilidades Javier</t>
  </si>
  <si>
    <t>pago sueldos</t>
  </si>
  <si>
    <t>Fac A162</t>
  </si>
  <si>
    <t>Fac A166</t>
  </si>
  <si>
    <t>Fac A108 y 109</t>
  </si>
  <si>
    <t>pago Paytrue</t>
  </si>
  <si>
    <t>Fac A165</t>
  </si>
  <si>
    <t>Fac A173</t>
  </si>
  <si>
    <t>Fac A168</t>
  </si>
  <si>
    <t>23/07/2025</t>
  </si>
  <si>
    <t xml:space="preserve">pago Marcela Papaleo </t>
  </si>
  <si>
    <t>Honorarios karina Montero</t>
  </si>
  <si>
    <t>Fac A176</t>
  </si>
  <si>
    <t>Fac Exportacion A110</t>
  </si>
  <si>
    <t>Fac A178</t>
  </si>
  <si>
    <t>15/08/2025</t>
  </si>
  <si>
    <t>Fac A177</t>
  </si>
  <si>
    <t>Fac Exportacion A111</t>
  </si>
  <si>
    <t>Fac A183</t>
  </si>
  <si>
    <t>Pago UXdivers</t>
  </si>
  <si>
    <t>Fac A185</t>
  </si>
  <si>
    <t>Fac A191</t>
  </si>
  <si>
    <t>Fac A184</t>
  </si>
  <si>
    <t>13/10/2025</t>
  </si>
  <si>
    <t>devolucion pago Ignacio Fernandez</t>
  </si>
  <si>
    <t>22/10/2025</t>
  </si>
  <si>
    <t>pago Porto Seguro</t>
  </si>
  <si>
    <t>Fac A190</t>
  </si>
  <si>
    <t>23/10/2025</t>
  </si>
  <si>
    <t xml:space="preserve">pago Ingesol </t>
  </si>
  <si>
    <t>Fac por Porto</t>
  </si>
  <si>
    <t>Facturas</t>
  </si>
  <si>
    <t>Monto IVA Fac</t>
  </si>
  <si>
    <t>Saldo Pendiente</t>
  </si>
  <si>
    <t>Total Cert.</t>
  </si>
  <si>
    <t>Nº Certificado</t>
  </si>
  <si>
    <t>Fecha transaccion</t>
  </si>
  <si>
    <t>Nº Boleto</t>
  </si>
  <si>
    <t>intervencion</t>
  </si>
  <si>
    <t>Emitido</t>
  </si>
  <si>
    <t>Uso mes</t>
  </si>
  <si>
    <t>IP</t>
  </si>
  <si>
    <t>18/05/2022</t>
  </si>
  <si>
    <t>18/06/2022</t>
  </si>
  <si>
    <t>22/07/2022</t>
  </si>
  <si>
    <t>19/08/2022</t>
  </si>
  <si>
    <t>21/10/2022</t>
  </si>
  <si>
    <t>18/12/2022</t>
  </si>
  <si>
    <t>16/02/2023</t>
  </si>
  <si>
    <t>17/03/2023</t>
  </si>
  <si>
    <t>24/05/2023</t>
  </si>
  <si>
    <t>22/06/2023</t>
  </si>
  <si>
    <t>Diciembre 2022</t>
  </si>
  <si>
    <t>23/07/2023</t>
  </si>
  <si>
    <t>26/07/2023</t>
  </si>
  <si>
    <t>irpf julio 2022</t>
  </si>
  <si>
    <t>21/09/2023</t>
  </si>
  <si>
    <t>739787 y 739777</t>
  </si>
  <si>
    <t>IP julio y agosto</t>
  </si>
  <si>
    <t>1395,1412 -1416</t>
  </si>
  <si>
    <t>19/11/2023</t>
  </si>
  <si>
    <t>IP de setiembre y octubre</t>
  </si>
  <si>
    <t>13/12/2023</t>
  </si>
  <si>
    <t>Enero 2024</t>
  </si>
  <si>
    <t>parte del bps de diciembre</t>
  </si>
  <si>
    <t>13/03/2024</t>
  </si>
  <si>
    <t xml:space="preserve">bps de febrero </t>
  </si>
  <si>
    <t>bps de marzo</t>
  </si>
  <si>
    <t>18/09/2024</t>
  </si>
  <si>
    <t>Julio 2025</t>
  </si>
  <si>
    <t>Agosto 2025</t>
  </si>
  <si>
    <t>Total Iva</t>
  </si>
  <si>
    <t>Saldo pendiente</t>
  </si>
  <si>
    <t>Total certificados Emitidos</t>
  </si>
  <si>
    <t>Monto</t>
  </si>
  <si>
    <t>A Pagar $</t>
  </si>
  <si>
    <t>A Cobrar $</t>
  </si>
  <si>
    <t>PESOS</t>
  </si>
  <si>
    <t>Monto $</t>
  </si>
  <si>
    <t>Pagado S/N</t>
  </si>
  <si>
    <t>Cobrado S/N</t>
  </si>
  <si>
    <t>retiro caja</t>
  </si>
  <si>
    <t>devolucion iva porto</t>
  </si>
  <si>
    <t>DOLARES</t>
  </si>
  <si>
    <t>Monto U$S</t>
  </si>
  <si>
    <t>A Pagar U$S</t>
  </si>
  <si>
    <t>A Cobrar U$S</t>
  </si>
  <si>
    <t>31/7/2025</t>
  </si>
  <si>
    <t>cierre ejercicio - prestamo Rodo</t>
  </si>
  <si>
    <t>Cuentas a pagar MN</t>
  </si>
  <si>
    <t>Pagado</t>
  </si>
  <si>
    <t>A pagar u$s</t>
  </si>
  <si>
    <t>A Signum</t>
  </si>
  <si>
    <t>adelanto apertura SAS</t>
  </si>
  <si>
    <t>20/01/2022</t>
  </si>
  <si>
    <t>certificado ID Abitab</t>
  </si>
  <si>
    <t>IVA certificado Abitab</t>
  </si>
  <si>
    <t>escribano paiva BCU</t>
  </si>
  <si>
    <t>oscar</t>
  </si>
  <si>
    <t>Cuentas a pagar u$s</t>
  </si>
  <si>
    <t>Oscar</t>
  </si>
  <si>
    <t>Aporte socios</t>
  </si>
  <si>
    <t>UXDivers dic 2021</t>
  </si>
  <si>
    <t>iva camioneta</t>
  </si>
  <si>
    <t>XTrategy</t>
  </si>
  <si>
    <t>primer mes de trabajo</t>
  </si>
  <si>
    <t>Segundo mes de trabajo</t>
  </si>
  <si>
    <t>tercer mes de trabajo</t>
  </si>
  <si>
    <t>Cuarto mes de trabajo</t>
  </si>
  <si>
    <t>22/07/2025</t>
  </si>
  <si>
    <t>Papaleo</t>
  </si>
  <si>
    <t>honorarios karina Montero</t>
  </si>
  <si>
    <t>Lo marco como pago porque se va a pagar desde mercury</t>
  </si>
  <si>
    <t>Visa</t>
  </si>
  <si>
    <t>visa tarjeta</t>
  </si>
  <si>
    <t>gonzalo fleitas</t>
  </si>
  <si>
    <t>Ignacio Fernandez</t>
  </si>
  <si>
    <t>Papaleo/Bolino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</si>
</sst>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mm/dd/yyyy"/>
    <numFmt numFmtId="166" formatCode="#,##0.000"/>
    <numFmt numFmtId="167" formatCode="0.000"/>
    <numFmt numFmtId="168" formatCode="m&quot;/&quot;d&quot;/&quot;yyyy"/>
    <numFmt numFmtId="169" formatCode="m/d/yyyy"/>
    <numFmt numFmtId="172" formatCode="mm&quot;-&quot;dd&quot;-&quot;yyyy"/>
    <numFmt numFmtId="173" formatCode="mm/yyyy"/>
    <numFmt numFmtId="174" formatCode="m/yyyy"/>
  </numFmts>
  <fonts count="66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9"/>
      <color rgb="FFF7981D"/>
      <name val="&quot;Google Sans Mono&quot;"/>
    </font>
    <font>
      <sz val="10"/>
      <color rgb="FF6AA84F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Inconsolata"/>
    </font>
    <font>
      <sz val="10"/>
      <color rgb="FFFFFFFF"/>
      <name val="Arial"/>
      <family val="2"/>
    </font>
    <font>
      <sz val="10"/>
      <color rgb="FF222222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Nunito"/>
    </font>
    <font>
      <b/>
      <sz val="12"/>
      <name val="Nunito"/>
    </font>
    <font>
      <sz val="12"/>
      <name val="Nunito"/>
    </font>
    <font>
      <b/>
      <sz val="10"/>
      <name val="Nunito"/>
    </font>
    <font>
      <sz val="10"/>
      <color rgb="FF000000"/>
      <name val="Nunito"/>
    </font>
    <font>
      <sz val="10"/>
      <color rgb="FFFF0000"/>
      <name val="Nunito"/>
    </font>
    <font>
      <b/>
      <sz val="10"/>
      <color rgb="FFFF0000"/>
      <name val="Nunito"/>
    </font>
    <font>
      <b/>
      <sz val="10"/>
      <color rgb="FFE06666"/>
      <name val="Nunito"/>
    </font>
    <font>
      <b/>
      <sz val="10"/>
      <color rgb="FF434343"/>
      <name val="Nunito"/>
    </font>
    <font>
      <sz val="10"/>
      <color rgb="FF434343"/>
      <name val="Nunito"/>
    </font>
    <font>
      <sz val="12"/>
      <color rgb="FF212529"/>
      <name val="Montserrat"/>
    </font>
    <font>
      <sz val="9"/>
      <color rgb="FF000000"/>
      <name val="&quot;Google Sans Mono&quot;"/>
    </font>
    <font>
      <b/>
      <sz val="10"/>
      <color rgb="FF212529"/>
      <name val="Arial"/>
      <family val="2"/>
    </font>
    <font>
      <sz val="11"/>
      <color rgb="FF1155CC"/>
      <name val="Inconsolata"/>
    </font>
    <font>
      <b/>
      <sz val="8"/>
      <name val="Arial"/>
      <family val="2"/>
    </font>
    <font>
      <sz val="8"/>
      <name val="Arial"/>
      <family val="2"/>
    </font>
    <font>
      <strike/>
      <sz val="8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9"/>
      <color rgb="FF7E3794"/>
      <name val="&quot;Google Sans Mono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434343"/>
      <name val="Arial"/>
      <family val="2"/>
    </font>
    <font>
      <u/>
      <sz val="10"/>
      <color rgb="FF0000FF"/>
      <name val="Arial"/>
      <family val="2"/>
    </font>
    <font>
      <u/>
      <sz val="10"/>
      <color rgb="FF000000"/>
      <name val="Arial"/>
      <family val="2"/>
    </font>
    <font>
      <sz val="10"/>
      <color rgb="FFE06666"/>
      <name val="Arial"/>
      <family val="2"/>
    </font>
    <font>
      <sz val="10"/>
      <color rgb="FF212529"/>
      <name val="Arial"/>
      <family val="2"/>
    </font>
    <font>
      <b/>
      <sz val="10"/>
      <color rgb="FFFFFF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Roboto"/>
    </font>
    <font>
      <sz val="9"/>
      <name val="Arial"/>
      <family val="2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11"/>
      <color rgb="FF0000FF"/>
      <name val="Inconsolata"/>
    </font>
    <font>
      <sz val="11"/>
      <color rgb="FFFF0000"/>
      <name val="Inconsolata"/>
    </font>
  </fonts>
  <fills count="3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E9F2E5"/>
        <bgColor rgb="FFE9F2E5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5B95F9"/>
        <bgColor rgb="FF5B95F9"/>
      </patternFill>
    </fill>
    <fill>
      <patternFill patternType="solid">
        <fgColor rgb="FFCFE2F3"/>
        <bgColor rgb="FFCFE2F3"/>
      </patternFill>
    </fill>
    <fill>
      <patternFill patternType="solid">
        <fgColor rgb="FFE8F0FE"/>
        <bgColor rgb="FFE8F0FE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DF2F0"/>
        <bgColor rgb="FFDDF2F0"/>
      </patternFill>
    </fill>
    <fill>
      <patternFill patternType="solid">
        <fgColor rgb="FF0000FF"/>
        <bgColor rgb="FF0000FF"/>
      </patternFill>
    </fill>
  </fills>
  <borders count="83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4A86E8"/>
      </left>
      <right/>
      <top/>
      <bottom/>
      <diagonal/>
    </border>
    <border>
      <left/>
      <right style="medium">
        <color rgb="FF4A86E8"/>
      </right>
      <top/>
      <bottom/>
      <diagonal/>
    </border>
    <border>
      <left style="medium">
        <color rgb="FFB7B7B7"/>
      </left>
      <right/>
      <top style="medium">
        <color rgb="FFB7B7B7"/>
      </top>
      <bottom/>
      <diagonal/>
    </border>
    <border>
      <left/>
      <right/>
      <top style="medium">
        <color rgb="FFB7B7B7"/>
      </top>
      <bottom/>
      <diagonal/>
    </border>
    <border>
      <left/>
      <right style="medium">
        <color rgb="FFB7B7B7"/>
      </right>
      <top style="medium">
        <color rgb="FFB7B7B7"/>
      </top>
      <bottom/>
      <diagonal/>
    </border>
    <border>
      <left style="medium">
        <color rgb="FF93C47D"/>
      </left>
      <right/>
      <top style="medium">
        <color rgb="FF93C47D"/>
      </top>
      <bottom style="medium">
        <color rgb="FF93C47D"/>
      </bottom>
      <diagonal/>
    </border>
    <border>
      <left/>
      <right/>
      <top style="medium">
        <color rgb="FF93C47D"/>
      </top>
      <bottom style="medium">
        <color rgb="FF93C47D"/>
      </bottom>
      <diagonal/>
    </border>
    <border>
      <left/>
      <right style="medium">
        <color rgb="FF93C47D"/>
      </right>
      <top style="medium">
        <color rgb="FF93C47D"/>
      </top>
      <bottom style="medium">
        <color rgb="FF93C47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rgb="FF434343"/>
      </left>
      <right style="thin">
        <color rgb="FF000000"/>
      </right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434343"/>
      </top>
      <bottom style="thin">
        <color rgb="FF434343"/>
      </bottom>
      <diagonal/>
    </border>
    <border>
      <left/>
      <right style="thin">
        <color rgb="FF000000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CCCCCC"/>
      </right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thin">
        <color rgb="FF434343"/>
      </left>
      <right/>
      <top/>
      <bottom style="thin">
        <color rgb="FF434343"/>
      </bottom>
      <diagonal/>
    </border>
    <border>
      <left/>
      <right/>
      <top/>
      <bottom style="thin">
        <color rgb="FF434343"/>
      </bottom>
      <diagonal/>
    </border>
    <border>
      <left/>
      <right style="thin">
        <color rgb="FF000000"/>
      </right>
      <top style="thin">
        <color rgb="FF434343"/>
      </top>
      <bottom/>
      <diagonal/>
    </border>
    <border>
      <left style="thin">
        <color rgb="FF000000"/>
      </left>
      <right style="thin">
        <color rgb="FF434343"/>
      </right>
      <top style="thin">
        <color rgb="FF434343"/>
      </top>
      <bottom/>
      <diagonal/>
    </border>
    <border>
      <left/>
      <right style="thin">
        <color rgb="FF434343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434343"/>
      </bottom>
      <diagonal/>
    </border>
    <border>
      <left style="thin">
        <color rgb="FF434343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/>
      <bottom style="thin">
        <color rgb="FF434343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9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2" xfId="0" applyFont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1" fillId="3" borderId="3" xfId="0" applyFont="1" applyFill="1" applyBorder="1"/>
    <xf numFmtId="0" fontId="2" fillId="3" borderId="4" xfId="0" applyFont="1" applyFill="1" applyBorder="1"/>
    <xf numFmtId="0" fontId="1" fillId="3" borderId="5" xfId="0" applyFont="1" applyFill="1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2" fillId="0" borderId="7" xfId="0" applyFont="1" applyBorder="1"/>
    <xf numFmtId="0" fontId="1" fillId="0" borderId="7" xfId="0" applyFont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3" borderId="9" xfId="0" applyFont="1" applyFill="1" applyBorder="1"/>
    <xf numFmtId="0" fontId="2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/>
    <xf numFmtId="0" fontId="1" fillId="0" borderId="12" xfId="0" applyFont="1" applyBorder="1"/>
    <xf numFmtId="4" fontId="2" fillId="0" borderId="0" xfId="0" applyNumberFormat="1" applyFont="1"/>
    <xf numFmtId="0" fontId="2" fillId="0" borderId="0" xfId="0" applyFont="1"/>
    <xf numFmtId="0" fontId="1" fillId="2" borderId="0" xfId="0" applyFont="1" applyFill="1"/>
    <xf numFmtId="4" fontId="2" fillId="2" borderId="0" xfId="0" applyNumberFormat="1" applyFont="1" applyFill="1"/>
    <xf numFmtId="0" fontId="2" fillId="0" borderId="13" xfId="0" applyFont="1" applyBorder="1"/>
    <xf numFmtId="0" fontId="3" fillId="2" borderId="0" xfId="0" applyFont="1" applyFill="1"/>
    <xf numFmtId="4" fontId="2" fillId="0" borderId="13" xfId="0" applyNumberFormat="1" applyFont="1" applyBorder="1"/>
    <xf numFmtId="0" fontId="2" fillId="0" borderId="14" xfId="0" applyFont="1" applyBorder="1"/>
    <xf numFmtId="0" fontId="1" fillId="0" borderId="15" xfId="0" applyFont="1" applyBorder="1" applyAlignment="1">
      <alignment horizontal="right"/>
    </xf>
    <xf numFmtId="0" fontId="2" fillId="0" borderId="15" xfId="0" applyFont="1" applyBorder="1"/>
    <xf numFmtId="0" fontId="1" fillId="0" borderId="15" xfId="0" applyFont="1" applyBorder="1"/>
    <xf numFmtId="0" fontId="2" fillId="0" borderId="16" xfId="0" applyFont="1" applyBorder="1"/>
    <xf numFmtId="0" fontId="1" fillId="0" borderId="0" xfId="0" applyFont="1" applyAlignment="1">
      <alignment horizontal="right"/>
    </xf>
    <xf numFmtId="0" fontId="1" fillId="0" borderId="17" xfId="0" applyFont="1" applyBorder="1"/>
    <xf numFmtId="4" fontId="4" fillId="0" borderId="18" xfId="0" applyNumberFormat="1" applyFont="1" applyBorder="1"/>
    <xf numFmtId="0" fontId="4" fillId="0" borderId="19" xfId="0" applyFont="1" applyBorder="1"/>
    <xf numFmtId="0" fontId="1" fillId="0" borderId="0" xfId="0" applyFont="1" applyAlignment="1">
      <alignment horizontal="center"/>
    </xf>
    <xf numFmtId="0" fontId="1" fillId="0" borderId="20" xfId="0" applyFont="1" applyBorder="1"/>
    <xf numFmtId="0" fontId="4" fillId="0" borderId="21" xfId="0" applyFont="1" applyBorder="1"/>
    <xf numFmtId="4" fontId="4" fillId="0" borderId="22" xfId="0" applyNumberFormat="1" applyFont="1" applyBorder="1"/>
    <xf numFmtId="0" fontId="1" fillId="0" borderId="23" xfId="0" applyFont="1" applyBorder="1"/>
    <xf numFmtId="4" fontId="4" fillId="0" borderId="0" xfId="0" applyNumberFormat="1" applyFont="1"/>
    <xf numFmtId="4" fontId="4" fillId="0" borderId="24" xfId="0" applyNumberFormat="1" applyFont="1" applyBorder="1"/>
    <xf numFmtId="0" fontId="5" fillId="0" borderId="0" xfId="0" applyFont="1"/>
    <xf numFmtId="0" fontId="1" fillId="0" borderId="25" xfId="0" applyFont="1" applyBorder="1"/>
    <xf numFmtId="4" fontId="4" fillId="0" borderId="26" xfId="0" applyNumberFormat="1" applyFont="1" applyBorder="1"/>
    <xf numFmtId="4" fontId="4" fillId="0" borderId="27" xfId="0" applyNumberFormat="1" applyFont="1" applyBorder="1"/>
    <xf numFmtId="0" fontId="6" fillId="0" borderId="0" xfId="0" applyFont="1"/>
    <xf numFmtId="0" fontId="1" fillId="0" borderId="28" xfId="0" applyFont="1" applyBorder="1"/>
    <xf numFmtId="4" fontId="4" fillId="0" borderId="29" xfId="0" applyNumberFormat="1" applyFont="1" applyBorder="1"/>
    <xf numFmtId="4" fontId="4" fillId="0" borderId="30" xfId="0" applyNumberFormat="1" applyFont="1" applyBorder="1"/>
    <xf numFmtId="4" fontId="7" fillId="0" borderId="0" xfId="0" applyNumberFormat="1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right"/>
    </xf>
    <xf numFmtId="0" fontId="2" fillId="4" borderId="0" xfId="0" applyFont="1" applyFill="1"/>
    <xf numFmtId="4" fontId="8" fillId="4" borderId="0" xfId="0" applyNumberFormat="1" applyFont="1" applyFill="1"/>
    <xf numFmtId="4" fontId="6" fillId="0" borderId="0" xfId="0" applyNumberFormat="1" applyFont="1" applyAlignment="1">
      <alignment horizontal="right"/>
    </xf>
    <xf numFmtId="4" fontId="6" fillId="0" borderId="0" xfId="0" applyNumberFormat="1" applyFont="1"/>
    <xf numFmtId="0" fontId="1" fillId="5" borderId="0" xfId="0" applyFont="1" applyFill="1"/>
    <xf numFmtId="4" fontId="9" fillId="5" borderId="0" xfId="0" applyNumberFormat="1" applyFont="1" applyFill="1"/>
    <xf numFmtId="0" fontId="1" fillId="6" borderId="0" xfId="0" applyFont="1" applyFill="1"/>
    <xf numFmtId="0" fontId="10" fillId="0" borderId="0" xfId="0" applyFont="1"/>
    <xf numFmtId="0" fontId="2" fillId="6" borderId="0" xfId="0" applyFont="1" applyFill="1"/>
    <xf numFmtId="0" fontId="6" fillId="7" borderId="0" xfId="0" applyFont="1" applyFill="1"/>
    <xf numFmtId="4" fontId="5" fillId="7" borderId="0" xfId="0" applyNumberFormat="1" applyFont="1" applyFill="1" applyAlignment="1">
      <alignment horizontal="right"/>
    </xf>
    <xf numFmtId="4" fontId="2" fillId="6" borderId="0" xfId="0" applyNumberFormat="1" applyFont="1" applyFill="1"/>
    <xf numFmtId="4" fontId="5" fillId="0" borderId="0" xfId="0" applyNumberFormat="1" applyFont="1"/>
    <xf numFmtId="4" fontId="11" fillId="0" borderId="0" xfId="0" applyNumberFormat="1" applyFont="1"/>
    <xf numFmtId="0" fontId="12" fillId="0" borderId="0" xfId="0" applyFont="1"/>
    <xf numFmtId="4" fontId="12" fillId="0" borderId="0" xfId="0" applyNumberFormat="1" applyFont="1"/>
    <xf numFmtId="0" fontId="13" fillId="5" borderId="0" xfId="0" applyFont="1" applyFill="1"/>
    <xf numFmtId="0" fontId="11" fillId="0" borderId="0" xfId="0" applyFont="1"/>
    <xf numFmtId="14" fontId="2" fillId="0" borderId="0" xfId="0" applyNumberFormat="1" applyFont="1"/>
    <xf numFmtId="4" fontId="1" fillId="0" borderId="0" xfId="0" applyNumberFormat="1" applyFont="1"/>
    <xf numFmtId="0" fontId="6" fillId="7" borderId="0" xfId="0" applyFont="1" applyFill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4" fontId="7" fillId="0" borderId="33" xfId="0" applyNumberFormat="1" applyFont="1" applyBorder="1"/>
    <xf numFmtId="0" fontId="4" fillId="0" borderId="0" xfId="0" applyFont="1"/>
    <xf numFmtId="4" fontId="2" fillId="0" borderId="34" xfId="0" applyNumberFormat="1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3" xfId="0" applyFont="1" applyBorder="1"/>
    <xf numFmtId="0" fontId="5" fillId="0" borderId="32" xfId="0" applyFont="1" applyBorder="1"/>
    <xf numFmtId="0" fontId="5" fillId="0" borderId="37" xfId="0" applyFont="1" applyBorder="1"/>
    <xf numFmtId="0" fontId="6" fillId="0" borderId="37" xfId="0" applyFont="1" applyBorder="1"/>
    <xf numFmtId="4" fontId="5" fillId="0" borderId="37" xfId="0" applyNumberFormat="1" applyFont="1" applyBorder="1" applyAlignment="1">
      <alignment horizontal="right"/>
    </xf>
    <xf numFmtId="0" fontId="6" fillId="0" borderId="38" xfId="0" applyFont="1" applyBorder="1"/>
    <xf numFmtId="0" fontId="2" fillId="0" borderId="11" xfId="0" applyFont="1" applyBorder="1"/>
    <xf numFmtId="4" fontId="5" fillId="0" borderId="11" xfId="0" applyNumberFormat="1" applyFont="1" applyBorder="1"/>
    <xf numFmtId="4" fontId="6" fillId="0" borderId="3" xfId="0" applyNumberFormat="1" applyFont="1" applyBorder="1"/>
    <xf numFmtId="0" fontId="5" fillId="0" borderId="5" xfId="0" applyFont="1" applyBorder="1"/>
    <xf numFmtId="4" fontId="6" fillId="0" borderId="38" xfId="0" applyNumberFormat="1" applyFont="1" applyBorder="1"/>
    <xf numFmtId="4" fontId="5" fillId="0" borderId="9" xfId="0" applyNumberFormat="1" applyFont="1" applyBorder="1"/>
    <xf numFmtId="0" fontId="6" fillId="0" borderId="42" xfId="0" applyFont="1" applyBorder="1"/>
    <xf numFmtId="0" fontId="5" fillId="0" borderId="42" xfId="0" applyFont="1" applyBorder="1"/>
    <xf numFmtId="0" fontId="5" fillId="0" borderId="43" xfId="0" applyFont="1" applyBorder="1"/>
    <xf numFmtId="0" fontId="6" fillId="0" borderId="43" xfId="0" applyFont="1" applyBorder="1"/>
    <xf numFmtId="0" fontId="5" fillId="0" borderId="44" xfId="0" applyFont="1" applyBorder="1"/>
    <xf numFmtId="0" fontId="5" fillId="0" borderId="45" xfId="0" applyFont="1" applyBorder="1"/>
    <xf numFmtId="4" fontId="18" fillId="0" borderId="0" xfId="0" applyNumberFormat="1" applyFont="1"/>
    <xf numFmtId="0" fontId="17" fillId="0" borderId="0" xfId="0" applyFont="1"/>
    <xf numFmtId="4" fontId="13" fillId="13" borderId="0" xfId="0" applyNumberFormat="1" applyFont="1" applyFill="1"/>
    <xf numFmtId="0" fontId="2" fillId="0" borderId="18" xfId="0" applyFont="1" applyBorder="1"/>
    <xf numFmtId="4" fontId="2" fillId="0" borderId="18" xfId="0" applyNumberFormat="1" applyFont="1" applyBorder="1"/>
    <xf numFmtId="164" fontId="2" fillId="0" borderId="0" xfId="0" applyNumberFormat="1" applyFont="1" applyAlignment="1">
      <alignment horizontal="right"/>
    </xf>
    <xf numFmtId="4" fontId="2" fillId="8" borderId="0" xfId="0" applyNumberFormat="1" applyFont="1" applyFill="1"/>
    <xf numFmtId="0" fontId="2" fillId="8" borderId="0" xfId="0" applyFont="1" applyFill="1"/>
    <xf numFmtId="4" fontId="6" fillId="0" borderId="36" xfId="0" applyNumberFormat="1" applyFont="1" applyBorder="1"/>
    <xf numFmtId="0" fontId="5" fillId="8" borderId="0" xfId="0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" fillId="0" borderId="35" xfId="0" applyFont="1" applyBorder="1"/>
    <xf numFmtId="0" fontId="24" fillId="14" borderId="34" xfId="0" applyFont="1" applyFill="1" applyBorder="1" applyAlignment="1">
      <alignment horizontal="center"/>
    </xf>
    <xf numFmtId="0" fontId="24" fillId="15" borderId="31" xfId="0" applyFont="1" applyFill="1" applyBorder="1" applyAlignment="1">
      <alignment horizontal="center"/>
    </xf>
    <xf numFmtId="4" fontId="21" fillId="3" borderId="31" xfId="0" applyNumberFormat="1" applyFont="1" applyFill="1" applyBorder="1"/>
    <xf numFmtId="0" fontId="24" fillId="3" borderId="31" xfId="0" applyFont="1" applyFill="1" applyBorder="1" applyAlignment="1">
      <alignment horizontal="center"/>
    </xf>
    <xf numFmtId="4" fontId="21" fillId="14" borderId="3" xfId="0" applyNumberFormat="1" applyFont="1" applyFill="1" applyBorder="1"/>
    <xf numFmtId="4" fontId="21" fillId="14" borderId="4" xfId="0" applyNumberFormat="1" applyFont="1" applyFill="1" applyBorder="1"/>
    <xf numFmtId="4" fontId="21" fillId="15" borderId="3" xfId="0" applyNumberFormat="1" applyFont="1" applyFill="1" applyBorder="1"/>
    <xf numFmtId="0" fontId="21" fillId="15" borderId="4" xfId="0" applyFont="1" applyFill="1" applyBorder="1"/>
    <xf numFmtId="4" fontId="21" fillId="15" borderId="4" xfId="0" applyNumberFormat="1" applyFont="1" applyFill="1" applyBorder="1"/>
    <xf numFmtId="4" fontId="21" fillId="3" borderId="3" xfId="0" applyNumberFormat="1" applyFont="1" applyFill="1" applyBorder="1"/>
    <xf numFmtId="4" fontId="21" fillId="3" borderId="5" xfId="0" applyNumberFormat="1" applyFont="1" applyFill="1" applyBorder="1"/>
    <xf numFmtId="4" fontId="21" fillId="0" borderId="0" xfId="0" applyNumberFormat="1" applyFont="1"/>
    <xf numFmtId="4" fontId="21" fillId="14" borderId="38" xfId="0" applyNumberFormat="1" applyFont="1" applyFill="1" applyBorder="1"/>
    <xf numFmtId="4" fontId="21" fillId="14" borderId="0" xfId="0" applyNumberFormat="1" applyFont="1" applyFill="1"/>
    <xf numFmtId="4" fontId="21" fillId="15" borderId="38" xfId="0" applyNumberFormat="1" applyFont="1" applyFill="1" applyBorder="1"/>
    <xf numFmtId="0" fontId="21" fillId="15" borderId="0" xfId="0" applyFont="1" applyFill="1"/>
    <xf numFmtId="4" fontId="21" fillId="15" borderId="0" xfId="0" applyNumberFormat="1" applyFont="1" applyFill="1"/>
    <xf numFmtId="4" fontId="21" fillId="3" borderId="38" xfId="0" applyNumberFormat="1" applyFont="1" applyFill="1" applyBorder="1"/>
    <xf numFmtId="4" fontId="21" fillId="3" borderId="37" xfId="0" applyNumberFormat="1" applyFont="1" applyFill="1" applyBorder="1"/>
    <xf numFmtId="0" fontId="21" fillId="8" borderId="0" xfId="0" applyFont="1" applyFill="1"/>
    <xf numFmtId="4" fontId="21" fillId="8" borderId="0" xfId="0" applyNumberFormat="1" applyFont="1" applyFill="1"/>
    <xf numFmtId="4" fontId="21" fillId="14" borderId="48" xfId="0" applyNumberFormat="1" applyFont="1" applyFill="1" applyBorder="1"/>
    <xf numFmtId="4" fontId="21" fillId="14" borderId="10" xfId="0" applyNumberFormat="1" applyFont="1" applyFill="1" applyBorder="1"/>
    <xf numFmtId="4" fontId="21" fillId="15" borderId="9" xfId="0" applyNumberFormat="1" applyFont="1" applyFill="1" applyBorder="1"/>
    <xf numFmtId="0" fontId="25" fillId="15" borderId="10" xfId="0" applyFont="1" applyFill="1" applyBorder="1"/>
    <xf numFmtId="4" fontId="25" fillId="15" borderId="10" xfId="0" applyNumberFormat="1" applyFont="1" applyFill="1" applyBorder="1"/>
    <xf numFmtId="4" fontId="21" fillId="3" borderId="9" xfId="0" applyNumberFormat="1" applyFont="1" applyFill="1" applyBorder="1"/>
    <xf numFmtId="0" fontId="21" fillId="3" borderId="11" xfId="0" applyFont="1" applyFill="1" applyBorder="1"/>
    <xf numFmtId="4" fontId="14" fillId="8" borderId="0" xfId="0" applyNumberFormat="1" applyFont="1" applyFill="1" applyAlignment="1">
      <alignment horizontal="left"/>
    </xf>
    <xf numFmtId="0" fontId="21" fillId="3" borderId="47" xfId="0" applyFont="1" applyFill="1" applyBorder="1"/>
    <xf numFmtId="4" fontId="21" fillId="3" borderId="36" xfId="0" applyNumberFormat="1" applyFont="1" applyFill="1" applyBorder="1"/>
    <xf numFmtId="0" fontId="21" fillId="8" borderId="17" xfId="0" applyFont="1" applyFill="1" applyBorder="1"/>
    <xf numFmtId="4" fontId="21" fillId="8" borderId="18" xfId="0" applyNumberFormat="1" applyFont="1" applyFill="1" applyBorder="1"/>
    <xf numFmtId="4" fontId="21" fillId="8" borderId="19" xfId="0" applyNumberFormat="1" applyFont="1" applyFill="1" applyBorder="1"/>
    <xf numFmtId="4" fontId="26" fillId="0" borderId="0" xfId="0" applyNumberFormat="1" applyFont="1"/>
    <xf numFmtId="4" fontId="24" fillId="0" borderId="0" xfId="0" applyNumberFormat="1" applyFont="1"/>
    <xf numFmtId="0" fontId="27" fillId="8" borderId="49" xfId="0" applyFont="1" applyFill="1" applyBorder="1"/>
    <xf numFmtId="4" fontId="28" fillId="8" borderId="0" xfId="0" applyNumberFormat="1" applyFont="1" applyFill="1"/>
    <xf numFmtId="4" fontId="28" fillId="8" borderId="50" xfId="0" applyNumberFormat="1" applyFont="1" applyFill="1" applyBorder="1"/>
    <xf numFmtId="4" fontId="24" fillId="8" borderId="0" xfId="0" applyNumberFormat="1" applyFont="1" applyFill="1"/>
    <xf numFmtId="0" fontId="21" fillId="8" borderId="49" xfId="0" applyFont="1" applyFill="1" applyBorder="1"/>
    <xf numFmtId="0" fontId="21" fillId="8" borderId="50" xfId="0" applyFont="1" applyFill="1" applyBorder="1"/>
    <xf numFmtId="0" fontId="21" fillId="0" borderId="49" xfId="0" applyFont="1" applyBorder="1"/>
    <xf numFmtId="4" fontId="21" fillId="8" borderId="50" xfId="0" applyNumberFormat="1" applyFont="1" applyFill="1" applyBorder="1"/>
    <xf numFmtId="0" fontId="21" fillId="0" borderId="20" xfId="0" applyFont="1" applyBorder="1"/>
    <xf numFmtId="0" fontId="21" fillId="0" borderId="21" xfId="0" applyFont="1" applyBorder="1"/>
    <xf numFmtId="0" fontId="21" fillId="0" borderId="22" xfId="0" applyFont="1" applyBorder="1"/>
    <xf numFmtId="0" fontId="2" fillId="0" borderId="4" xfId="0" applyFont="1" applyBorder="1"/>
    <xf numFmtId="0" fontId="24" fillId="16" borderId="51" xfId="0" applyFont="1" applyFill="1" applyBorder="1" applyAlignment="1">
      <alignment horizontal="center"/>
    </xf>
    <xf numFmtId="0" fontId="24" fillId="16" borderId="52" xfId="0" applyFont="1" applyFill="1" applyBorder="1" applyAlignment="1">
      <alignment horizontal="center"/>
    </xf>
    <xf numFmtId="0" fontId="24" fillId="17" borderId="51" xfId="0" applyFont="1" applyFill="1" applyBorder="1" applyAlignment="1">
      <alignment horizontal="center"/>
    </xf>
    <xf numFmtId="0" fontId="24" fillId="17" borderId="53" xfId="0" applyFont="1" applyFill="1" applyBorder="1" applyAlignment="1">
      <alignment horizontal="center"/>
    </xf>
    <xf numFmtId="0" fontId="24" fillId="17" borderId="52" xfId="0" applyFont="1" applyFill="1" applyBorder="1" applyAlignment="1">
      <alignment horizontal="center"/>
    </xf>
    <xf numFmtId="4" fontId="21" fillId="3" borderId="54" xfId="0" applyNumberFormat="1" applyFont="1" applyFill="1" applyBorder="1"/>
    <xf numFmtId="0" fontId="24" fillId="3" borderId="52" xfId="0" applyFont="1" applyFill="1" applyBorder="1" applyAlignment="1">
      <alignment horizontal="center"/>
    </xf>
    <xf numFmtId="4" fontId="21" fillId="16" borderId="55" xfId="0" applyNumberFormat="1" applyFont="1" applyFill="1" applyBorder="1"/>
    <xf numFmtId="4" fontId="21" fillId="16" borderId="56" xfId="0" applyNumberFormat="1" applyFont="1" applyFill="1" applyBorder="1"/>
    <xf numFmtId="4" fontId="21" fillId="17" borderId="55" xfId="0" applyNumberFormat="1" applyFont="1" applyFill="1" applyBorder="1"/>
    <xf numFmtId="0" fontId="21" fillId="17" borderId="0" xfId="0" applyFont="1" applyFill="1"/>
    <xf numFmtId="4" fontId="21" fillId="17" borderId="56" xfId="0" applyNumberFormat="1" applyFont="1" applyFill="1" applyBorder="1"/>
    <xf numFmtId="4" fontId="21" fillId="3" borderId="57" xfId="0" applyNumberFormat="1" applyFont="1" applyFill="1" applyBorder="1"/>
    <xf numFmtId="4" fontId="21" fillId="3" borderId="58" xfId="0" applyNumberFormat="1" applyFont="1" applyFill="1" applyBorder="1"/>
    <xf numFmtId="4" fontId="21" fillId="3" borderId="55" xfId="0" applyNumberFormat="1" applyFont="1" applyFill="1" applyBorder="1"/>
    <xf numFmtId="4" fontId="21" fillId="3" borderId="56" xfId="0" applyNumberFormat="1" applyFont="1" applyFill="1" applyBorder="1"/>
    <xf numFmtId="0" fontId="21" fillId="3" borderId="56" xfId="0" applyFont="1" applyFill="1" applyBorder="1"/>
    <xf numFmtId="4" fontId="21" fillId="16" borderId="59" xfId="0" applyNumberFormat="1" applyFont="1" applyFill="1" applyBorder="1"/>
    <xf numFmtId="4" fontId="21" fillId="16" borderId="60" xfId="0" applyNumberFormat="1" applyFont="1" applyFill="1" applyBorder="1"/>
    <xf numFmtId="4" fontId="21" fillId="17" borderId="61" xfId="0" applyNumberFormat="1" applyFont="1" applyFill="1" applyBorder="1"/>
    <xf numFmtId="0" fontId="25" fillId="17" borderId="62" xfId="0" applyFont="1" applyFill="1" applyBorder="1"/>
    <xf numFmtId="4" fontId="25" fillId="17" borderId="60" xfId="0" applyNumberFormat="1" applyFont="1" applyFill="1" applyBorder="1"/>
    <xf numFmtId="4" fontId="21" fillId="3" borderId="61" xfId="0" applyNumberFormat="1" applyFont="1" applyFill="1" applyBorder="1"/>
    <xf numFmtId="0" fontId="21" fillId="3" borderId="60" xfId="0" applyFont="1" applyFill="1" applyBorder="1"/>
    <xf numFmtId="0" fontId="21" fillId="17" borderId="17" xfId="0" applyFont="1" applyFill="1" applyBorder="1"/>
    <xf numFmtId="4" fontId="21" fillId="17" borderId="18" xfId="0" applyNumberFormat="1" applyFont="1" applyFill="1" applyBorder="1"/>
    <xf numFmtId="4" fontId="21" fillId="17" borderId="19" xfId="0" applyNumberFormat="1" applyFont="1" applyFill="1" applyBorder="1"/>
    <xf numFmtId="0" fontId="21" fillId="16" borderId="49" xfId="0" applyFont="1" applyFill="1" applyBorder="1"/>
    <xf numFmtId="0" fontId="21" fillId="16" borderId="0" xfId="0" applyFont="1" applyFill="1"/>
    <xf numFmtId="0" fontId="21" fillId="16" borderId="50" xfId="0" applyFont="1" applyFill="1" applyBorder="1"/>
    <xf numFmtId="4" fontId="21" fillId="16" borderId="0" xfId="0" applyNumberFormat="1" applyFont="1" applyFill="1"/>
    <xf numFmtId="4" fontId="21" fillId="16" borderId="50" xfId="0" applyNumberFormat="1" applyFont="1" applyFill="1" applyBorder="1"/>
    <xf numFmtId="0" fontId="21" fillId="16" borderId="20" xfId="0" applyFont="1" applyFill="1" applyBorder="1"/>
    <xf numFmtId="0" fontId="21" fillId="16" borderId="21" xfId="0" applyFont="1" applyFill="1" applyBorder="1"/>
    <xf numFmtId="0" fontId="21" fillId="16" borderId="22" xfId="0" applyFont="1" applyFill="1" applyBorder="1"/>
    <xf numFmtId="0" fontId="24" fillId="8" borderId="51" xfId="0" applyFont="1" applyFill="1" applyBorder="1" applyAlignment="1">
      <alignment horizontal="center"/>
    </xf>
    <xf numFmtId="0" fontId="24" fillId="8" borderId="52" xfId="0" applyFont="1" applyFill="1" applyBorder="1" applyAlignment="1">
      <alignment horizontal="center"/>
    </xf>
    <xf numFmtId="0" fontId="24" fillId="8" borderId="53" xfId="0" applyFont="1" applyFill="1" applyBorder="1" applyAlignment="1">
      <alignment horizontal="center"/>
    </xf>
    <xf numFmtId="4" fontId="21" fillId="3" borderId="63" xfId="0" applyNumberFormat="1" applyFont="1" applyFill="1" applyBorder="1"/>
    <xf numFmtId="0" fontId="24" fillId="3" borderId="64" xfId="0" applyFont="1" applyFill="1" applyBorder="1" applyAlignment="1">
      <alignment horizontal="center"/>
    </xf>
    <xf numFmtId="4" fontId="21" fillId="20" borderId="55" xfId="0" applyNumberFormat="1" applyFont="1" applyFill="1" applyBorder="1"/>
    <xf numFmtId="4" fontId="21" fillId="19" borderId="55" xfId="0" applyNumberFormat="1" applyFont="1" applyFill="1" applyBorder="1"/>
    <xf numFmtId="0" fontId="21" fillId="19" borderId="0" xfId="0" applyFont="1" applyFill="1"/>
    <xf numFmtId="4" fontId="21" fillId="19" borderId="0" xfId="0" applyNumberFormat="1" applyFont="1" applyFill="1"/>
    <xf numFmtId="4" fontId="21" fillId="3" borderId="65" xfId="0" applyNumberFormat="1" applyFont="1" applyFill="1" applyBorder="1"/>
    <xf numFmtId="4" fontId="21" fillId="8" borderId="55" xfId="0" applyNumberFormat="1" applyFont="1" applyFill="1" applyBorder="1"/>
    <xf numFmtId="166" fontId="21" fillId="8" borderId="0" xfId="0" applyNumberFormat="1" applyFont="1" applyFill="1"/>
    <xf numFmtId="167" fontId="21" fillId="19" borderId="0" xfId="0" applyNumberFormat="1" applyFont="1" applyFill="1"/>
    <xf numFmtId="4" fontId="21" fillId="8" borderId="61" xfId="0" applyNumberFormat="1" applyFont="1" applyFill="1" applyBorder="1"/>
    <xf numFmtId="0" fontId="21" fillId="8" borderId="62" xfId="0" applyFont="1" applyFill="1" applyBorder="1"/>
    <xf numFmtId="4" fontId="21" fillId="8" borderId="62" xfId="0" applyNumberFormat="1" applyFont="1" applyFill="1" applyBorder="1"/>
    <xf numFmtId="4" fontId="21" fillId="3" borderId="66" xfId="0" applyNumberFormat="1" applyFont="1" applyFill="1" applyBorder="1"/>
    <xf numFmtId="4" fontId="21" fillId="3" borderId="60" xfId="0" applyNumberFormat="1" applyFont="1" applyFill="1" applyBorder="1"/>
    <xf numFmtId="4" fontId="21" fillId="18" borderId="34" xfId="0" applyNumberFormat="1" applyFont="1" applyFill="1" applyBorder="1"/>
    <xf numFmtId="4" fontId="24" fillId="8" borderId="52" xfId="0" applyNumberFormat="1" applyFont="1" applyFill="1" applyBorder="1" applyAlignment="1">
      <alignment horizontal="center"/>
    </xf>
    <xf numFmtId="4" fontId="21" fillId="8" borderId="34" xfId="0" applyNumberFormat="1" applyFont="1" applyFill="1" applyBorder="1"/>
    <xf numFmtId="4" fontId="21" fillId="20" borderId="38" xfId="0" applyNumberFormat="1" applyFont="1" applyFill="1" applyBorder="1"/>
    <xf numFmtId="4" fontId="21" fillId="20" borderId="34" xfId="0" applyNumberFormat="1" applyFont="1" applyFill="1" applyBorder="1"/>
    <xf numFmtId="0" fontId="24" fillId="20" borderId="53" xfId="0" applyFont="1" applyFill="1" applyBorder="1" applyAlignment="1">
      <alignment horizontal="center"/>
    </xf>
    <xf numFmtId="0" fontId="24" fillId="20" borderId="52" xfId="0" applyFont="1" applyFill="1" applyBorder="1" applyAlignment="1">
      <alignment horizontal="center"/>
    </xf>
    <xf numFmtId="4" fontId="21" fillId="8" borderId="38" xfId="0" applyNumberFormat="1" applyFont="1" applyFill="1" applyBorder="1"/>
    <xf numFmtId="4" fontId="21" fillId="8" borderId="67" xfId="0" applyNumberFormat="1" applyFont="1" applyFill="1" applyBorder="1"/>
    <xf numFmtId="0" fontId="29" fillId="8" borderId="51" xfId="0" applyFont="1" applyFill="1" applyBorder="1" applyAlignment="1">
      <alignment horizontal="center"/>
    </xf>
    <xf numFmtId="0" fontId="29" fillId="8" borderId="52" xfId="0" applyFont="1" applyFill="1" applyBorder="1" applyAlignment="1">
      <alignment horizontal="center"/>
    </xf>
    <xf numFmtId="0" fontId="29" fillId="8" borderId="53" xfId="0" applyFont="1" applyFill="1" applyBorder="1" applyAlignment="1">
      <alignment horizontal="center"/>
    </xf>
    <xf numFmtId="4" fontId="30" fillId="3" borderId="63" xfId="0" applyNumberFormat="1" applyFont="1" applyFill="1" applyBorder="1"/>
    <xf numFmtId="0" fontId="29" fillId="3" borderId="64" xfId="0" applyFont="1" applyFill="1" applyBorder="1" applyAlignment="1">
      <alignment horizontal="center"/>
    </xf>
    <xf numFmtId="4" fontId="30" fillId="22" borderId="55" xfId="0" applyNumberFormat="1" applyFont="1" applyFill="1" applyBorder="1"/>
    <xf numFmtId="167" fontId="30" fillId="22" borderId="0" xfId="0" applyNumberFormat="1" applyFont="1" applyFill="1"/>
    <xf numFmtId="4" fontId="30" fillId="22" borderId="0" xfId="0" applyNumberFormat="1" applyFont="1" applyFill="1"/>
    <xf numFmtId="4" fontId="30" fillId="3" borderId="3" xfId="0" applyNumberFormat="1" applyFont="1" applyFill="1" applyBorder="1"/>
    <xf numFmtId="4" fontId="30" fillId="3" borderId="5" xfId="0" applyNumberFormat="1" applyFont="1" applyFill="1" applyBorder="1"/>
    <xf numFmtId="4" fontId="30" fillId="8" borderId="55" xfId="0" applyNumberFormat="1" applyFont="1" applyFill="1" applyBorder="1"/>
    <xf numFmtId="167" fontId="30" fillId="8" borderId="0" xfId="0" applyNumberFormat="1" applyFont="1" applyFill="1"/>
    <xf numFmtId="4" fontId="30" fillId="8" borderId="0" xfId="0" applyNumberFormat="1" applyFont="1" applyFill="1"/>
    <xf numFmtId="4" fontId="30" fillId="3" borderId="38" xfId="0" applyNumberFormat="1" applyFont="1" applyFill="1" applyBorder="1"/>
    <xf numFmtId="4" fontId="30" fillId="3" borderId="37" xfId="0" applyNumberFormat="1" applyFont="1" applyFill="1" applyBorder="1"/>
    <xf numFmtId="0" fontId="30" fillId="8" borderId="0" xfId="0" applyFont="1" applyFill="1"/>
    <xf numFmtId="0" fontId="30" fillId="3" borderId="37" xfId="0" applyFont="1" applyFill="1" applyBorder="1"/>
    <xf numFmtId="0" fontId="30" fillId="22" borderId="0" xfId="0" applyFont="1" applyFill="1"/>
    <xf numFmtId="4" fontId="30" fillId="8" borderId="61" xfId="0" applyNumberFormat="1" applyFont="1" applyFill="1" applyBorder="1"/>
    <xf numFmtId="0" fontId="30" fillId="8" borderId="62" xfId="0" applyFont="1" applyFill="1" applyBorder="1"/>
    <xf numFmtId="4" fontId="30" fillId="8" borderId="62" xfId="0" applyNumberFormat="1" applyFont="1" applyFill="1" applyBorder="1"/>
    <xf numFmtId="4" fontId="30" fillId="3" borderId="9" xfId="0" applyNumberFormat="1" applyFont="1" applyFill="1" applyBorder="1"/>
    <xf numFmtId="0" fontId="30" fillId="3" borderId="11" xfId="0" applyFont="1" applyFill="1" applyBorder="1"/>
    <xf numFmtId="4" fontId="21" fillId="23" borderId="34" xfId="0" applyNumberFormat="1" applyFont="1" applyFill="1" applyBorder="1"/>
    <xf numFmtId="4" fontId="21" fillId="24" borderId="38" xfId="0" applyNumberFormat="1" applyFont="1" applyFill="1" applyBorder="1"/>
    <xf numFmtId="4" fontId="21" fillId="24" borderId="55" xfId="0" applyNumberFormat="1" applyFont="1" applyFill="1" applyBorder="1"/>
    <xf numFmtId="4" fontId="21" fillId="24" borderId="34" xfId="0" applyNumberFormat="1" applyFont="1" applyFill="1" applyBorder="1"/>
    <xf numFmtId="0" fontId="24" fillId="24" borderId="53" xfId="0" applyFont="1" applyFill="1" applyBorder="1" applyAlignment="1">
      <alignment horizontal="center"/>
    </xf>
    <xf numFmtId="0" fontId="24" fillId="24" borderId="52" xfId="0" applyFont="1" applyFill="1" applyBorder="1" applyAlignment="1">
      <alignment horizontal="center"/>
    </xf>
    <xf numFmtId="0" fontId="1" fillId="7" borderId="0" xfId="0" applyFont="1" applyFill="1"/>
    <xf numFmtId="168" fontId="1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7" borderId="0" xfId="0" applyFont="1" applyFill="1"/>
    <xf numFmtId="4" fontId="2" fillId="19" borderId="0" xfId="0" applyNumberFormat="1" applyFont="1" applyFill="1"/>
    <xf numFmtId="0" fontId="2" fillId="19" borderId="0" xfId="0" applyFont="1" applyFill="1"/>
    <xf numFmtId="0" fontId="2" fillId="25" borderId="0" xfId="0" applyFont="1" applyFill="1"/>
    <xf numFmtId="0" fontId="2" fillId="25" borderId="0" xfId="0" applyFont="1" applyFill="1" applyAlignment="1">
      <alignment horizontal="right"/>
    </xf>
    <xf numFmtId="4" fontId="2" fillId="25" borderId="0" xfId="0" applyNumberFormat="1" applyFont="1" applyFill="1"/>
    <xf numFmtId="0" fontId="2" fillId="25" borderId="0" xfId="0" applyFont="1" applyFill="1" applyAlignment="1">
      <alignment horizontal="center"/>
    </xf>
    <xf numFmtId="0" fontId="2" fillId="0" borderId="21" xfId="0" applyFont="1" applyBorder="1"/>
    <xf numFmtId="0" fontId="2" fillId="7" borderId="21" xfId="0" applyFont="1" applyFill="1" applyBorder="1"/>
    <xf numFmtId="0" fontId="2" fillId="0" borderId="21" xfId="0" applyFont="1" applyBorder="1" applyAlignment="1">
      <alignment horizontal="right"/>
    </xf>
    <xf numFmtId="4" fontId="2" fillId="0" borderId="21" xfId="0" applyNumberFormat="1" applyFont="1" applyBorder="1"/>
    <xf numFmtId="4" fontId="2" fillId="19" borderId="21" xfId="0" applyNumberFormat="1" applyFont="1" applyFill="1" applyBorder="1"/>
    <xf numFmtId="0" fontId="2" fillId="0" borderId="21" xfId="0" applyFont="1" applyBorder="1" applyAlignment="1">
      <alignment horizontal="center"/>
    </xf>
    <xf numFmtId="0" fontId="2" fillId="19" borderId="21" xfId="0" applyFont="1" applyFill="1" applyBorder="1"/>
    <xf numFmtId="169" fontId="2" fillId="0" borderId="0" xfId="0" applyNumberFormat="1" applyFont="1" applyAlignment="1">
      <alignment horizontal="right"/>
    </xf>
    <xf numFmtId="0" fontId="2" fillId="7" borderId="18" xfId="0" applyFont="1" applyFill="1" applyBorder="1"/>
    <xf numFmtId="0" fontId="2" fillId="0" borderId="18" xfId="0" applyFont="1" applyBorder="1" applyAlignment="1">
      <alignment horizontal="right"/>
    </xf>
    <xf numFmtId="4" fontId="2" fillId="19" borderId="18" xfId="0" applyNumberFormat="1" applyFont="1" applyFill="1" applyBorder="1"/>
    <xf numFmtId="0" fontId="2" fillId="0" borderId="18" xfId="0" applyFont="1" applyBorder="1" applyAlignment="1">
      <alignment horizontal="center"/>
    </xf>
    <xf numFmtId="0" fontId="2" fillId="19" borderId="18" xfId="0" applyFont="1" applyFill="1" applyBorder="1"/>
    <xf numFmtId="166" fontId="2" fillId="0" borderId="0" xfId="0" applyNumberFormat="1" applyFont="1"/>
    <xf numFmtId="167" fontId="2" fillId="0" borderId="0" xfId="0" applyNumberFormat="1" applyFont="1"/>
    <xf numFmtId="167" fontId="2" fillId="0" borderId="18" xfId="0" applyNumberFormat="1" applyFont="1" applyBorder="1"/>
    <xf numFmtId="4" fontId="16" fillId="8" borderId="0" xfId="0" applyNumberFormat="1" applyFont="1" applyFill="1"/>
    <xf numFmtId="168" fontId="2" fillId="0" borderId="0" xfId="0" applyNumberFormat="1" applyFont="1"/>
    <xf numFmtId="168" fontId="2" fillId="0" borderId="0" xfId="0" applyNumberFormat="1" applyFont="1" applyAlignment="1">
      <alignment horizontal="right"/>
    </xf>
    <xf numFmtId="0" fontId="1" fillId="8" borderId="0" xfId="0" applyFont="1" applyFill="1" applyAlignment="1">
      <alignment horizontal="right"/>
    </xf>
    <xf numFmtId="0" fontId="1" fillId="26" borderId="0" xfId="0" applyFont="1" applyFill="1"/>
    <xf numFmtId="4" fontId="1" fillId="0" borderId="0" xfId="0" applyNumberFormat="1" applyFont="1" applyAlignment="1">
      <alignment horizontal="center"/>
    </xf>
    <xf numFmtId="0" fontId="2" fillId="26" borderId="0" xfId="0" applyFont="1" applyFill="1"/>
    <xf numFmtId="4" fontId="7" fillId="26" borderId="0" xfId="0" applyNumberFormat="1" applyFont="1" applyFill="1"/>
    <xf numFmtId="4" fontId="2" fillId="26" borderId="0" xfId="0" applyNumberFormat="1" applyFont="1" applyFill="1"/>
    <xf numFmtId="0" fontId="14" fillId="26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168" fontId="2" fillId="0" borderId="4" xfId="0" applyNumberFormat="1" applyFont="1" applyBorder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31" fillId="8" borderId="0" xfId="0" applyFont="1" applyFill="1" applyAlignment="1">
      <alignment horizontal="left"/>
    </xf>
    <xf numFmtId="0" fontId="12" fillId="0" borderId="0" xfId="0" applyFont="1" applyAlignment="1">
      <alignment horizontal="right"/>
    </xf>
    <xf numFmtId="0" fontId="1" fillId="0" borderId="37" xfId="0" applyFont="1" applyBorder="1" applyAlignment="1">
      <alignment horizontal="center"/>
    </xf>
    <xf numFmtId="0" fontId="1" fillId="13" borderId="0" xfId="0" applyFont="1" applyFill="1" applyAlignment="1">
      <alignment horizontal="right"/>
    </xf>
    <xf numFmtId="4" fontId="2" fillId="13" borderId="0" xfId="0" applyNumberFormat="1" applyFont="1" applyFill="1"/>
    <xf numFmtId="4" fontId="4" fillId="13" borderId="0" xfId="0" applyNumberFormat="1" applyFont="1" applyFill="1"/>
    <xf numFmtId="4" fontId="11" fillId="13" borderId="0" xfId="0" applyNumberFormat="1" applyFont="1" applyFill="1"/>
    <xf numFmtId="0" fontId="1" fillId="13" borderId="0" xfId="0" applyFont="1" applyFill="1" applyAlignment="1">
      <alignment horizontal="left"/>
    </xf>
    <xf numFmtId="4" fontId="7" fillId="0" borderId="37" xfId="0" applyNumberFormat="1" applyFont="1" applyBorder="1"/>
    <xf numFmtId="0" fontId="2" fillId="4" borderId="0" xfId="0" applyFont="1" applyFill="1" applyAlignment="1">
      <alignment horizontal="right"/>
    </xf>
    <xf numFmtId="0" fontId="1" fillId="7" borderId="0" xfId="0" applyFont="1" applyFill="1" applyAlignment="1">
      <alignment horizontal="right"/>
    </xf>
    <xf numFmtId="4" fontId="2" fillId="7" borderId="0" xfId="0" applyNumberFormat="1" applyFont="1" applyFill="1"/>
    <xf numFmtId="4" fontId="4" fillId="7" borderId="0" xfId="0" applyNumberFormat="1" applyFont="1" applyFill="1"/>
    <xf numFmtId="0" fontId="1" fillId="7" borderId="0" xfId="0" applyFont="1" applyFill="1" applyAlignment="1">
      <alignment horizontal="left"/>
    </xf>
    <xf numFmtId="0" fontId="2" fillId="13" borderId="0" xfId="0" applyFont="1" applyFill="1" applyAlignment="1">
      <alignment horizontal="right"/>
    </xf>
    <xf numFmtId="4" fontId="13" fillId="7" borderId="0" xfId="0" applyNumberFormat="1" applyFont="1" applyFill="1"/>
    <xf numFmtId="4" fontId="2" fillId="0" borderId="0" xfId="0" applyNumberFormat="1" applyFont="1" applyAlignment="1">
      <alignment horizontal="right"/>
    </xf>
    <xf numFmtId="4" fontId="2" fillId="4" borderId="0" xfId="0" applyNumberFormat="1" applyFont="1" applyFill="1" applyAlignment="1">
      <alignment horizontal="right"/>
    </xf>
    <xf numFmtId="0" fontId="2" fillId="27" borderId="0" xfId="0" applyFont="1" applyFill="1"/>
    <xf numFmtId="4" fontId="2" fillId="27" borderId="0" xfId="0" applyNumberFormat="1" applyFont="1" applyFill="1" applyAlignment="1">
      <alignment horizontal="right"/>
    </xf>
    <xf numFmtId="0" fontId="1" fillId="0" borderId="47" xfId="0" applyFont="1" applyBorder="1" applyAlignment="1">
      <alignment horizontal="right"/>
    </xf>
    <xf numFmtId="4" fontId="1" fillId="0" borderId="35" xfId="0" applyNumberFormat="1" applyFont="1" applyBorder="1"/>
    <xf numFmtId="4" fontId="12" fillId="0" borderId="35" xfId="0" applyNumberFormat="1" applyFont="1" applyBorder="1"/>
    <xf numFmtId="4" fontId="1" fillId="0" borderId="36" xfId="0" applyNumberFormat="1" applyFont="1" applyBorder="1"/>
    <xf numFmtId="0" fontId="2" fillId="0" borderId="10" xfId="0" applyFont="1" applyBorder="1"/>
    <xf numFmtId="4" fontId="14" fillId="13" borderId="0" xfId="0" applyNumberFormat="1" applyFont="1" applyFill="1"/>
    <xf numFmtId="4" fontId="32" fillId="7" borderId="0" xfId="0" applyNumberFormat="1" applyFont="1" applyFill="1"/>
    <xf numFmtId="0" fontId="33" fillId="26" borderId="0" xfId="0" applyFont="1" applyFill="1"/>
    <xf numFmtId="4" fontId="18" fillId="0" borderId="0" xfId="0" applyNumberFormat="1" applyFont="1" applyAlignment="1">
      <alignment horizontal="right"/>
    </xf>
    <xf numFmtId="0" fontId="34" fillId="0" borderId="0" xfId="0" applyFont="1" applyAlignment="1">
      <alignment horizontal="left"/>
    </xf>
    <xf numFmtId="0" fontId="7" fillId="0" borderId="0" xfId="0" applyFont="1"/>
    <xf numFmtId="0" fontId="7" fillId="0" borderId="34" xfId="0" applyFont="1" applyBorder="1" applyAlignment="1">
      <alignment horizontal="right"/>
    </xf>
    <xf numFmtId="9" fontId="7" fillId="0" borderId="34" xfId="0" applyNumberFormat="1" applyFont="1" applyBorder="1"/>
    <xf numFmtId="9" fontId="11" fillId="0" borderId="34" xfId="0" applyNumberFormat="1" applyFont="1" applyBorder="1"/>
    <xf numFmtId="0" fontId="7" fillId="0" borderId="34" xfId="0" applyFont="1" applyBorder="1" applyAlignment="1">
      <alignment horizontal="left"/>
    </xf>
    <xf numFmtId="0" fontId="4" fillId="3" borderId="34" xfId="0" applyFont="1" applyFill="1" applyBorder="1" applyAlignment="1">
      <alignment horizontal="left"/>
    </xf>
    <xf numFmtId="4" fontId="4" fillId="3" borderId="34" xfId="0" applyNumberFormat="1" applyFont="1" applyFill="1" applyBorder="1" applyAlignment="1">
      <alignment horizontal="right"/>
    </xf>
    <xf numFmtId="4" fontId="11" fillId="0" borderId="34" xfId="0" applyNumberFormat="1" applyFont="1" applyBorder="1"/>
    <xf numFmtId="0" fontId="33" fillId="28" borderId="0" xfId="0" applyFont="1" applyFill="1"/>
    <xf numFmtId="4" fontId="2" fillId="3" borderId="0" xfId="0" applyNumberFormat="1" applyFont="1" applyFill="1"/>
    <xf numFmtId="0" fontId="6" fillId="22" borderId="70" xfId="0" applyFont="1" applyFill="1" applyBorder="1" applyAlignment="1">
      <alignment horizontal="center" wrapText="1"/>
    </xf>
    <xf numFmtId="0" fontId="6" fillId="22" borderId="71" xfId="0" applyFont="1" applyFill="1" applyBorder="1" applyAlignment="1">
      <alignment horizontal="center" wrapText="1"/>
    </xf>
    <xf numFmtId="4" fontId="6" fillId="22" borderId="71" xfId="0" applyNumberFormat="1" applyFont="1" applyFill="1" applyBorder="1" applyAlignment="1">
      <alignment horizontal="center" wrapText="1"/>
    </xf>
    <xf numFmtId="0" fontId="6" fillId="22" borderId="7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164" fontId="5" fillId="31" borderId="33" xfId="0" applyNumberFormat="1" applyFont="1" applyFill="1" applyBorder="1" applyAlignment="1">
      <alignment horizontal="center"/>
    </xf>
    <xf numFmtId="0" fontId="5" fillId="31" borderId="33" xfId="0" applyFont="1" applyFill="1" applyBorder="1"/>
    <xf numFmtId="4" fontId="5" fillId="31" borderId="33" xfId="0" applyNumberFormat="1" applyFont="1" applyFill="1" applyBorder="1"/>
    <xf numFmtId="4" fontId="5" fillId="31" borderId="33" xfId="0" applyNumberFormat="1" applyFont="1" applyFill="1" applyBorder="1" applyAlignment="1">
      <alignment horizontal="right"/>
    </xf>
    <xf numFmtId="4" fontId="5" fillId="0" borderId="0" xfId="0" applyNumberFormat="1" applyFont="1" applyAlignment="1">
      <alignment horizontal="center"/>
    </xf>
    <xf numFmtId="0" fontId="2" fillId="0" borderId="6" xfId="0" applyFont="1" applyBorder="1"/>
    <xf numFmtId="0" fontId="35" fillId="0" borderId="7" xfId="0" applyFont="1" applyBorder="1" applyAlignment="1">
      <alignment horizontal="center"/>
    </xf>
    <xf numFmtId="0" fontId="35" fillId="0" borderId="7" xfId="0" applyFont="1" applyBorder="1" applyAlignment="1">
      <alignment horizontal="left"/>
    </xf>
    <xf numFmtId="0" fontId="35" fillId="0" borderId="8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36" fillId="0" borderId="34" xfId="0" applyFont="1" applyBorder="1"/>
    <xf numFmtId="164" fontId="5" fillId="31" borderId="34" xfId="0" applyNumberFormat="1" applyFont="1" applyFill="1" applyBorder="1" applyAlignment="1">
      <alignment horizontal="center"/>
    </xf>
    <xf numFmtId="0" fontId="5" fillId="31" borderId="34" xfId="0" applyFont="1" applyFill="1" applyBorder="1"/>
    <xf numFmtId="4" fontId="5" fillId="31" borderId="34" xfId="0" applyNumberFormat="1" applyFont="1" applyFill="1" applyBorder="1"/>
    <xf numFmtId="4" fontId="5" fillId="31" borderId="34" xfId="0" applyNumberFormat="1" applyFont="1" applyFill="1" applyBorder="1" applyAlignment="1">
      <alignment horizontal="right"/>
    </xf>
    <xf numFmtId="0" fontId="37" fillId="0" borderId="34" xfId="0" applyFont="1" applyBorder="1"/>
    <xf numFmtId="0" fontId="6" fillId="31" borderId="0" xfId="0" applyFont="1" applyFill="1"/>
    <xf numFmtId="0" fontId="5" fillId="31" borderId="0" xfId="0" applyFont="1" applyFill="1"/>
    <xf numFmtId="4" fontId="5" fillId="31" borderId="0" xfId="0" applyNumberFormat="1" applyFont="1" applyFill="1"/>
    <xf numFmtId="4" fontId="5" fillId="31" borderId="0" xfId="0" applyNumberFormat="1" applyFont="1" applyFill="1" applyAlignment="1">
      <alignment horizontal="right"/>
    </xf>
    <xf numFmtId="164" fontId="5" fillId="32" borderId="34" xfId="0" applyNumberFormat="1" applyFont="1" applyFill="1" applyBorder="1" applyAlignment="1">
      <alignment horizontal="center"/>
    </xf>
    <xf numFmtId="0" fontId="5" fillId="32" borderId="34" xfId="0" applyFont="1" applyFill="1" applyBorder="1"/>
    <xf numFmtId="4" fontId="5" fillId="32" borderId="34" xfId="0" applyNumberFormat="1" applyFont="1" applyFill="1" applyBorder="1"/>
    <xf numFmtId="4" fontId="5" fillId="32" borderId="34" xfId="0" applyNumberFormat="1" applyFont="1" applyFill="1" applyBorder="1" applyAlignment="1">
      <alignment horizontal="right"/>
    </xf>
    <xf numFmtId="0" fontId="6" fillId="8" borderId="0" xfId="0" applyFont="1" applyFill="1"/>
    <xf numFmtId="0" fontId="36" fillId="0" borderId="0" xfId="0" applyFont="1"/>
    <xf numFmtId="0" fontId="6" fillId="32" borderId="0" xfId="0" applyFont="1" applyFill="1"/>
    <xf numFmtId="0" fontId="5" fillId="32" borderId="0" xfId="0" applyFont="1" applyFill="1"/>
    <xf numFmtId="0" fontId="5" fillId="32" borderId="36" xfId="0" applyFont="1" applyFill="1" applyBorder="1"/>
    <xf numFmtId="4" fontId="5" fillId="32" borderId="36" xfId="0" applyNumberFormat="1" applyFont="1" applyFill="1" applyBorder="1"/>
    <xf numFmtId="4" fontId="5" fillId="32" borderId="36" xfId="0" applyNumberFormat="1" applyFont="1" applyFill="1" applyBorder="1" applyAlignment="1">
      <alignment horizontal="right"/>
    </xf>
    <xf numFmtId="4" fontId="5" fillId="32" borderId="0" xfId="0" applyNumberFormat="1" applyFont="1" applyFill="1"/>
    <xf numFmtId="4" fontId="5" fillId="32" borderId="0" xfId="0" applyNumberFormat="1" applyFont="1" applyFill="1" applyAlignment="1">
      <alignment horizontal="right"/>
    </xf>
    <xf numFmtId="4" fontId="36" fillId="0" borderId="0" xfId="0" applyNumberFormat="1" applyFont="1"/>
    <xf numFmtId="169" fontId="5" fillId="25" borderId="34" xfId="0" applyNumberFormat="1" applyFont="1" applyFill="1" applyBorder="1" applyAlignment="1">
      <alignment horizontal="center"/>
    </xf>
    <xf numFmtId="0" fontId="5" fillId="25" borderId="34" xfId="0" applyFont="1" applyFill="1" applyBorder="1"/>
    <xf numFmtId="4" fontId="5" fillId="25" borderId="34" xfId="0" applyNumberFormat="1" applyFont="1" applyFill="1" applyBorder="1"/>
    <xf numFmtId="0" fontId="6" fillId="25" borderId="0" xfId="0" applyFont="1" applyFill="1"/>
    <xf numFmtId="0" fontId="5" fillId="25" borderId="0" xfId="0" applyFont="1" applyFill="1"/>
    <xf numFmtId="164" fontId="5" fillId="25" borderId="34" xfId="0" applyNumberFormat="1" applyFont="1" applyFill="1" applyBorder="1" applyAlignment="1">
      <alignment horizontal="center"/>
    </xf>
    <xf numFmtId="4" fontId="5" fillId="25" borderId="34" xfId="0" applyNumberFormat="1" applyFont="1" applyFill="1" applyBorder="1" applyAlignment="1">
      <alignment horizontal="right"/>
    </xf>
    <xf numFmtId="4" fontId="5" fillId="25" borderId="0" xfId="0" applyNumberFormat="1" applyFont="1" applyFill="1"/>
    <xf numFmtId="4" fontId="6" fillId="25" borderId="34" xfId="0" applyNumberFormat="1" applyFont="1" applyFill="1" applyBorder="1" applyAlignment="1">
      <alignment horizontal="right"/>
    </xf>
    <xf numFmtId="4" fontId="5" fillId="25" borderId="0" xfId="0" applyNumberFormat="1" applyFont="1" applyFill="1" applyAlignment="1">
      <alignment horizontal="right"/>
    </xf>
    <xf numFmtId="164" fontId="5" fillId="12" borderId="34" xfId="0" applyNumberFormat="1" applyFont="1" applyFill="1" applyBorder="1" applyAlignment="1">
      <alignment horizontal="center"/>
    </xf>
    <xf numFmtId="0" fontId="5" fillId="12" borderId="34" xfId="0" applyFont="1" applyFill="1" applyBorder="1"/>
    <xf numFmtId="4" fontId="5" fillId="12" borderId="34" xfId="0" applyNumberFormat="1" applyFont="1" applyFill="1" applyBorder="1"/>
    <xf numFmtId="0" fontId="6" fillId="12" borderId="0" xfId="0" applyFont="1" applyFill="1"/>
    <xf numFmtId="0" fontId="5" fillId="12" borderId="0" xfId="0" applyFont="1" applyFill="1"/>
    <xf numFmtId="4" fontId="5" fillId="12" borderId="0" xfId="0" applyNumberFormat="1" applyFont="1" applyFill="1"/>
    <xf numFmtId="4" fontId="5" fillId="12" borderId="0" xfId="0" applyNumberFormat="1" applyFont="1" applyFill="1" applyAlignment="1">
      <alignment horizontal="right"/>
    </xf>
    <xf numFmtId="4" fontId="5" fillId="12" borderId="34" xfId="0" applyNumberFormat="1" applyFont="1" applyFill="1" applyBorder="1" applyAlignment="1">
      <alignment horizontal="right"/>
    </xf>
    <xf numFmtId="14" fontId="2" fillId="0" borderId="0" xfId="0" applyNumberFormat="1" applyFont="1" applyAlignment="1">
      <alignment horizontal="right"/>
    </xf>
    <xf numFmtId="164" fontId="5" fillId="33" borderId="34" xfId="0" applyNumberFormat="1" applyFont="1" applyFill="1" applyBorder="1" applyAlignment="1">
      <alignment horizontal="center"/>
    </xf>
    <xf numFmtId="0" fontId="5" fillId="33" borderId="34" xfId="0" applyFont="1" applyFill="1" applyBorder="1"/>
    <xf numFmtId="4" fontId="5" fillId="33" borderId="34" xfId="0" applyNumberFormat="1" applyFont="1" applyFill="1" applyBorder="1"/>
    <xf numFmtId="4" fontId="2" fillId="33" borderId="34" xfId="0" applyNumberFormat="1" applyFont="1" applyFill="1" applyBorder="1"/>
    <xf numFmtId="164" fontId="5" fillId="33" borderId="31" xfId="0" applyNumberFormat="1" applyFont="1" applyFill="1" applyBorder="1" applyAlignment="1">
      <alignment horizontal="center"/>
    </xf>
    <xf numFmtId="0" fontId="5" fillId="33" borderId="31" xfId="0" applyFont="1" applyFill="1" applyBorder="1"/>
    <xf numFmtId="4" fontId="5" fillId="33" borderId="31" xfId="0" applyNumberFormat="1" applyFont="1" applyFill="1" applyBorder="1"/>
    <xf numFmtId="164" fontId="5" fillId="33" borderId="34" xfId="0" applyNumberFormat="1" applyFont="1" applyFill="1" applyBorder="1" applyAlignment="1">
      <alignment horizontal="left"/>
    </xf>
    <xf numFmtId="0" fontId="5" fillId="33" borderId="34" xfId="0" applyFont="1" applyFill="1" applyBorder="1" applyAlignment="1">
      <alignment horizontal="left"/>
    </xf>
    <xf numFmtId="4" fontId="5" fillId="33" borderId="34" xfId="0" applyNumberFormat="1" applyFont="1" applyFill="1" applyBorder="1" applyAlignment="1">
      <alignment horizontal="center"/>
    </xf>
    <xf numFmtId="164" fontId="5" fillId="33" borderId="73" xfId="0" applyNumberFormat="1" applyFont="1" applyFill="1" applyBorder="1" applyAlignment="1">
      <alignment horizontal="center"/>
    </xf>
    <xf numFmtId="0" fontId="5" fillId="33" borderId="73" xfId="0" applyFont="1" applyFill="1" applyBorder="1" applyAlignment="1">
      <alignment horizontal="left"/>
    </xf>
    <xf numFmtId="4" fontId="5" fillId="33" borderId="73" xfId="0" applyNumberFormat="1" applyFont="1" applyFill="1" applyBorder="1" applyAlignment="1">
      <alignment horizontal="center"/>
    </xf>
    <xf numFmtId="4" fontId="5" fillId="33" borderId="74" xfId="0" applyNumberFormat="1" applyFont="1" applyFill="1" applyBorder="1"/>
    <xf numFmtId="164" fontId="5" fillId="16" borderId="33" xfId="0" applyNumberFormat="1" applyFont="1" applyFill="1" applyBorder="1" applyAlignment="1">
      <alignment horizontal="center"/>
    </xf>
    <xf numFmtId="0" fontId="5" fillId="16" borderId="33" xfId="0" applyFont="1" applyFill="1" applyBorder="1"/>
    <xf numFmtId="4" fontId="5" fillId="16" borderId="33" xfId="0" applyNumberFormat="1" applyFont="1" applyFill="1" applyBorder="1"/>
    <xf numFmtId="4" fontId="5" fillId="16" borderId="0" xfId="0" applyNumberFormat="1" applyFont="1" applyFill="1"/>
    <xf numFmtId="164" fontId="5" fillId="16" borderId="34" xfId="0" applyNumberFormat="1" applyFont="1" applyFill="1" applyBorder="1" applyAlignment="1">
      <alignment horizontal="center"/>
    </xf>
    <xf numFmtId="0" fontId="5" fillId="16" borderId="34" xfId="0" applyFont="1" applyFill="1" applyBorder="1"/>
    <xf numFmtId="4" fontId="5" fillId="16" borderId="34" xfId="0" applyNumberFormat="1" applyFont="1" applyFill="1" applyBorder="1"/>
    <xf numFmtId="4" fontId="5" fillId="16" borderId="4" xfId="0" applyNumberFormat="1" applyFont="1" applyFill="1" applyBorder="1"/>
    <xf numFmtId="0" fontId="2" fillId="16" borderId="34" xfId="0" applyFont="1" applyFill="1" applyBorder="1"/>
    <xf numFmtId="0" fontId="38" fillId="16" borderId="34" xfId="0" applyFont="1" applyFill="1" applyBorder="1"/>
    <xf numFmtId="4" fontId="5" fillId="0" borderId="38" xfId="0" applyNumberFormat="1" applyFont="1" applyBorder="1"/>
    <xf numFmtId="4" fontId="5" fillId="0" borderId="37" xfId="0" applyNumberFormat="1" applyFont="1" applyBorder="1"/>
    <xf numFmtId="4" fontId="6" fillId="0" borderId="9" xfId="0" applyNumberFormat="1" applyFont="1" applyBorder="1"/>
    <xf numFmtId="4" fontId="5" fillId="16" borderId="34" xfId="0" applyNumberFormat="1" applyFont="1" applyFill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164" fontId="5" fillId="19" borderId="34" xfId="0" applyNumberFormat="1" applyFont="1" applyFill="1" applyBorder="1" applyAlignment="1">
      <alignment horizontal="center"/>
    </xf>
    <xf numFmtId="0" fontId="5" fillId="19" borderId="34" xfId="0" applyFont="1" applyFill="1" applyBorder="1"/>
    <xf numFmtId="4" fontId="5" fillId="19" borderId="34" xfId="0" applyNumberFormat="1" applyFont="1" applyFill="1" applyBorder="1"/>
    <xf numFmtId="4" fontId="6" fillId="19" borderId="3" xfId="0" applyNumberFormat="1" applyFont="1" applyFill="1" applyBorder="1"/>
    <xf numFmtId="4" fontId="5" fillId="19" borderId="5" xfId="0" applyNumberFormat="1" applyFont="1" applyFill="1" applyBorder="1"/>
    <xf numFmtId="4" fontId="5" fillId="19" borderId="38" xfId="0" applyNumberFormat="1" applyFont="1" applyFill="1" applyBorder="1"/>
    <xf numFmtId="4" fontId="5" fillId="19" borderId="37" xfId="0" applyNumberFormat="1" applyFont="1" applyFill="1" applyBorder="1"/>
    <xf numFmtId="4" fontId="6" fillId="19" borderId="38" xfId="0" applyNumberFormat="1" applyFont="1" applyFill="1" applyBorder="1"/>
    <xf numFmtId="4" fontId="6" fillId="19" borderId="37" xfId="0" applyNumberFormat="1" applyFont="1" applyFill="1" applyBorder="1"/>
    <xf numFmtId="4" fontId="5" fillId="19" borderId="9" xfId="0" applyNumberFormat="1" applyFont="1" applyFill="1" applyBorder="1"/>
    <xf numFmtId="4" fontId="5" fillId="19" borderId="11" xfId="0" applyNumberFormat="1" applyFont="1" applyFill="1" applyBorder="1"/>
    <xf numFmtId="164" fontId="5" fillId="19" borderId="31" xfId="0" applyNumberFormat="1" applyFont="1" applyFill="1" applyBorder="1" applyAlignment="1">
      <alignment horizontal="center"/>
    </xf>
    <xf numFmtId="0" fontId="5" fillId="19" borderId="31" xfId="0" applyFont="1" applyFill="1" applyBorder="1"/>
    <xf numFmtId="4" fontId="5" fillId="19" borderId="31" xfId="0" applyNumberFormat="1" applyFont="1" applyFill="1" applyBorder="1"/>
    <xf numFmtId="164" fontId="5" fillId="29" borderId="34" xfId="0" applyNumberFormat="1" applyFont="1" applyFill="1" applyBorder="1" applyAlignment="1">
      <alignment horizontal="center"/>
    </xf>
    <xf numFmtId="0" fontId="5" fillId="29" borderId="34" xfId="0" applyFont="1" applyFill="1" applyBorder="1"/>
    <xf numFmtId="4" fontId="5" fillId="29" borderId="34" xfId="0" applyNumberFormat="1" applyFont="1" applyFill="1" applyBorder="1"/>
    <xf numFmtId="4" fontId="6" fillId="29" borderId="3" xfId="0" applyNumberFormat="1" applyFont="1" applyFill="1" applyBorder="1"/>
    <xf numFmtId="4" fontId="5" fillId="29" borderId="5" xfId="0" applyNumberFormat="1" applyFont="1" applyFill="1" applyBorder="1"/>
    <xf numFmtId="4" fontId="5" fillId="29" borderId="38" xfId="0" applyNumberFormat="1" applyFont="1" applyFill="1" applyBorder="1"/>
    <xf numFmtId="4" fontId="5" fillId="29" borderId="37" xfId="0" applyNumberFormat="1" applyFont="1" applyFill="1" applyBorder="1"/>
    <xf numFmtId="4" fontId="6" fillId="29" borderId="38" xfId="0" applyNumberFormat="1" applyFont="1" applyFill="1" applyBorder="1"/>
    <xf numFmtId="4" fontId="6" fillId="29" borderId="37" xfId="0" applyNumberFormat="1" applyFont="1" applyFill="1" applyBorder="1"/>
    <xf numFmtId="4" fontId="5" fillId="29" borderId="9" xfId="0" applyNumberFormat="1" applyFont="1" applyFill="1" applyBorder="1"/>
    <xf numFmtId="4" fontId="5" fillId="29" borderId="11" xfId="0" applyNumberFormat="1" applyFont="1" applyFill="1" applyBorder="1"/>
    <xf numFmtId="0" fontId="2" fillId="29" borderId="34" xfId="0" applyFont="1" applyFill="1" applyBorder="1"/>
    <xf numFmtId="164" fontId="5" fillId="29" borderId="31" xfId="0" applyNumberFormat="1" applyFont="1" applyFill="1" applyBorder="1" applyAlignment="1">
      <alignment horizontal="center"/>
    </xf>
    <xf numFmtId="0" fontId="5" fillId="29" borderId="31" xfId="0" applyFont="1" applyFill="1" applyBorder="1"/>
    <xf numFmtId="0" fontId="2" fillId="29" borderId="31" xfId="0" applyFont="1" applyFill="1" applyBorder="1"/>
    <xf numFmtId="4" fontId="5" fillId="29" borderId="31" xfId="0" applyNumberFormat="1" applyFont="1" applyFill="1" applyBorder="1"/>
    <xf numFmtId="164" fontId="5" fillId="19" borderId="33" xfId="0" applyNumberFormat="1" applyFont="1" applyFill="1" applyBorder="1" applyAlignment="1">
      <alignment horizontal="center"/>
    </xf>
    <xf numFmtId="0" fontId="5" fillId="19" borderId="33" xfId="0" applyFont="1" applyFill="1" applyBorder="1"/>
    <xf numFmtId="4" fontId="2" fillId="19" borderId="33" xfId="0" applyNumberFormat="1" applyFont="1" applyFill="1" applyBorder="1"/>
    <xf numFmtId="4" fontId="5" fillId="19" borderId="33" xfId="0" applyNumberFormat="1" applyFont="1" applyFill="1" applyBorder="1"/>
    <xf numFmtId="4" fontId="2" fillId="19" borderId="34" xfId="0" applyNumberFormat="1" applyFont="1" applyFill="1" applyBorder="1"/>
    <xf numFmtId="4" fontId="2" fillId="19" borderId="31" xfId="0" applyNumberFormat="1" applyFont="1" applyFill="1" applyBorder="1"/>
    <xf numFmtId="4" fontId="5" fillId="0" borderId="5" xfId="0" applyNumberFormat="1" applyFont="1" applyBorder="1"/>
    <xf numFmtId="4" fontId="6" fillId="0" borderId="37" xfId="0" applyNumberFormat="1" applyFont="1" applyBorder="1"/>
    <xf numFmtId="0" fontId="5" fillId="19" borderId="32" xfId="0" applyFont="1" applyFill="1" applyBorder="1"/>
    <xf numFmtId="0" fontId="5" fillId="12" borderId="33" xfId="0" applyFont="1" applyFill="1" applyBorder="1"/>
    <xf numFmtId="4" fontId="2" fillId="12" borderId="33" xfId="0" applyNumberFormat="1" applyFont="1" applyFill="1" applyBorder="1"/>
    <xf numFmtId="4" fontId="5" fillId="12" borderId="33" xfId="0" applyNumberFormat="1" applyFont="1" applyFill="1" applyBorder="1"/>
    <xf numFmtId="0" fontId="5" fillId="12" borderId="11" xfId="0" applyFont="1" applyFill="1" applyBorder="1"/>
    <xf numFmtId="4" fontId="2" fillId="12" borderId="34" xfId="0" applyNumberFormat="1" applyFont="1" applyFill="1" applyBorder="1"/>
    <xf numFmtId="0" fontId="5" fillId="12" borderId="36" xfId="0" applyFont="1" applyFill="1" applyBorder="1"/>
    <xf numFmtId="4" fontId="6" fillId="0" borderId="34" xfId="0" applyNumberFormat="1" applyFont="1" applyBorder="1"/>
    <xf numFmtId="4" fontId="5" fillId="0" borderId="34" xfId="0" applyNumberFormat="1" applyFont="1" applyBorder="1"/>
    <xf numFmtId="0" fontId="2" fillId="12" borderId="34" xfId="0" applyFont="1" applyFill="1" applyBorder="1"/>
    <xf numFmtId="164" fontId="5" fillId="7" borderId="34" xfId="0" applyNumberFormat="1" applyFont="1" applyFill="1" applyBorder="1" applyAlignment="1">
      <alignment horizontal="center"/>
    </xf>
    <xf numFmtId="0" fontId="5" fillId="7" borderId="34" xfId="0" applyFont="1" applyFill="1" applyBorder="1"/>
    <xf numFmtId="4" fontId="2" fillId="7" borderId="34" xfId="0" applyNumberFormat="1" applyFont="1" applyFill="1" applyBorder="1"/>
    <xf numFmtId="0" fontId="2" fillId="7" borderId="34" xfId="0" applyFont="1" applyFill="1" applyBorder="1"/>
    <xf numFmtId="4" fontId="5" fillId="7" borderId="34" xfId="0" applyNumberFormat="1" applyFont="1" applyFill="1" applyBorder="1"/>
    <xf numFmtId="0" fontId="5" fillId="7" borderId="31" xfId="0" applyFont="1" applyFill="1" applyBorder="1"/>
    <xf numFmtId="4" fontId="5" fillId="7" borderId="31" xfId="0" applyNumberFormat="1" applyFont="1" applyFill="1" applyBorder="1"/>
    <xf numFmtId="0" fontId="2" fillId="7" borderId="31" xfId="0" applyFont="1" applyFill="1" applyBorder="1"/>
    <xf numFmtId="164" fontId="5" fillId="7" borderId="31" xfId="0" applyNumberFormat="1" applyFont="1" applyFill="1" applyBorder="1" applyAlignment="1">
      <alignment horizontal="center"/>
    </xf>
    <xf numFmtId="0" fontId="2" fillId="31" borderId="34" xfId="0" applyFont="1" applyFill="1" applyBorder="1"/>
    <xf numFmtId="0" fontId="2" fillId="31" borderId="33" xfId="0" applyFont="1" applyFill="1" applyBorder="1"/>
    <xf numFmtId="4" fontId="2" fillId="31" borderId="34" xfId="0" applyNumberFormat="1" applyFont="1" applyFill="1" applyBorder="1"/>
    <xf numFmtId="164" fontId="5" fillId="10" borderId="34" xfId="0" applyNumberFormat="1" applyFont="1" applyFill="1" applyBorder="1" applyAlignment="1">
      <alignment horizontal="center"/>
    </xf>
    <xf numFmtId="0" fontId="5" fillId="10" borderId="34" xfId="0" applyFont="1" applyFill="1" applyBorder="1"/>
    <xf numFmtId="4" fontId="5" fillId="10" borderId="34" xfId="0" applyNumberFormat="1" applyFont="1" applyFill="1" applyBorder="1"/>
    <xf numFmtId="0" fontId="2" fillId="10" borderId="34" xfId="0" applyFont="1" applyFill="1" applyBorder="1"/>
    <xf numFmtId="4" fontId="2" fillId="10" borderId="34" xfId="0" applyNumberFormat="1" applyFont="1" applyFill="1" applyBorder="1"/>
    <xf numFmtId="164" fontId="2" fillId="31" borderId="34" xfId="0" applyNumberFormat="1" applyFont="1" applyFill="1" applyBorder="1" applyAlignment="1">
      <alignment horizontal="center"/>
    </xf>
    <xf numFmtId="169" fontId="5" fillId="31" borderId="34" xfId="0" applyNumberFormat="1" applyFont="1" applyFill="1" applyBorder="1" applyAlignment="1">
      <alignment horizontal="center"/>
    </xf>
    <xf numFmtId="0" fontId="6" fillId="0" borderId="34" xfId="0" applyFont="1" applyBorder="1"/>
    <xf numFmtId="0" fontId="5" fillId="0" borderId="34" xfId="0" applyFont="1" applyBorder="1"/>
    <xf numFmtId="0" fontId="39" fillId="31" borderId="34" xfId="0" applyFont="1" applyFill="1" applyBorder="1"/>
    <xf numFmtId="169" fontId="5" fillId="7" borderId="34" xfId="0" applyNumberFormat="1" applyFont="1" applyFill="1" applyBorder="1" applyAlignment="1">
      <alignment horizontal="center"/>
    </xf>
    <xf numFmtId="4" fontId="6" fillId="7" borderId="34" xfId="0" applyNumberFormat="1" applyFont="1" applyFill="1" applyBorder="1"/>
    <xf numFmtId="0" fontId="40" fillId="7" borderId="34" xfId="0" applyFont="1" applyFill="1" applyBorder="1"/>
    <xf numFmtId="169" fontId="5" fillId="19" borderId="34" xfId="0" applyNumberFormat="1" applyFont="1" applyFill="1" applyBorder="1" applyAlignment="1">
      <alignment horizontal="center"/>
    </xf>
    <xf numFmtId="0" fontId="41" fillId="19" borderId="34" xfId="0" applyFont="1" applyFill="1" applyBorder="1"/>
    <xf numFmtId="0" fontId="42" fillId="19" borderId="34" xfId="0" applyFont="1" applyFill="1" applyBorder="1"/>
    <xf numFmtId="169" fontId="5" fillId="19" borderId="31" xfId="0" applyNumberFormat="1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164" fontId="5" fillId="7" borderId="75" xfId="0" applyNumberFormat="1" applyFont="1" applyFill="1" applyBorder="1" applyAlignment="1">
      <alignment horizontal="center"/>
    </xf>
    <xf numFmtId="0" fontId="5" fillId="7" borderId="75" xfId="0" applyFont="1" applyFill="1" applyBorder="1"/>
    <xf numFmtId="4" fontId="5" fillId="7" borderId="75" xfId="0" applyNumberFormat="1" applyFont="1" applyFill="1" applyBorder="1"/>
    <xf numFmtId="0" fontId="5" fillId="0" borderId="18" xfId="0" applyFont="1" applyBorder="1"/>
    <xf numFmtId="0" fontId="43" fillId="8" borderId="0" xfId="0" applyFont="1" applyFill="1"/>
    <xf numFmtId="0" fontId="44" fillId="12" borderId="34" xfId="0" applyFont="1" applyFill="1" applyBorder="1"/>
    <xf numFmtId="164" fontId="5" fillId="2" borderId="34" xfId="0" applyNumberFormat="1" applyFont="1" applyFill="1" applyBorder="1" applyAlignment="1">
      <alignment horizontal="center"/>
    </xf>
    <xf numFmtId="0" fontId="5" fillId="2" borderId="34" xfId="0" applyFont="1" applyFill="1" applyBorder="1"/>
    <xf numFmtId="4" fontId="5" fillId="2" borderId="34" xfId="0" applyNumberFormat="1" applyFont="1" applyFill="1" applyBorder="1"/>
    <xf numFmtId="4" fontId="2" fillId="2" borderId="34" xfId="0" applyNumberFormat="1" applyFont="1" applyFill="1" applyBorder="1"/>
    <xf numFmtId="4" fontId="6" fillId="2" borderId="34" xfId="0" applyNumberFormat="1" applyFont="1" applyFill="1" applyBorder="1"/>
    <xf numFmtId="0" fontId="45" fillId="2" borderId="34" xfId="0" applyFont="1" applyFill="1" applyBorder="1"/>
    <xf numFmtId="4" fontId="6" fillId="0" borderId="76" xfId="0" applyNumberFormat="1" applyFont="1" applyBorder="1"/>
    <xf numFmtId="4" fontId="5" fillId="0" borderId="76" xfId="0" applyNumberFormat="1" applyFont="1" applyBorder="1"/>
    <xf numFmtId="0" fontId="6" fillId="0" borderId="33" xfId="0" applyFont="1" applyBorder="1"/>
    <xf numFmtId="0" fontId="5" fillId="0" borderId="33" xfId="0" applyFont="1" applyBorder="1"/>
    <xf numFmtId="164" fontId="5" fillId="11" borderId="34" xfId="0" applyNumberFormat="1" applyFont="1" applyFill="1" applyBorder="1" applyAlignment="1">
      <alignment horizontal="center"/>
    </xf>
    <xf numFmtId="0" fontId="5" fillId="11" borderId="34" xfId="0" applyFont="1" applyFill="1" applyBorder="1"/>
    <xf numFmtId="4" fontId="5" fillId="11" borderId="34" xfId="0" applyNumberFormat="1" applyFont="1" applyFill="1" applyBorder="1"/>
    <xf numFmtId="164" fontId="2" fillId="11" borderId="34" xfId="0" applyNumberFormat="1" applyFont="1" applyFill="1" applyBorder="1" applyAlignment="1">
      <alignment horizontal="center"/>
    </xf>
    <xf numFmtId="0" fontId="2" fillId="11" borderId="34" xfId="0" applyFont="1" applyFill="1" applyBorder="1"/>
    <xf numFmtId="4" fontId="2" fillId="11" borderId="34" xfId="0" applyNumberFormat="1" applyFont="1" applyFill="1" applyBorder="1"/>
    <xf numFmtId="0" fontId="46" fillId="11" borderId="34" xfId="0" applyFont="1" applyFill="1" applyBorder="1"/>
    <xf numFmtId="167" fontId="5" fillId="7" borderId="34" xfId="0" applyNumberFormat="1" applyFont="1" applyFill="1" applyBorder="1"/>
    <xf numFmtId="4" fontId="6" fillId="12" borderId="34" xfId="0" applyNumberFormat="1" applyFont="1" applyFill="1" applyBorder="1"/>
    <xf numFmtId="0" fontId="5" fillId="0" borderId="34" xfId="0" applyFont="1" applyBorder="1" applyAlignment="1">
      <alignment horizontal="center"/>
    </xf>
    <xf numFmtId="4" fontId="2" fillId="31" borderId="0" xfId="0" applyNumberFormat="1" applyFont="1" applyFill="1"/>
    <xf numFmtId="4" fontId="5" fillId="31" borderId="31" xfId="0" applyNumberFormat="1" applyFont="1" applyFill="1" applyBorder="1"/>
    <xf numFmtId="4" fontId="5" fillId="31" borderId="47" xfId="0" applyNumberFormat="1" applyFont="1" applyFill="1" applyBorder="1"/>
    <xf numFmtId="0" fontId="5" fillId="31" borderId="36" xfId="0" applyFont="1" applyFill="1" applyBorder="1"/>
    <xf numFmtId="4" fontId="6" fillId="31" borderId="34" xfId="0" applyNumberFormat="1" applyFont="1" applyFill="1" applyBorder="1"/>
    <xf numFmtId="164" fontId="5" fillId="31" borderId="31" xfId="0" applyNumberFormat="1" applyFont="1" applyFill="1" applyBorder="1" applyAlignment="1">
      <alignment horizontal="center"/>
    </xf>
    <xf numFmtId="0" fontId="5" fillId="31" borderId="31" xfId="0" applyFont="1" applyFill="1" applyBorder="1"/>
    <xf numFmtId="164" fontId="5" fillId="34" borderId="34" xfId="0" applyNumberFormat="1" applyFont="1" applyFill="1" applyBorder="1" applyAlignment="1">
      <alignment horizontal="center"/>
    </xf>
    <xf numFmtId="0" fontId="5" fillId="34" borderId="34" xfId="0" applyFont="1" applyFill="1" applyBorder="1"/>
    <xf numFmtId="4" fontId="5" fillId="34" borderId="34" xfId="0" applyNumberFormat="1" applyFont="1" applyFill="1" applyBorder="1"/>
    <xf numFmtId="0" fontId="5" fillId="0" borderId="47" xfId="0" applyFont="1" applyBorder="1"/>
    <xf numFmtId="0" fontId="2" fillId="34" borderId="34" xfId="0" applyFont="1" applyFill="1" applyBorder="1"/>
    <xf numFmtId="4" fontId="2" fillId="34" borderId="34" xfId="0" applyNumberFormat="1" applyFont="1" applyFill="1" applyBorder="1"/>
    <xf numFmtId="164" fontId="5" fillId="34" borderId="33" xfId="0" applyNumberFormat="1" applyFont="1" applyFill="1" applyBorder="1" applyAlignment="1">
      <alignment horizontal="center"/>
    </xf>
    <xf numFmtId="0" fontId="5" fillId="34" borderId="33" xfId="0" applyFont="1" applyFill="1" applyBorder="1"/>
    <xf numFmtId="4" fontId="5" fillId="34" borderId="33" xfId="0" applyNumberFormat="1" applyFont="1" applyFill="1" applyBorder="1"/>
    <xf numFmtId="4" fontId="2" fillId="34" borderId="33" xfId="0" applyNumberFormat="1" applyFont="1" applyFill="1" applyBorder="1"/>
    <xf numFmtId="4" fontId="2" fillId="34" borderId="0" xfId="0" applyNumberFormat="1" applyFont="1" applyFill="1"/>
    <xf numFmtId="4" fontId="6" fillId="34" borderId="34" xfId="0" applyNumberFormat="1" applyFont="1" applyFill="1" applyBorder="1"/>
    <xf numFmtId="0" fontId="47" fillId="34" borderId="34" xfId="0" applyFont="1" applyFill="1" applyBorder="1"/>
    <xf numFmtId="164" fontId="5" fillId="3" borderId="34" xfId="0" applyNumberFormat="1" applyFont="1" applyFill="1" applyBorder="1" applyAlignment="1">
      <alignment horizontal="center"/>
    </xf>
    <xf numFmtId="0" fontId="5" fillId="3" borderId="34" xfId="0" applyFont="1" applyFill="1" applyBorder="1"/>
    <xf numFmtId="4" fontId="2" fillId="3" borderId="34" xfId="0" applyNumberFormat="1" applyFont="1" applyFill="1" applyBorder="1"/>
    <xf numFmtId="4" fontId="5" fillId="3" borderId="34" xfId="0" applyNumberFormat="1" applyFont="1" applyFill="1" applyBorder="1"/>
    <xf numFmtId="4" fontId="5" fillId="0" borderId="34" xfId="0" applyNumberFormat="1" applyFont="1" applyBorder="1" applyAlignment="1">
      <alignment horizontal="right"/>
    </xf>
    <xf numFmtId="164" fontId="5" fillId="3" borderId="33" xfId="0" applyNumberFormat="1" applyFont="1" applyFill="1" applyBorder="1" applyAlignment="1">
      <alignment horizontal="center"/>
    </xf>
    <xf numFmtId="4" fontId="6" fillId="3" borderId="34" xfId="0" applyNumberFormat="1" applyFont="1" applyFill="1" applyBorder="1"/>
    <xf numFmtId="0" fontId="48" fillId="3" borderId="34" xfId="0" applyFont="1" applyFill="1" applyBorder="1"/>
    <xf numFmtId="0" fontId="5" fillId="3" borderId="31" xfId="0" applyFont="1" applyFill="1" applyBorder="1"/>
    <xf numFmtId="164" fontId="5" fillId="3" borderId="32" xfId="0" applyNumberFormat="1" applyFont="1" applyFill="1" applyBorder="1" applyAlignment="1">
      <alignment horizontal="center"/>
    </xf>
    <xf numFmtId="4" fontId="5" fillId="3" borderId="31" xfId="0" applyNumberFormat="1" applyFont="1" applyFill="1" applyBorder="1"/>
    <xf numFmtId="4" fontId="5" fillId="3" borderId="3" xfId="0" applyNumberFormat="1" applyFont="1" applyFill="1" applyBorder="1"/>
    <xf numFmtId="0" fontId="5" fillId="3" borderId="73" xfId="0" applyFont="1" applyFill="1" applyBorder="1"/>
    <xf numFmtId="164" fontId="5" fillId="12" borderId="75" xfId="0" applyNumberFormat="1" applyFont="1" applyFill="1" applyBorder="1" applyAlignment="1">
      <alignment horizontal="center"/>
    </xf>
    <xf numFmtId="0" fontId="5" fillId="12" borderId="75" xfId="0" applyFont="1" applyFill="1" applyBorder="1"/>
    <xf numFmtId="4" fontId="5" fillId="12" borderId="75" xfId="0" applyNumberFormat="1" applyFont="1" applyFill="1" applyBorder="1"/>
    <xf numFmtId="4" fontId="6" fillId="12" borderId="75" xfId="0" applyNumberFormat="1" applyFont="1" applyFill="1" applyBorder="1"/>
    <xf numFmtId="164" fontId="5" fillId="12" borderId="33" xfId="0" applyNumberFormat="1" applyFont="1" applyFill="1" applyBorder="1" applyAlignment="1">
      <alignment horizontal="center"/>
    </xf>
    <xf numFmtId="4" fontId="5" fillId="0" borderId="76" xfId="0" applyNumberFormat="1" applyFont="1" applyBorder="1" applyAlignment="1">
      <alignment horizontal="right"/>
    </xf>
    <xf numFmtId="4" fontId="5" fillId="12" borderId="31" xfId="0" applyNumberFormat="1" applyFont="1" applyFill="1" applyBorder="1"/>
    <xf numFmtId="0" fontId="5" fillId="12" borderId="31" xfId="0" applyFont="1" applyFill="1" applyBorder="1"/>
    <xf numFmtId="4" fontId="5" fillId="12" borderId="3" xfId="0" applyNumberFormat="1" applyFont="1" applyFill="1" applyBorder="1"/>
    <xf numFmtId="4" fontId="1" fillId="12" borderId="34" xfId="0" applyNumberFormat="1" applyFont="1" applyFill="1" applyBorder="1"/>
    <xf numFmtId="4" fontId="5" fillId="12" borderId="5" xfId="0" applyNumberFormat="1" applyFont="1" applyFill="1" applyBorder="1"/>
    <xf numFmtId="4" fontId="6" fillId="12" borderId="32" xfId="0" applyNumberFormat="1" applyFont="1" applyFill="1" applyBorder="1"/>
    <xf numFmtId="4" fontId="5" fillId="12" borderId="32" xfId="0" applyNumberFormat="1" applyFont="1" applyFill="1" applyBorder="1"/>
    <xf numFmtId="4" fontId="6" fillId="12" borderId="31" xfId="0" applyNumberFormat="1" applyFont="1" applyFill="1" applyBorder="1"/>
    <xf numFmtId="164" fontId="2" fillId="12" borderId="34" xfId="0" applyNumberFormat="1" applyFont="1" applyFill="1" applyBorder="1" applyAlignment="1">
      <alignment horizontal="center"/>
    </xf>
    <xf numFmtId="164" fontId="5" fillId="12" borderId="31" xfId="0" applyNumberFormat="1" applyFont="1" applyFill="1" applyBorder="1" applyAlignment="1">
      <alignment horizontal="center"/>
    </xf>
    <xf numFmtId="164" fontId="5" fillId="35" borderId="34" xfId="0" applyNumberFormat="1" applyFont="1" applyFill="1" applyBorder="1" applyAlignment="1">
      <alignment horizontal="center"/>
    </xf>
    <xf numFmtId="0" fontId="5" fillId="35" borderId="34" xfId="0" applyFont="1" applyFill="1" applyBorder="1"/>
    <xf numFmtId="4" fontId="5" fillId="35" borderId="34" xfId="0" applyNumberFormat="1" applyFont="1" applyFill="1" applyBorder="1"/>
    <xf numFmtId="164" fontId="5" fillId="35" borderId="33" xfId="0" applyNumberFormat="1" applyFont="1" applyFill="1" applyBorder="1" applyAlignment="1">
      <alignment horizontal="center"/>
    </xf>
    <xf numFmtId="0" fontId="5" fillId="35" borderId="33" xfId="0" applyFont="1" applyFill="1" applyBorder="1"/>
    <xf numFmtId="4" fontId="5" fillId="35" borderId="33" xfId="0" applyNumberFormat="1" applyFont="1" applyFill="1" applyBorder="1"/>
    <xf numFmtId="4" fontId="6" fillId="0" borderId="77" xfId="0" applyNumberFormat="1" applyFont="1" applyBorder="1"/>
    <xf numFmtId="4" fontId="5" fillId="0" borderId="77" xfId="0" applyNumberFormat="1" applyFont="1" applyBorder="1"/>
    <xf numFmtId="4" fontId="2" fillId="35" borderId="34" xfId="0" applyNumberFormat="1" applyFont="1" applyFill="1" applyBorder="1"/>
    <xf numFmtId="164" fontId="5" fillId="35" borderId="32" xfId="0" applyNumberFormat="1" applyFont="1" applyFill="1" applyBorder="1" applyAlignment="1">
      <alignment horizontal="center"/>
    </xf>
    <xf numFmtId="0" fontId="5" fillId="35" borderId="31" xfId="0" applyFont="1" applyFill="1" applyBorder="1"/>
    <xf numFmtId="4" fontId="5" fillId="35" borderId="31" xfId="0" applyNumberFormat="1" applyFont="1" applyFill="1" applyBorder="1"/>
    <xf numFmtId="166" fontId="2" fillId="35" borderId="31" xfId="0" applyNumberFormat="1" applyFont="1" applyFill="1" applyBorder="1"/>
    <xf numFmtId="0" fontId="49" fillId="35" borderId="34" xfId="0" applyFont="1" applyFill="1" applyBorder="1"/>
    <xf numFmtId="166" fontId="2" fillId="0" borderId="34" xfId="0" applyNumberFormat="1" applyFont="1" applyBorder="1"/>
    <xf numFmtId="166" fontId="2" fillId="11" borderId="34" xfId="0" applyNumberFormat="1" applyFont="1" applyFill="1" applyBorder="1"/>
    <xf numFmtId="164" fontId="5" fillId="13" borderId="34" xfId="0" applyNumberFormat="1" applyFont="1" applyFill="1" applyBorder="1" applyAlignment="1">
      <alignment horizontal="center"/>
    </xf>
    <xf numFmtId="0" fontId="5" fillId="13" borderId="34" xfId="0" applyFont="1" applyFill="1" applyBorder="1"/>
    <xf numFmtId="0" fontId="2" fillId="13" borderId="34" xfId="0" applyFont="1" applyFill="1" applyBorder="1"/>
    <xf numFmtId="4" fontId="5" fillId="13" borderId="34" xfId="0" applyNumberFormat="1" applyFont="1" applyFill="1" applyBorder="1"/>
    <xf numFmtId="164" fontId="5" fillId="13" borderId="33" xfId="0" applyNumberFormat="1" applyFont="1" applyFill="1" applyBorder="1" applyAlignment="1">
      <alignment horizontal="center"/>
    </xf>
    <xf numFmtId="0" fontId="5" fillId="13" borderId="33" xfId="0" applyFont="1" applyFill="1" applyBorder="1"/>
    <xf numFmtId="4" fontId="5" fillId="13" borderId="33" xfId="0" applyNumberFormat="1" applyFont="1" applyFill="1" applyBorder="1"/>
    <xf numFmtId="4" fontId="2" fillId="13" borderId="34" xfId="0" applyNumberFormat="1" applyFont="1" applyFill="1" applyBorder="1"/>
    <xf numFmtId="0" fontId="50" fillId="13" borderId="34" xfId="0" applyFont="1" applyFill="1" applyBorder="1"/>
    <xf numFmtId="4" fontId="5" fillId="13" borderId="31" xfId="0" applyNumberFormat="1" applyFont="1" applyFill="1" applyBorder="1"/>
    <xf numFmtId="0" fontId="5" fillId="13" borderId="31" xfId="0" applyFont="1" applyFill="1" applyBorder="1"/>
    <xf numFmtId="0" fontId="5" fillId="31" borderId="34" xfId="0" applyFont="1" applyFill="1" applyBorder="1" applyAlignment="1">
      <alignment horizontal="left"/>
    </xf>
    <xf numFmtId="164" fontId="5" fillId="7" borderId="33" xfId="0" applyNumberFormat="1" applyFont="1" applyFill="1" applyBorder="1" applyAlignment="1">
      <alignment horizontal="center"/>
    </xf>
    <xf numFmtId="0" fontId="5" fillId="7" borderId="33" xfId="0" applyFont="1" applyFill="1" applyBorder="1"/>
    <xf numFmtId="4" fontId="5" fillId="7" borderId="33" xfId="0" applyNumberFormat="1" applyFont="1" applyFill="1" applyBorder="1"/>
    <xf numFmtId="4" fontId="6" fillId="0" borderId="33" xfId="0" applyNumberFormat="1" applyFont="1" applyBorder="1"/>
    <xf numFmtId="4" fontId="5" fillId="0" borderId="33" xfId="0" applyNumberFormat="1" applyFont="1" applyBorder="1"/>
    <xf numFmtId="4" fontId="2" fillId="7" borderId="31" xfId="0" applyNumberFormat="1" applyFont="1" applyFill="1" applyBorder="1"/>
    <xf numFmtId="4" fontId="6" fillId="12" borderId="33" xfId="0" applyNumberFormat="1" applyFont="1" applyFill="1" applyBorder="1"/>
    <xf numFmtId="0" fontId="5" fillId="12" borderId="32" xfId="0" applyFont="1" applyFill="1" applyBorder="1"/>
    <xf numFmtId="4" fontId="2" fillId="12" borderId="31" xfId="0" applyNumberFormat="1" applyFont="1" applyFill="1" applyBorder="1"/>
    <xf numFmtId="0" fontId="20" fillId="0" borderId="0" xfId="0" applyFont="1" applyAlignment="1">
      <alignment horizontal="center"/>
    </xf>
    <xf numFmtId="164" fontId="20" fillId="12" borderId="34" xfId="0" applyNumberFormat="1" applyFont="1" applyFill="1" applyBorder="1" applyAlignment="1">
      <alignment horizontal="center"/>
    </xf>
    <xf numFmtId="0" fontId="20" fillId="12" borderId="34" xfId="0" applyFont="1" applyFill="1" applyBorder="1"/>
    <xf numFmtId="0" fontId="20" fillId="12" borderId="31" xfId="0" applyFont="1" applyFill="1" applyBorder="1"/>
    <xf numFmtId="4" fontId="20" fillId="12" borderId="34" xfId="0" applyNumberFormat="1" applyFont="1" applyFill="1" applyBorder="1"/>
    <xf numFmtId="0" fontId="20" fillId="0" borderId="0" xfId="0" applyFont="1"/>
    <xf numFmtId="164" fontId="18" fillId="12" borderId="34" xfId="0" applyNumberFormat="1" applyFont="1" applyFill="1" applyBorder="1" applyAlignment="1">
      <alignment horizontal="center"/>
    </xf>
    <xf numFmtId="0" fontId="18" fillId="12" borderId="34" xfId="0" applyFont="1" applyFill="1" applyBorder="1"/>
    <xf numFmtId="0" fontId="18" fillId="12" borderId="31" xfId="0" applyFont="1" applyFill="1" applyBorder="1"/>
    <xf numFmtId="0" fontId="51" fillId="12" borderId="34" xfId="0" applyFont="1" applyFill="1" applyBorder="1"/>
    <xf numFmtId="4" fontId="51" fillId="12" borderId="34" xfId="0" applyNumberFormat="1" applyFont="1" applyFill="1" applyBorder="1"/>
    <xf numFmtId="0" fontId="51" fillId="0" borderId="0" xfId="0" applyFont="1"/>
    <xf numFmtId="164" fontId="18" fillId="12" borderId="31" xfId="0" applyNumberFormat="1" applyFont="1" applyFill="1" applyBorder="1" applyAlignment="1">
      <alignment horizontal="center"/>
    </xf>
    <xf numFmtId="4" fontId="18" fillId="12" borderId="31" xfId="0" applyNumberFormat="1" applyFont="1" applyFill="1" applyBorder="1"/>
    <xf numFmtId="164" fontId="18" fillId="7" borderId="34" xfId="0" applyNumberFormat="1" applyFont="1" applyFill="1" applyBorder="1" applyAlignment="1">
      <alignment horizontal="center"/>
    </xf>
    <xf numFmtId="0" fontId="18" fillId="7" borderId="34" xfId="0" applyFont="1" applyFill="1" applyBorder="1"/>
    <xf numFmtId="4" fontId="18" fillId="7" borderId="34" xfId="0" applyNumberFormat="1" applyFont="1" applyFill="1" applyBorder="1"/>
    <xf numFmtId="164" fontId="18" fillId="7" borderId="33" xfId="0" applyNumberFormat="1" applyFont="1" applyFill="1" applyBorder="1" applyAlignment="1">
      <alignment horizontal="center"/>
    </xf>
    <xf numFmtId="0" fontId="18" fillId="7" borderId="33" xfId="0" applyFont="1" applyFill="1" applyBorder="1"/>
    <xf numFmtId="0" fontId="18" fillId="7" borderId="32" xfId="0" applyFont="1" applyFill="1" applyBorder="1"/>
    <xf numFmtId="4" fontId="18" fillId="7" borderId="33" xfId="0" applyNumberFormat="1" applyFont="1" applyFill="1" applyBorder="1"/>
    <xf numFmtId="0" fontId="18" fillId="7" borderId="31" xfId="0" applyFont="1" applyFill="1" applyBorder="1"/>
    <xf numFmtId="0" fontId="18" fillId="7" borderId="34" xfId="0" applyFont="1" applyFill="1" applyBorder="1" applyAlignment="1">
      <alignment horizontal="left"/>
    </xf>
    <xf numFmtId="164" fontId="18" fillId="7" borderId="31" xfId="0" applyNumberFormat="1" applyFont="1" applyFill="1" applyBorder="1" applyAlignment="1">
      <alignment horizontal="center"/>
    </xf>
    <xf numFmtId="4" fontId="18" fillId="7" borderId="31" xfId="0" applyNumberFormat="1" applyFont="1" applyFill="1" applyBorder="1"/>
    <xf numFmtId="0" fontId="17" fillId="7" borderId="34" xfId="0" applyFont="1" applyFill="1" applyBorder="1"/>
    <xf numFmtId="4" fontId="17" fillId="7" borderId="34" xfId="0" applyNumberFormat="1" applyFont="1" applyFill="1" applyBorder="1"/>
    <xf numFmtId="4" fontId="17" fillId="7" borderId="34" xfId="0" applyNumberFormat="1" applyFont="1" applyFill="1" applyBorder="1" applyAlignment="1">
      <alignment horizontal="right"/>
    </xf>
    <xf numFmtId="0" fontId="18" fillId="7" borderId="36" xfId="0" applyFont="1" applyFill="1" applyBorder="1"/>
    <xf numFmtId="4" fontId="5" fillId="7" borderId="34" xfId="0" applyNumberFormat="1" applyFont="1" applyFill="1" applyBorder="1" applyAlignment="1">
      <alignment horizontal="right"/>
    </xf>
    <xf numFmtId="4" fontId="18" fillId="7" borderId="34" xfId="0" applyNumberFormat="1" applyFont="1" applyFill="1" applyBorder="1" applyAlignment="1">
      <alignment horizontal="right"/>
    </xf>
    <xf numFmtId="0" fontId="5" fillId="7" borderId="32" xfId="0" applyFont="1" applyFill="1" applyBorder="1"/>
    <xf numFmtId="4" fontId="5" fillId="7" borderId="32" xfId="0" applyNumberFormat="1" applyFont="1" applyFill="1" applyBorder="1"/>
    <xf numFmtId="4" fontId="2" fillId="7" borderId="32" xfId="0" applyNumberFormat="1" applyFont="1" applyFill="1" applyBorder="1"/>
    <xf numFmtId="4" fontId="5" fillId="7" borderId="31" xfId="0" applyNumberFormat="1" applyFont="1" applyFill="1" applyBorder="1" applyAlignment="1">
      <alignment horizontal="right"/>
    </xf>
    <xf numFmtId="164" fontId="18" fillId="31" borderId="75" xfId="0" applyNumberFormat="1" applyFont="1" applyFill="1" applyBorder="1" applyAlignment="1">
      <alignment horizontal="center"/>
    </xf>
    <xf numFmtId="0" fontId="18" fillId="31" borderId="75" xfId="0" applyFont="1" applyFill="1" applyBorder="1"/>
    <xf numFmtId="0" fontId="18" fillId="31" borderId="78" xfId="0" applyFont="1" applyFill="1" applyBorder="1"/>
    <xf numFmtId="4" fontId="18" fillId="31" borderId="78" xfId="0" applyNumberFormat="1" applyFont="1" applyFill="1" applyBorder="1"/>
    <xf numFmtId="4" fontId="18" fillId="31" borderId="75" xfId="0" applyNumberFormat="1" applyFont="1" applyFill="1" applyBorder="1"/>
    <xf numFmtId="0" fontId="51" fillId="0" borderId="18" xfId="0" applyFont="1" applyBorder="1"/>
    <xf numFmtId="164" fontId="18" fillId="31" borderId="34" xfId="0" applyNumberFormat="1" applyFont="1" applyFill="1" applyBorder="1" applyAlignment="1">
      <alignment horizontal="center"/>
    </xf>
    <xf numFmtId="0" fontId="18" fillId="31" borderId="34" xfId="0" applyFont="1" applyFill="1" applyBorder="1"/>
    <xf numFmtId="0" fontId="18" fillId="31" borderId="31" xfId="0" applyFont="1" applyFill="1" applyBorder="1"/>
    <xf numFmtId="4" fontId="18" fillId="31" borderId="31" xfId="0" applyNumberFormat="1" applyFont="1" applyFill="1" applyBorder="1"/>
    <xf numFmtId="4" fontId="18" fillId="31" borderId="34" xfId="0" applyNumberFormat="1" applyFont="1" applyFill="1" applyBorder="1"/>
    <xf numFmtId="0" fontId="17" fillId="31" borderId="34" xfId="0" applyFont="1" applyFill="1" applyBorder="1"/>
    <xf numFmtId="0" fontId="17" fillId="31" borderId="31" xfId="0" applyFont="1" applyFill="1" applyBorder="1"/>
    <xf numFmtId="4" fontId="17" fillId="31" borderId="34" xfId="0" applyNumberFormat="1" applyFont="1" applyFill="1" applyBorder="1"/>
    <xf numFmtId="0" fontId="52" fillId="31" borderId="31" xfId="0" applyFont="1" applyFill="1" applyBorder="1"/>
    <xf numFmtId="4" fontId="17" fillId="31" borderId="34" xfId="0" applyNumberFormat="1" applyFont="1" applyFill="1" applyBorder="1" applyAlignment="1">
      <alignment horizontal="right"/>
    </xf>
    <xf numFmtId="0" fontId="53" fillId="31" borderId="31" xfId="0" applyFont="1" applyFill="1" applyBorder="1"/>
    <xf numFmtId="0" fontId="5" fillId="31" borderId="32" xfId="0" applyFont="1" applyFill="1" applyBorder="1"/>
    <xf numFmtId="4" fontId="5" fillId="31" borderId="31" xfId="0" applyNumberFormat="1" applyFont="1" applyFill="1" applyBorder="1" applyAlignment="1">
      <alignment horizontal="right"/>
    </xf>
    <xf numFmtId="0" fontId="5" fillId="0" borderId="21" xfId="0" applyFont="1" applyBorder="1" applyAlignment="1">
      <alignment horizontal="center"/>
    </xf>
    <xf numFmtId="164" fontId="18" fillId="31" borderId="73" xfId="0" applyNumberFormat="1" applyFont="1" applyFill="1" applyBorder="1" applyAlignment="1">
      <alignment horizontal="center"/>
    </xf>
    <xf numFmtId="0" fontId="5" fillId="31" borderId="73" xfId="0" applyFont="1" applyFill="1" applyBorder="1"/>
    <xf numFmtId="0" fontId="18" fillId="31" borderId="73" xfId="0" applyFont="1" applyFill="1" applyBorder="1"/>
    <xf numFmtId="4" fontId="18" fillId="31" borderId="73" xfId="0" applyNumberFormat="1" applyFont="1" applyFill="1" applyBorder="1"/>
    <xf numFmtId="0" fontId="51" fillId="0" borderId="21" xfId="0" applyFont="1" applyBorder="1"/>
    <xf numFmtId="0" fontId="5" fillId="0" borderId="21" xfId="0" applyFont="1" applyBorder="1"/>
    <xf numFmtId="164" fontId="18" fillId="0" borderId="33" xfId="0" applyNumberFormat="1" applyFont="1" applyBorder="1" applyAlignment="1">
      <alignment horizontal="center"/>
    </xf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4" fontId="18" fillId="0" borderId="33" xfId="0" applyNumberFormat="1" applyFont="1" applyBorder="1"/>
    <xf numFmtId="164" fontId="18" fillId="0" borderId="34" xfId="0" applyNumberFormat="1" applyFont="1" applyBorder="1" applyAlignment="1">
      <alignment horizontal="center"/>
    </xf>
    <xf numFmtId="0" fontId="5" fillId="0" borderId="31" xfId="0" applyFont="1" applyBorder="1"/>
    <xf numFmtId="0" fontId="54" fillId="0" borderId="31" xfId="0" applyFont="1" applyBorder="1"/>
    <xf numFmtId="0" fontId="54" fillId="0" borderId="34" xfId="0" applyFont="1" applyBorder="1"/>
    <xf numFmtId="4" fontId="54" fillId="0" borderId="34" xfId="0" applyNumberFormat="1" applyFont="1" applyBorder="1"/>
    <xf numFmtId="0" fontId="54" fillId="0" borderId="0" xfId="0" applyFont="1"/>
    <xf numFmtId="0" fontId="18" fillId="0" borderId="34" xfId="0" applyFont="1" applyBorder="1"/>
    <xf numFmtId="4" fontId="18" fillId="0" borderId="34" xfId="0" applyNumberFormat="1" applyFont="1" applyBorder="1"/>
    <xf numFmtId="164" fontId="18" fillId="0" borderId="0" xfId="0" applyNumberFormat="1" applyFont="1" applyAlignment="1">
      <alignment horizontal="center"/>
    </xf>
    <xf numFmtId="0" fontId="18" fillId="0" borderId="0" xfId="0" applyFont="1"/>
    <xf numFmtId="164" fontId="5" fillId="0" borderId="0" xfId="0" applyNumberFormat="1" applyFont="1" applyAlignment="1">
      <alignment horizontal="center"/>
    </xf>
    <xf numFmtId="0" fontId="6" fillId="2" borderId="39" xfId="0" applyFont="1" applyFill="1" applyBorder="1"/>
    <xf numFmtId="4" fontId="5" fillId="2" borderId="40" xfId="0" applyNumberFormat="1" applyFont="1" applyFill="1" applyBorder="1" applyAlignment="1">
      <alignment horizontal="right"/>
    </xf>
    <xf numFmtId="0" fontId="5" fillId="2" borderId="41" xfId="0" applyFont="1" applyFill="1" applyBorder="1"/>
    <xf numFmtId="0" fontId="6" fillId="2" borderId="44" xfId="0" applyFont="1" applyFill="1" applyBorder="1"/>
    <xf numFmtId="4" fontId="5" fillId="2" borderId="45" xfId="0" applyNumberFormat="1" applyFont="1" applyFill="1" applyBorder="1" applyAlignment="1">
      <alignment horizontal="right"/>
    </xf>
    <xf numFmtId="0" fontId="5" fillId="2" borderId="46" xfId="0" applyFont="1" applyFill="1" applyBorder="1"/>
    <xf numFmtId="0" fontId="6" fillId="30" borderId="70" xfId="0" applyFont="1" applyFill="1" applyBorder="1" applyAlignment="1">
      <alignment horizontal="center" wrapText="1"/>
    </xf>
    <xf numFmtId="0" fontId="6" fillId="30" borderId="71" xfId="0" applyFont="1" applyFill="1" applyBorder="1" applyAlignment="1">
      <alignment horizontal="center" wrapText="1"/>
    </xf>
    <xf numFmtId="4" fontId="6" fillId="30" borderId="71" xfId="0" applyNumberFormat="1" applyFont="1" applyFill="1" applyBorder="1" applyAlignment="1">
      <alignment horizontal="center" wrapText="1"/>
    </xf>
    <xf numFmtId="4" fontId="6" fillId="30" borderId="72" xfId="0" applyNumberFormat="1" applyFont="1" applyFill="1" applyBorder="1" applyAlignment="1">
      <alignment horizontal="center" wrapText="1"/>
    </xf>
    <xf numFmtId="0" fontId="6" fillId="30" borderId="72" xfId="0" applyFont="1" applyFill="1" applyBorder="1" applyAlignment="1">
      <alignment horizontal="center" wrapText="1"/>
    </xf>
    <xf numFmtId="167" fontId="5" fillId="0" borderId="0" xfId="0" applyNumberFormat="1" applyFont="1"/>
    <xf numFmtId="0" fontId="6" fillId="29" borderId="70" xfId="0" applyFont="1" applyFill="1" applyBorder="1" applyAlignment="1">
      <alignment horizontal="center" wrapText="1"/>
    </xf>
    <xf numFmtId="0" fontId="6" fillId="29" borderId="71" xfId="0" applyFont="1" applyFill="1" applyBorder="1" applyAlignment="1">
      <alignment horizontal="center" wrapText="1"/>
    </xf>
    <xf numFmtId="4" fontId="6" fillId="29" borderId="71" xfId="0" applyNumberFormat="1" applyFont="1" applyFill="1" applyBorder="1" applyAlignment="1">
      <alignment horizontal="center" wrapText="1"/>
    </xf>
    <xf numFmtId="0" fontId="6" fillId="29" borderId="72" xfId="0" applyFont="1" applyFill="1" applyBorder="1" applyAlignment="1">
      <alignment horizontal="center" wrapText="1"/>
    </xf>
    <xf numFmtId="0" fontId="6" fillId="3" borderId="47" xfId="0" applyFont="1" applyFill="1" applyBorder="1"/>
    <xf numFmtId="0" fontId="5" fillId="3" borderId="35" xfId="0" applyFont="1" applyFill="1" applyBorder="1"/>
    <xf numFmtId="4" fontId="5" fillId="3" borderId="35" xfId="0" applyNumberFormat="1" applyFont="1" applyFill="1" applyBorder="1"/>
    <xf numFmtId="4" fontId="6" fillId="3" borderId="35" xfId="0" applyNumberFormat="1" applyFont="1" applyFill="1" applyBorder="1"/>
    <xf numFmtId="4" fontId="6" fillId="3" borderId="36" xfId="0" applyNumberFormat="1" applyFont="1" applyFill="1" applyBorder="1"/>
    <xf numFmtId="0" fontId="1" fillId="0" borderId="0" xfId="0" applyFont="1" applyAlignment="1">
      <alignment horizontal="left"/>
    </xf>
    <xf numFmtId="0" fontId="55" fillId="4" borderId="0" xfId="0" applyFont="1" applyFill="1" applyAlignment="1">
      <alignment horizontal="center"/>
    </xf>
    <xf numFmtId="0" fontId="2" fillId="36" borderId="0" xfId="0" applyFont="1" applyFill="1"/>
    <xf numFmtId="0" fontId="56" fillId="37" borderId="0" xfId="0" applyFont="1" applyFill="1" applyAlignment="1">
      <alignment horizontal="center"/>
    </xf>
    <xf numFmtId="4" fontId="15" fillId="37" borderId="0" xfId="0" applyNumberFormat="1" applyFont="1" applyFill="1"/>
    <xf numFmtId="172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36" borderId="79" xfId="0" applyFont="1" applyFill="1" applyBorder="1"/>
    <xf numFmtId="0" fontId="2" fillId="36" borderId="80" xfId="0" applyFont="1" applyFill="1" applyBorder="1"/>
    <xf numFmtId="164" fontId="2" fillId="0" borderId="0" xfId="0" applyNumberFormat="1" applyFont="1" applyAlignment="1">
      <alignment horizontal="left"/>
    </xf>
    <xf numFmtId="0" fontId="15" fillId="0" borderId="0" xfId="0" applyFont="1"/>
    <xf numFmtId="164" fontId="5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36" borderId="81" xfId="0" applyFont="1" applyFill="1" applyBorder="1"/>
    <xf numFmtId="0" fontId="2" fillId="36" borderId="82" xfId="0" applyFont="1" applyFill="1" applyBorder="1"/>
    <xf numFmtId="0" fontId="5" fillId="0" borderId="0" xfId="0" applyFont="1" applyAlignment="1">
      <alignment horizontal="left"/>
    </xf>
    <xf numFmtId="0" fontId="33" fillId="4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57" fillId="9" borderId="0" xfId="0" applyFont="1" applyFill="1" applyAlignment="1">
      <alignment horizontal="center"/>
    </xf>
    <xf numFmtId="0" fontId="13" fillId="30" borderId="0" xfId="0" applyFont="1" applyFill="1" applyAlignment="1">
      <alignment horizontal="center"/>
    </xf>
    <xf numFmtId="4" fontId="15" fillId="9" borderId="0" xfId="0" applyNumberFormat="1" applyFont="1" applyFill="1"/>
    <xf numFmtId="4" fontId="4" fillId="30" borderId="0" xfId="0" applyNumberFormat="1" applyFont="1" applyFill="1"/>
    <xf numFmtId="0" fontId="56" fillId="0" borderId="0" xfId="0" applyFont="1" applyAlignment="1">
      <alignment horizontal="center"/>
    </xf>
    <xf numFmtId="169" fontId="2" fillId="0" borderId="0" xfId="0" applyNumberFormat="1" applyFont="1"/>
    <xf numFmtId="169" fontId="5" fillId="0" borderId="0" xfId="0" applyNumberFormat="1" applyFont="1" applyAlignment="1">
      <alignment horizontal="right"/>
    </xf>
    <xf numFmtId="172" fontId="2" fillId="0" borderId="0" xfId="0" applyNumberFormat="1" applyFont="1" applyAlignment="1">
      <alignment horizontal="right"/>
    </xf>
    <xf numFmtId="0" fontId="58" fillId="8" borderId="0" xfId="0" applyFont="1" applyFill="1"/>
    <xf numFmtId="172" fontId="5" fillId="0" borderId="0" xfId="0" applyNumberFormat="1" applyFont="1" applyAlignment="1">
      <alignment horizontal="right"/>
    </xf>
    <xf numFmtId="0" fontId="59" fillId="0" borderId="0" xfId="0" applyFont="1"/>
    <xf numFmtId="4" fontId="59" fillId="0" borderId="0" xfId="0" applyNumberFormat="1" applyFont="1"/>
    <xf numFmtId="0" fontId="60" fillId="0" borderId="0" xfId="0" applyFont="1"/>
    <xf numFmtId="0" fontId="60" fillId="0" borderId="3" xfId="0" applyFont="1" applyBorder="1"/>
    <xf numFmtId="0" fontId="60" fillId="0" borderId="4" xfId="0" applyFont="1" applyBorder="1"/>
    <xf numFmtId="0" fontId="60" fillId="0" borderId="4" xfId="0" applyFont="1" applyBorder="1" applyAlignment="1">
      <alignment horizontal="center"/>
    </xf>
    <xf numFmtId="0" fontId="60" fillId="0" borderId="5" xfId="0" applyFont="1" applyBorder="1" applyAlignment="1">
      <alignment horizontal="center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center" wrapText="1"/>
    </xf>
    <xf numFmtId="0" fontId="60" fillId="0" borderId="38" xfId="0" applyFont="1" applyBorder="1" applyAlignment="1">
      <alignment horizontal="center"/>
    </xf>
    <xf numFmtId="0" fontId="60" fillId="0" borderId="37" xfId="0" applyFont="1" applyBorder="1" applyAlignment="1">
      <alignment horizontal="center"/>
    </xf>
    <xf numFmtId="0" fontId="60" fillId="0" borderId="0" xfId="0" applyFont="1" applyAlignment="1">
      <alignment wrapText="1"/>
    </xf>
    <xf numFmtId="4" fontId="60" fillId="0" borderId="0" xfId="0" applyNumberFormat="1" applyFont="1" applyAlignment="1">
      <alignment horizontal="center"/>
    </xf>
    <xf numFmtId="4" fontId="61" fillId="8" borderId="0" xfId="0" applyNumberFormat="1" applyFont="1" applyFill="1" applyAlignment="1">
      <alignment horizontal="center"/>
    </xf>
    <xf numFmtId="173" fontId="59" fillId="0" borderId="0" xfId="0" applyNumberFormat="1" applyFont="1"/>
    <xf numFmtId="4" fontId="59" fillId="0" borderId="38" xfId="0" applyNumberFormat="1" applyFont="1" applyBorder="1"/>
    <xf numFmtId="164" fontId="59" fillId="0" borderId="0" xfId="0" applyNumberFormat="1" applyFont="1" applyAlignment="1">
      <alignment horizontal="center"/>
    </xf>
    <xf numFmtId="0" fontId="59" fillId="0" borderId="37" xfId="0" applyFont="1" applyBorder="1"/>
    <xf numFmtId="4" fontId="62" fillId="8" borderId="0" xfId="0" applyNumberFormat="1" applyFont="1" applyFill="1"/>
    <xf numFmtId="0" fontId="59" fillId="0" borderId="0" xfId="0" applyFont="1" applyAlignment="1">
      <alignment horizontal="center"/>
    </xf>
    <xf numFmtId="4" fontId="59" fillId="0" borderId="0" xfId="0" applyNumberFormat="1" applyFont="1" applyAlignment="1">
      <alignment horizontal="center"/>
    </xf>
    <xf numFmtId="4" fontId="62" fillId="8" borderId="0" xfId="0" applyNumberFormat="1" applyFont="1" applyFill="1" applyAlignment="1">
      <alignment horizontal="center"/>
    </xf>
    <xf numFmtId="174" fontId="59" fillId="0" borderId="0" xfId="0" applyNumberFormat="1" applyFont="1"/>
    <xf numFmtId="0" fontId="62" fillId="8" borderId="37" xfId="0" applyFont="1" applyFill="1" applyBorder="1" applyAlignment="1">
      <alignment horizontal="left"/>
    </xf>
    <xf numFmtId="3" fontId="59" fillId="0" borderId="0" xfId="0" applyNumberFormat="1" applyFont="1"/>
    <xf numFmtId="0" fontId="59" fillId="0" borderId="38" xfId="0" applyFont="1" applyBorder="1"/>
    <xf numFmtId="4" fontId="60" fillId="0" borderId="0" xfId="0" applyNumberFormat="1" applyFont="1"/>
    <xf numFmtId="0" fontId="63" fillId="0" borderId="0" xfId="0" applyFont="1"/>
    <xf numFmtId="4" fontId="63" fillId="0" borderId="0" xfId="0" applyNumberFormat="1" applyFont="1"/>
    <xf numFmtId="4" fontId="63" fillId="8" borderId="0" xfId="0" applyNumberFormat="1" applyFont="1" applyFill="1"/>
    <xf numFmtId="0" fontId="59" fillId="0" borderId="0" xfId="0" applyFont="1" applyAlignment="1">
      <alignment horizontal="left"/>
    </xf>
    <xf numFmtId="173" fontId="2" fillId="0" borderId="0" xfId="0" applyNumberFormat="1" applyFont="1"/>
    <xf numFmtId="0" fontId="65" fillId="8" borderId="0" xfId="0" applyFont="1" applyFill="1"/>
    <xf numFmtId="0" fontId="19" fillId="0" borderId="39" xfId="0" applyFont="1" applyBorder="1"/>
    <xf numFmtId="0" fontId="5" fillId="0" borderId="40" xfId="0" applyFont="1" applyBorder="1"/>
    <xf numFmtId="4" fontId="5" fillId="0" borderId="40" xfId="0" applyNumberFormat="1" applyFont="1" applyBorder="1"/>
    <xf numFmtId="0" fontId="5" fillId="0" borderId="41" xfId="0" applyFont="1" applyBorder="1"/>
    <xf numFmtId="0" fontId="5" fillId="0" borderId="39" xfId="0" applyFont="1" applyBorder="1"/>
    <xf numFmtId="14" fontId="6" fillId="0" borderId="0" xfId="0" applyNumberFormat="1" applyFont="1"/>
    <xf numFmtId="14" fontId="5" fillId="0" borderId="0" xfId="0" applyNumberFormat="1" applyFont="1"/>
    <xf numFmtId="0" fontId="64" fillId="8" borderId="44" xfId="0" applyFont="1" applyFill="1" applyBorder="1" applyAlignment="1">
      <alignment horizontal="right"/>
    </xf>
    <xf numFmtId="0" fontId="64" fillId="8" borderId="46" xfId="0" applyFont="1" applyFill="1" applyBorder="1" applyAlignment="1">
      <alignment horizontal="right"/>
    </xf>
    <xf numFmtId="14" fontId="6" fillId="0" borderId="0" xfId="0" applyNumberFormat="1" applyFont="1" applyAlignment="1">
      <alignment horizontal="right"/>
    </xf>
    <xf numFmtId="173" fontId="5" fillId="0" borderId="0" xfId="0" applyNumberFormat="1" applyFont="1"/>
    <xf numFmtId="0" fontId="5" fillId="0" borderId="46" xfId="0" applyFont="1" applyBorder="1"/>
    <xf numFmtId="14" fontId="5" fillId="0" borderId="40" xfId="0" applyNumberFormat="1" applyFont="1" applyBorder="1"/>
    <xf numFmtId="14" fontId="5" fillId="0" borderId="0" xfId="0" applyNumberFormat="1" applyFont="1" applyAlignment="1">
      <alignment horizontal="right"/>
    </xf>
    <xf numFmtId="174" fontId="5" fillId="0" borderId="0" xfId="0" applyNumberFormat="1" applyFont="1"/>
    <xf numFmtId="164" fontId="5" fillId="0" borderId="0" xfId="0" applyNumberFormat="1" applyFont="1"/>
    <xf numFmtId="4" fontId="5" fillId="0" borderId="45" xfId="0" applyNumberFormat="1" applyFont="1" applyBorder="1"/>
    <xf numFmtId="0" fontId="2" fillId="8" borderId="0" xfId="0" applyFont="1" applyFill="1" applyAlignment="1">
      <alignment horizontal="right"/>
    </xf>
    <xf numFmtId="173" fontId="2" fillId="8" borderId="0" xfId="0" applyNumberFormat="1" applyFont="1" applyFill="1"/>
    <xf numFmtId="169" fontId="2" fillId="8" borderId="0" xfId="0" applyNumberFormat="1" applyFont="1" applyFill="1"/>
    <xf numFmtId="164" fontId="2" fillId="8" borderId="0" xfId="0" applyNumberFormat="1" applyFont="1" applyFill="1"/>
    <xf numFmtId="174" fontId="2" fillId="8" borderId="0" xfId="0" applyNumberFormat="1" applyFont="1" applyFill="1"/>
    <xf numFmtId="174" fontId="2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/>
    <xf numFmtId="0" fontId="24" fillId="14" borderId="47" xfId="0" applyFont="1" applyFill="1" applyBorder="1" applyAlignment="1">
      <alignment horizontal="center"/>
    </xf>
    <xf numFmtId="0" fontId="2" fillId="0" borderId="36" xfId="0" applyFont="1" applyBorder="1"/>
    <xf numFmtId="0" fontId="24" fillId="15" borderId="47" xfId="0" applyFont="1" applyFill="1" applyBorder="1" applyAlignment="1">
      <alignment horizontal="center"/>
    </xf>
    <xf numFmtId="0" fontId="2" fillId="0" borderId="35" xfId="0" applyFont="1" applyBorder="1"/>
    <xf numFmtId="0" fontId="24" fillId="3" borderId="47" xfId="0" applyFont="1" applyFill="1" applyBorder="1" applyAlignment="1">
      <alignment horizontal="center"/>
    </xf>
    <xf numFmtId="0" fontId="24" fillId="16" borderId="3" xfId="0" applyFont="1" applyFill="1" applyBorder="1" applyAlignment="1">
      <alignment horizontal="center"/>
    </xf>
    <xf numFmtId="0" fontId="2" fillId="0" borderId="5" xfId="0" applyFont="1" applyBorder="1"/>
    <xf numFmtId="0" fontId="24" fillId="17" borderId="3" xfId="0" applyFont="1" applyFill="1" applyBorder="1" applyAlignment="1">
      <alignment horizontal="center"/>
    </xf>
    <xf numFmtId="0" fontId="2" fillId="0" borderId="4" xfId="0" applyFont="1" applyBorder="1"/>
    <xf numFmtId="0" fontId="24" fillId="3" borderId="3" xfId="0" applyFont="1" applyFill="1" applyBorder="1" applyAlignment="1">
      <alignment horizontal="center"/>
    </xf>
    <xf numFmtId="0" fontId="24" fillId="18" borderId="3" xfId="0" applyFont="1" applyFill="1" applyBorder="1" applyAlignment="1">
      <alignment horizontal="center"/>
    </xf>
    <xf numFmtId="0" fontId="2" fillId="18" borderId="5" xfId="0" applyFont="1" applyFill="1" applyBorder="1"/>
    <xf numFmtId="0" fontId="2" fillId="23" borderId="3" xfId="0" applyFont="1" applyFill="1" applyBorder="1" applyAlignment="1">
      <alignment horizontal="center"/>
    </xf>
    <xf numFmtId="0" fontId="2" fillId="23" borderId="4" xfId="0" applyFont="1" applyFill="1" applyBorder="1"/>
    <xf numFmtId="0" fontId="24" fillId="8" borderId="3" xfId="0" applyFont="1" applyFill="1" applyBorder="1" applyAlignment="1">
      <alignment horizontal="left"/>
    </xf>
    <xf numFmtId="0" fontId="2" fillId="8" borderId="5" xfId="0" applyFont="1" applyFill="1" applyBorder="1"/>
    <xf numFmtId="0" fontId="24" fillId="19" borderId="3" xfId="0" applyFont="1" applyFill="1" applyBorder="1" applyAlignment="1">
      <alignment horizontal="center"/>
    </xf>
    <xf numFmtId="0" fontId="2" fillId="19" borderId="4" xfId="0" applyFont="1" applyFill="1" applyBorder="1"/>
    <xf numFmtId="0" fontId="2" fillId="19" borderId="5" xfId="0" applyFont="1" applyFill="1" applyBorder="1"/>
    <xf numFmtId="0" fontId="2" fillId="18" borderId="3" xfId="0" applyFont="1" applyFill="1" applyBorder="1" applyAlignment="1">
      <alignment horizontal="center"/>
    </xf>
    <xf numFmtId="0" fontId="2" fillId="18" borderId="4" xfId="0" applyFont="1" applyFill="1" applyBorder="1"/>
    <xf numFmtId="0" fontId="29" fillId="21" borderId="57" xfId="0" applyFont="1" applyFill="1" applyBorder="1" applyAlignment="1">
      <alignment horizontal="center"/>
    </xf>
    <xf numFmtId="0" fontId="2" fillId="21" borderId="63" xfId="0" applyFont="1" applyFill="1" applyBorder="1"/>
    <xf numFmtId="0" fontId="29" fillId="21" borderId="68" xfId="0" applyFont="1" applyFill="1" applyBorder="1" applyAlignment="1">
      <alignment horizontal="center"/>
    </xf>
    <xf numFmtId="0" fontId="2" fillId="21" borderId="69" xfId="0" applyFont="1" applyFill="1" applyBorder="1"/>
    <xf numFmtId="0" fontId="29" fillId="3" borderId="68" xfId="0" applyFont="1" applyFill="1" applyBorder="1" applyAlignment="1">
      <alignment horizontal="center"/>
    </xf>
    <xf numFmtId="0" fontId="2" fillId="0" borderId="58" xfId="0" applyFont="1" applyBorder="1"/>
  </cellXfs>
  <cellStyles count="1">
    <cellStyle name="Normal" xfId="0" builtinId="0"/>
  </cellStyles>
  <dxfs count="7">
    <dxf>
      <font>
        <color rgb="FFFF0000"/>
      </font>
      <fill>
        <patternFill patternType="none"/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FacAnual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FacAnual-style 2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152400</xdr:colOff>
      <xdr:row>221</xdr:row>
      <xdr:rowOff>152400</xdr:rowOff>
    </xdr:from>
    <xdr:ext cx="5324475" cy="24098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0:C26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FacAnua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7:C5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FacAnua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apple.com/us" TargetMode="External"/><Relationship Id="rId18" Type="http://schemas.openxmlformats.org/officeDocument/2006/relationships/hyperlink" Target="http://claude.ai/" TargetMode="External"/><Relationship Id="rId26" Type="http://schemas.openxmlformats.org/officeDocument/2006/relationships/hyperlink" Target="http://claude.ai/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://botmeni.com/" TargetMode="External"/><Relationship Id="rId34" Type="http://schemas.openxmlformats.org/officeDocument/2006/relationships/hyperlink" Target="http://botmeni.com/" TargetMode="External"/><Relationship Id="rId7" Type="http://schemas.openxmlformats.org/officeDocument/2006/relationships/hyperlink" Target="http://botmeni.com/" TargetMode="External"/><Relationship Id="rId12" Type="http://schemas.openxmlformats.org/officeDocument/2006/relationships/hyperlink" Target="http://botmeni.com/" TargetMode="External"/><Relationship Id="rId17" Type="http://schemas.openxmlformats.org/officeDocument/2006/relationships/hyperlink" Target="http://botmeni.com/" TargetMode="External"/><Relationship Id="rId25" Type="http://schemas.openxmlformats.org/officeDocument/2006/relationships/hyperlink" Target="http://botmeni.com/" TargetMode="External"/><Relationship Id="rId33" Type="http://schemas.openxmlformats.org/officeDocument/2006/relationships/hyperlink" Target="http://botmeni.com/" TargetMode="External"/><Relationship Id="rId38" Type="http://schemas.openxmlformats.org/officeDocument/2006/relationships/hyperlink" Target="http://myiq.com/" TargetMode="External"/><Relationship Id="rId2" Type="http://schemas.openxmlformats.org/officeDocument/2006/relationships/hyperlink" Target="http://botmeni.com/" TargetMode="External"/><Relationship Id="rId16" Type="http://schemas.openxmlformats.org/officeDocument/2006/relationships/hyperlink" Target="http://apple.com/us" TargetMode="External"/><Relationship Id="rId20" Type="http://schemas.openxmlformats.org/officeDocument/2006/relationships/hyperlink" Target="http://claude.ai/" TargetMode="External"/><Relationship Id="rId29" Type="http://schemas.openxmlformats.org/officeDocument/2006/relationships/hyperlink" Target="http://botmeni.com/" TargetMode="External"/><Relationship Id="rId1" Type="http://schemas.openxmlformats.org/officeDocument/2006/relationships/hyperlink" Target="http://apple.com/us" TargetMode="External"/><Relationship Id="rId6" Type="http://schemas.openxmlformats.org/officeDocument/2006/relationships/hyperlink" Target="http://botmeni.com/" TargetMode="External"/><Relationship Id="rId11" Type="http://schemas.openxmlformats.org/officeDocument/2006/relationships/hyperlink" Target="http://botmeni.com/" TargetMode="External"/><Relationship Id="rId24" Type="http://schemas.openxmlformats.org/officeDocument/2006/relationships/hyperlink" Target="http://claude.ai/" TargetMode="External"/><Relationship Id="rId32" Type="http://schemas.openxmlformats.org/officeDocument/2006/relationships/hyperlink" Target="http://botmeni.com/" TargetMode="External"/><Relationship Id="rId37" Type="http://schemas.openxmlformats.org/officeDocument/2006/relationships/hyperlink" Target="http://myiq.com/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://botmeni.com/" TargetMode="External"/><Relationship Id="rId15" Type="http://schemas.openxmlformats.org/officeDocument/2006/relationships/hyperlink" Target="http://botmeni.com/" TargetMode="External"/><Relationship Id="rId23" Type="http://schemas.openxmlformats.org/officeDocument/2006/relationships/hyperlink" Target="http://botmeni.com/" TargetMode="External"/><Relationship Id="rId28" Type="http://schemas.openxmlformats.org/officeDocument/2006/relationships/hyperlink" Target="http://claude.ai/" TargetMode="External"/><Relationship Id="rId36" Type="http://schemas.openxmlformats.org/officeDocument/2006/relationships/hyperlink" Target="http://botmeni.com/" TargetMode="External"/><Relationship Id="rId10" Type="http://schemas.openxmlformats.org/officeDocument/2006/relationships/hyperlink" Target="http://botmeni.com/" TargetMode="External"/><Relationship Id="rId19" Type="http://schemas.openxmlformats.org/officeDocument/2006/relationships/hyperlink" Target="http://botmeni.com/" TargetMode="External"/><Relationship Id="rId31" Type="http://schemas.openxmlformats.org/officeDocument/2006/relationships/hyperlink" Target="http://botmeni.com/" TargetMode="External"/><Relationship Id="rId4" Type="http://schemas.openxmlformats.org/officeDocument/2006/relationships/hyperlink" Target="http://botmeni.com/" TargetMode="External"/><Relationship Id="rId9" Type="http://schemas.openxmlformats.org/officeDocument/2006/relationships/hyperlink" Target="http://botmeni.com/" TargetMode="External"/><Relationship Id="rId14" Type="http://schemas.openxmlformats.org/officeDocument/2006/relationships/hyperlink" Target="http://botmeni.com/" TargetMode="External"/><Relationship Id="rId22" Type="http://schemas.openxmlformats.org/officeDocument/2006/relationships/hyperlink" Target="http://claude.ai/" TargetMode="External"/><Relationship Id="rId27" Type="http://schemas.openxmlformats.org/officeDocument/2006/relationships/hyperlink" Target="http://botmeni.com/" TargetMode="External"/><Relationship Id="rId30" Type="http://schemas.openxmlformats.org/officeDocument/2006/relationships/hyperlink" Target="http://claude.ai/" TargetMode="External"/><Relationship Id="rId35" Type="http://schemas.openxmlformats.org/officeDocument/2006/relationships/hyperlink" Target="http://botmeni.com/" TargetMode="External"/><Relationship Id="rId8" Type="http://schemas.openxmlformats.org/officeDocument/2006/relationships/hyperlink" Target="http://botmeni.com/" TargetMode="External"/><Relationship Id="rId3" Type="http://schemas.openxmlformats.org/officeDocument/2006/relationships/hyperlink" Target="http://botmen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32"/>
  <sheetViews>
    <sheetView tabSelected="1" workbookViewId="0">
      <selection activeCell="M41" sqref="M41"/>
    </sheetView>
  </sheetViews>
  <sheetFormatPr baseColWidth="10" defaultColWidth="12.6640625" defaultRowHeight="15.75" customHeight="1"/>
  <cols>
    <col min="1" max="1" width="19.1640625" customWidth="1"/>
    <col min="6" max="6" width="4.5" customWidth="1"/>
    <col min="7" max="7" width="14.1640625" customWidth="1"/>
  </cols>
  <sheetData>
    <row r="1" spans="1:19" ht="15.75" customHeight="1">
      <c r="A1" s="1"/>
      <c r="B1" s="2"/>
      <c r="C1" s="2"/>
      <c r="D1" s="3"/>
      <c r="E1" s="3"/>
      <c r="F1" s="4"/>
      <c r="G1" s="3"/>
      <c r="H1" s="3"/>
      <c r="I1" s="5"/>
      <c r="J1" s="6"/>
      <c r="K1" s="6"/>
      <c r="L1" s="3"/>
      <c r="M1" s="7" t="s">
        <v>0</v>
      </c>
      <c r="N1" s="8"/>
      <c r="O1" s="8"/>
      <c r="P1" s="9"/>
      <c r="Q1" s="10" t="s">
        <v>1</v>
      </c>
    </row>
    <row r="2" spans="1:19" ht="15.75" customHeight="1">
      <c r="A2" s="11"/>
      <c r="B2" s="12" t="s">
        <v>2</v>
      </c>
      <c r="C2" s="12" t="s">
        <v>3</v>
      </c>
      <c r="D2" s="13"/>
      <c r="E2" s="13"/>
      <c r="F2" s="14" t="s">
        <v>4</v>
      </c>
      <c r="G2" s="13"/>
      <c r="H2" s="13"/>
      <c r="I2" s="15" t="s">
        <v>5</v>
      </c>
      <c r="J2" s="15" t="s">
        <v>2</v>
      </c>
      <c r="K2" s="16" t="s">
        <v>3</v>
      </c>
      <c r="M2" s="17"/>
      <c r="N2" s="18" t="s">
        <v>2</v>
      </c>
      <c r="O2" s="19" t="s">
        <v>6</v>
      </c>
      <c r="P2" s="20" t="s">
        <v>7</v>
      </c>
    </row>
    <row r="3" spans="1:19" ht="15.75" customHeight="1">
      <c r="A3" s="21" t="s">
        <v>8</v>
      </c>
      <c r="B3" s="22">
        <f>Facturacion!E210</f>
        <v>609549.44999999995</v>
      </c>
      <c r="C3" s="22">
        <f>Facturacion!J210</f>
        <v>185429</v>
      </c>
      <c r="F3" s="23" t="s">
        <v>4</v>
      </c>
      <c r="G3" s="23">
        <v>39.200000000000003</v>
      </c>
      <c r="I3" s="24"/>
      <c r="J3" s="25">
        <f t="shared" ref="J3:J5" si="0">B3+C3*G3</f>
        <v>7878366.2500000009</v>
      </c>
      <c r="K3" s="25">
        <f t="shared" ref="K3:K5" si="1">C3+B3/G3</f>
        <v>200978.73086734692</v>
      </c>
      <c r="M3" s="10" t="s">
        <v>9</v>
      </c>
      <c r="N3" s="22">
        <f>Gastos!K1430</f>
        <v>2738459.3006800003</v>
      </c>
      <c r="O3" s="22">
        <f>Gastos!I1430</f>
        <v>153831.81999999989</v>
      </c>
      <c r="P3" s="26"/>
    </row>
    <row r="4" spans="1:19" ht="15.75" customHeight="1">
      <c r="A4" s="21" t="s">
        <v>10</v>
      </c>
      <c r="B4" s="22">
        <f>Facturacion!E209</f>
        <v>3576388.2900000005</v>
      </c>
      <c r="C4" s="22">
        <f>Facturacion!J209</f>
        <v>176750.27999999997</v>
      </c>
      <c r="F4" s="23" t="s">
        <v>4</v>
      </c>
      <c r="G4" s="23">
        <f>Facturacion!K217</f>
        <v>39.170999999999999</v>
      </c>
      <c r="I4" s="27"/>
      <c r="J4" s="25">
        <f t="shared" si="0"/>
        <v>10499873.507879999</v>
      </c>
      <c r="K4" s="25">
        <f t="shared" si="1"/>
        <v>268052.21995557938</v>
      </c>
      <c r="M4" s="10" t="s">
        <v>11</v>
      </c>
      <c r="N4" s="22">
        <f>Gastos!K1429</f>
        <v>4991092.9300899999</v>
      </c>
      <c r="O4" s="22">
        <f>Gastos!I1429</f>
        <v>124862.35999999997</v>
      </c>
      <c r="P4" s="26"/>
    </row>
    <row r="5" spans="1:19" ht="15.75" customHeight="1">
      <c r="A5" s="21" t="s">
        <v>12</v>
      </c>
      <c r="B5" s="22">
        <f>Facturacion!E208</f>
        <v>2027341.06</v>
      </c>
      <c r="C5" s="22">
        <f>Facturacion!J208</f>
        <v>194567.74</v>
      </c>
      <c r="F5" s="23" t="s">
        <v>4</v>
      </c>
      <c r="G5" s="23">
        <f>Facturacion!K216</f>
        <v>41.3</v>
      </c>
      <c r="I5" s="27"/>
      <c r="J5" s="25">
        <f t="shared" si="0"/>
        <v>10062988.721999999</v>
      </c>
      <c r="K5" s="25">
        <f t="shared" si="1"/>
        <v>243655.9012590799</v>
      </c>
      <c r="M5" s="10" t="s">
        <v>13</v>
      </c>
      <c r="N5" s="22">
        <f>Gastos!K1428</f>
        <v>5679907.2973600002</v>
      </c>
      <c r="O5" s="22">
        <f>Gastos!I1428</f>
        <v>134679.16000000003</v>
      </c>
      <c r="P5" s="28">
        <f>O5+N5/G5</f>
        <v>272207.18172784511</v>
      </c>
    </row>
    <row r="6" spans="1:19" ht="15.75" customHeight="1">
      <c r="A6" s="29"/>
      <c r="B6" s="30"/>
      <c r="C6" s="31"/>
      <c r="D6" s="31"/>
      <c r="E6" s="31"/>
      <c r="F6" s="31"/>
      <c r="G6" s="32"/>
      <c r="H6" s="31"/>
      <c r="I6" s="31"/>
      <c r="J6" s="31"/>
      <c r="K6" s="31"/>
      <c r="L6" s="31"/>
      <c r="M6" s="31"/>
      <c r="N6" s="31"/>
      <c r="O6" s="31"/>
      <c r="P6" s="33"/>
    </row>
    <row r="7" spans="1:19" ht="15.75" customHeight="1">
      <c r="B7" s="34" t="s">
        <v>14</v>
      </c>
      <c r="G7" s="10" t="s">
        <v>15</v>
      </c>
    </row>
    <row r="8" spans="1:19" ht="15.75" customHeight="1">
      <c r="A8" s="35" t="s">
        <v>16</v>
      </c>
      <c r="B8" s="36">
        <f>CtaCteMN!G2</f>
        <v>169960.10000000149</v>
      </c>
      <c r="C8" s="37"/>
      <c r="D8" s="38"/>
      <c r="E8" s="38"/>
      <c r="G8" s="38"/>
      <c r="H8" s="38"/>
      <c r="K8" s="23"/>
      <c r="L8" s="23"/>
    </row>
    <row r="9" spans="1:19" ht="15.75" customHeight="1">
      <c r="A9" s="39" t="s">
        <v>17</v>
      </c>
      <c r="B9" s="40"/>
      <c r="C9" s="41">
        <f>CtaCteUSS!D3</f>
        <v>9236.3799999993062</v>
      </c>
      <c r="D9" s="38"/>
      <c r="E9" s="38" t="s">
        <v>18</v>
      </c>
      <c r="G9" s="38" t="s">
        <v>2</v>
      </c>
      <c r="H9" s="38" t="s">
        <v>3</v>
      </c>
    </row>
    <row r="10" spans="1:19" ht="15.75" customHeight="1">
      <c r="A10" s="42" t="s">
        <v>19</v>
      </c>
      <c r="B10" s="43">
        <f>CtaCteMN!R3</f>
        <v>0</v>
      </c>
      <c r="C10" s="44"/>
      <c r="I10" s="23"/>
      <c r="J10" s="23"/>
    </row>
    <row r="11" spans="1:19" ht="15.75" customHeight="1">
      <c r="A11" s="42" t="s">
        <v>20</v>
      </c>
      <c r="B11" s="43"/>
      <c r="C11" s="44">
        <f>CtaCteUSS!L4</f>
        <v>29377.599999999919</v>
      </c>
      <c r="I11" s="23"/>
      <c r="J11" s="23"/>
      <c r="L11" s="45"/>
      <c r="M11" s="45"/>
      <c r="N11" s="45"/>
      <c r="O11" s="45"/>
      <c r="P11" s="45"/>
      <c r="Q11" s="45"/>
      <c r="R11" s="45"/>
      <c r="S11" s="45"/>
    </row>
    <row r="12" spans="1:19" ht="15.75" customHeight="1">
      <c r="A12" s="46" t="s">
        <v>21</v>
      </c>
      <c r="B12" s="47"/>
      <c r="C12" s="48">
        <v>0</v>
      </c>
      <c r="D12" s="22">
        <f>CtaCteUSS!S4</f>
        <v>-16753.330000000002</v>
      </c>
      <c r="I12" s="23"/>
      <c r="J12" s="23"/>
      <c r="L12" s="45"/>
      <c r="M12" s="49"/>
      <c r="N12" s="45"/>
      <c r="O12" s="45"/>
      <c r="P12" s="45"/>
      <c r="Q12" s="45"/>
      <c r="R12" s="45"/>
      <c r="S12" s="45"/>
    </row>
    <row r="13" spans="1:19" ht="15.75" customHeight="1">
      <c r="A13" s="50" t="s">
        <v>22</v>
      </c>
      <c r="B13" s="51"/>
      <c r="C13" s="52">
        <f>CtaCteUSS!Z4</f>
        <v>41.960000000035507</v>
      </c>
      <c r="I13" s="23"/>
      <c r="J13" s="23"/>
      <c r="L13" s="45"/>
      <c r="M13" s="49"/>
      <c r="N13" s="45"/>
      <c r="O13" s="45"/>
      <c r="P13" s="45"/>
      <c r="Q13" s="45"/>
      <c r="R13" s="45"/>
      <c r="S13" s="45"/>
    </row>
    <row r="14" spans="1:19" ht="15.75" customHeight="1">
      <c r="A14" s="10" t="s">
        <v>23</v>
      </c>
      <c r="B14" s="53">
        <f>Facturacion!E215</f>
        <v>323713.17739999999</v>
      </c>
      <c r="C14" s="53">
        <f>Facturacion!E216</f>
        <v>25557.7</v>
      </c>
      <c r="I14" s="23"/>
      <c r="J14" s="23"/>
      <c r="L14" s="45"/>
      <c r="M14" s="45"/>
      <c r="N14" s="45"/>
      <c r="O14" s="45"/>
      <c r="P14" s="800"/>
      <c r="Q14" s="801"/>
      <c r="R14" s="801"/>
      <c r="S14" s="801"/>
    </row>
    <row r="15" spans="1:19" ht="15.75" customHeight="1">
      <c r="A15" s="10" t="s">
        <v>24</v>
      </c>
      <c r="B15" s="53">
        <f>CertificadosFinal!E50</f>
        <v>66071.501499999984</v>
      </c>
      <c r="C15" s="53"/>
      <c r="G15" s="10"/>
      <c r="I15" s="23"/>
      <c r="J15" s="23"/>
      <c r="L15" s="54"/>
      <c r="M15" s="55"/>
      <c r="N15" s="54"/>
      <c r="O15" s="54"/>
      <c r="P15" s="54"/>
      <c r="Q15" s="54"/>
      <c r="R15" s="54"/>
      <c r="S15" s="54"/>
    </row>
    <row r="16" spans="1:19" ht="15.75" customHeight="1">
      <c r="A16" s="10" t="s">
        <v>25</v>
      </c>
      <c r="B16" s="53">
        <f t="shared" ref="B16:C16" si="2">G16*$E16</f>
        <v>0</v>
      </c>
      <c r="C16" s="53">
        <f t="shared" si="2"/>
        <v>0</v>
      </c>
      <c r="D16" s="56"/>
      <c r="E16" s="56">
        <v>1</v>
      </c>
      <c r="F16" s="56"/>
      <c r="G16" s="57">
        <f>Prestamos!I4</f>
        <v>0</v>
      </c>
      <c r="H16" s="57">
        <f>Prestamos!I19</f>
        <v>0</v>
      </c>
      <c r="I16" s="56" t="s">
        <v>26</v>
      </c>
      <c r="J16" s="23"/>
      <c r="L16" s="45"/>
      <c r="M16" s="58"/>
      <c r="N16" s="45"/>
      <c r="O16" s="45"/>
      <c r="P16" s="45"/>
      <c r="Q16" s="45"/>
      <c r="R16" s="45"/>
      <c r="S16" s="45"/>
    </row>
    <row r="17" spans="1:19" ht="15.75" customHeight="1">
      <c r="A17" s="10" t="s">
        <v>27</v>
      </c>
      <c r="B17" s="23">
        <v>0</v>
      </c>
      <c r="I17" s="23"/>
      <c r="J17" s="23"/>
      <c r="L17" s="45"/>
      <c r="M17" s="59"/>
      <c r="N17" s="45"/>
      <c r="O17" s="45"/>
      <c r="P17" s="45"/>
      <c r="Q17" s="45"/>
      <c r="R17" s="45"/>
      <c r="S17" s="45"/>
    </row>
    <row r="18" spans="1:19" ht="15.75" customHeight="1">
      <c r="A18" s="60" t="s">
        <v>28</v>
      </c>
      <c r="B18" s="61">
        <v>0</v>
      </c>
      <c r="C18" s="61"/>
      <c r="D18" s="23"/>
      <c r="E18" s="23"/>
      <c r="G18" s="23"/>
      <c r="H18" s="23"/>
      <c r="I18" s="23"/>
      <c r="J18" s="23"/>
      <c r="L18" s="45"/>
      <c r="M18" s="10"/>
      <c r="N18" s="23"/>
      <c r="O18" s="45"/>
      <c r="P18" s="45"/>
      <c r="Q18" s="45"/>
      <c r="R18" s="45"/>
      <c r="S18" s="45"/>
    </row>
    <row r="19" spans="1:19" ht="15.75" customHeight="1">
      <c r="A19" s="60" t="s">
        <v>29</v>
      </c>
      <c r="B19" s="61">
        <f t="shared" ref="B19:C19" si="3">G19*$E19</f>
        <v>0</v>
      </c>
      <c r="C19" s="61">
        <f t="shared" si="3"/>
        <v>0</v>
      </c>
      <c r="D19" s="62" t="s">
        <v>30</v>
      </c>
      <c r="E19" s="23">
        <v>0</v>
      </c>
      <c r="G19" s="23">
        <v>0</v>
      </c>
      <c r="H19" s="23">
        <v>65466</v>
      </c>
      <c r="I19" s="23"/>
      <c r="J19" s="23"/>
      <c r="L19" s="45"/>
      <c r="N19" s="23"/>
      <c r="O19" s="45"/>
      <c r="P19" s="45"/>
      <c r="Q19" s="45"/>
      <c r="R19" s="45"/>
      <c r="S19" s="45"/>
    </row>
    <row r="20" spans="1:19" ht="15.75" customHeight="1">
      <c r="A20" s="63" t="s">
        <v>31</v>
      </c>
      <c r="D20" s="64" t="s">
        <v>3</v>
      </c>
      <c r="I20" s="23"/>
      <c r="J20" s="23"/>
      <c r="L20" s="45"/>
      <c r="O20" s="45"/>
      <c r="P20" s="45"/>
      <c r="Q20" s="45"/>
      <c r="R20" s="45"/>
      <c r="S20" s="45"/>
    </row>
    <row r="21" spans="1:19" ht="15.75" customHeight="1">
      <c r="A21" s="65" t="s">
        <v>32</v>
      </c>
      <c r="B21" s="66">
        <f>SUM(B8:B19)</f>
        <v>559744.77890000143</v>
      </c>
      <c r="C21" s="66">
        <f>SUM(C8:C19)</f>
        <v>64213.639999999257</v>
      </c>
      <c r="D21" s="67">
        <f>B21/G5+C21</f>
        <v>77766.782346246269</v>
      </c>
      <c r="I21" s="23"/>
      <c r="J21" s="23"/>
      <c r="L21" s="45"/>
      <c r="M21" s="68"/>
      <c r="N21" s="45"/>
      <c r="O21" s="45"/>
      <c r="P21" s="45"/>
      <c r="Q21" s="45"/>
      <c r="R21" s="45"/>
      <c r="S21" s="45"/>
    </row>
    <row r="22" spans="1:19" ht="15.75" customHeight="1">
      <c r="B22" s="34"/>
      <c r="I22" s="23"/>
      <c r="J22" s="23"/>
      <c r="M22" s="45"/>
      <c r="N22" s="45"/>
    </row>
    <row r="23" spans="1:19" ht="15.75" customHeight="1">
      <c r="B23" s="34" t="s">
        <v>33</v>
      </c>
      <c r="G23" s="10" t="s">
        <v>15</v>
      </c>
      <c r="I23" s="23"/>
      <c r="J23" s="23"/>
      <c r="N23" s="23"/>
    </row>
    <row r="24" spans="1:19" ht="15.75" customHeight="1">
      <c r="A24" s="10" t="s">
        <v>34</v>
      </c>
      <c r="C24" s="69">
        <v>0</v>
      </c>
      <c r="D24" s="38"/>
      <c r="E24" s="38" t="s">
        <v>18</v>
      </c>
      <c r="G24" s="38" t="s">
        <v>2</v>
      </c>
      <c r="H24" s="38" t="s">
        <v>3</v>
      </c>
      <c r="I24" s="23"/>
      <c r="J24" s="23"/>
    </row>
    <row r="25" spans="1:19" ht="15.75" customHeight="1">
      <c r="A25" s="10" t="s">
        <v>35</v>
      </c>
      <c r="B25" s="69">
        <v>0</v>
      </c>
      <c r="C25" s="69"/>
      <c r="I25" s="23"/>
    </row>
    <row r="26" spans="1:19" ht="15.75" customHeight="1">
      <c r="A26" s="10" t="s">
        <v>36</v>
      </c>
      <c r="B26" s="69">
        <v>0</v>
      </c>
      <c r="C26" s="69">
        <v>15000</v>
      </c>
      <c r="G26" s="10"/>
      <c r="I26" s="23"/>
      <c r="J26" s="23"/>
      <c r="M26" s="45"/>
      <c r="N26" s="45"/>
    </row>
    <row r="27" spans="1:19" ht="15.75" customHeight="1">
      <c r="A27" s="10" t="s">
        <v>37</v>
      </c>
      <c r="B27" s="69">
        <f>G27*$E27</f>
        <v>0</v>
      </c>
      <c r="C27" s="69"/>
      <c r="E27" s="23">
        <v>0</v>
      </c>
      <c r="G27" s="23">
        <v>3193</v>
      </c>
      <c r="I27" s="70"/>
      <c r="J27" s="23"/>
      <c r="M27" s="23"/>
    </row>
    <row r="28" spans="1:19" ht="15.75" customHeight="1">
      <c r="A28" s="10" t="s">
        <v>38</v>
      </c>
      <c r="B28" s="69">
        <v>0</v>
      </c>
      <c r="C28" s="69">
        <f>Prestamos!H19</f>
        <v>13784.02</v>
      </c>
      <c r="G28" s="10"/>
      <c r="I28" s="70"/>
      <c r="J28" s="23"/>
      <c r="N28" s="23"/>
    </row>
    <row r="29" spans="1:19" ht="15.75" customHeight="1">
      <c r="A29" s="10" t="s">
        <v>39</v>
      </c>
      <c r="B29" s="69">
        <f>APagar!H3</f>
        <v>0</v>
      </c>
      <c r="C29" s="69">
        <f>APagar!I3</f>
        <v>5750</v>
      </c>
      <c r="I29" s="70"/>
      <c r="J29" s="23"/>
      <c r="N29" s="23"/>
    </row>
    <row r="30" spans="1:19" ht="15.75" customHeight="1">
      <c r="A30" s="60" t="s">
        <v>40</v>
      </c>
      <c r="B30" s="61">
        <v>0</v>
      </c>
      <c r="C30" s="61">
        <v>12564</v>
      </c>
      <c r="D30" s="23"/>
      <c r="E30" s="23"/>
      <c r="G30" s="22"/>
      <c r="H30" s="22"/>
      <c r="I30" s="71"/>
    </row>
    <row r="31" spans="1:19" ht="15.75" customHeight="1">
      <c r="A31" s="72" t="s">
        <v>41</v>
      </c>
      <c r="B31" s="61">
        <f t="shared" ref="B31:C31" si="4">G31*$E31</f>
        <v>0</v>
      </c>
      <c r="C31" s="61">
        <f t="shared" si="4"/>
        <v>0</v>
      </c>
      <c r="D31" s="23"/>
      <c r="E31" s="23">
        <v>0</v>
      </c>
      <c r="G31" s="22"/>
      <c r="H31" s="22"/>
      <c r="I31" s="71"/>
    </row>
    <row r="32" spans="1:19" ht="15.75" customHeight="1">
      <c r="A32" s="72" t="s">
        <v>42</v>
      </c>
      <c r="B32" s="61">
        <f t="shared" ref="B32:B35" si="5">G32*$E32</f>
        <v>0</v>
      </c>
      <c r="C32" s="61">
        <f>H32*$G32</f>
        <v>0</v>
      </c>
      <c r="D32" s="73"/>
      <c r="E32" s="73">
        <v>0</v>
      </c>
      <c r="F32" s="73"/>
      <c r="G32" s="69">
        <v>15223</v>
      </c>
      <c r="H32" s="22"/>
      <c r="I32" s="71"/>
      <c r="J32" s="23"/>
      <c r="L32" s="22"/>
    </row>
    <row r="33" spans="1:15" ht="15.75" customHeight="1">
      <c r="A33" s="60" t="s">
        <v>43</v>
      </c>
      <c r="B33" s="61">
        <f t="shared" si="5"/>
        <v>0</v>
      </c>
      <c r="C33" s="61">
        <f t="shared" ref="C33:C35" si="6">H33*$E33</f>
        <v>0</v>
      </c>
      <c r="D33" s="23"/>
      <c r="E33" s="23">
        <v>0</v>
      </c>
      <c r="G33" s="22">
        <v>6100</v>
      </c>
      <c r="H33" s="22">
        <v>0</v>
      </c>
      <c r="I33" s="43"/>
      <c r="J33" s="23"/>
      <c r="L33" s="74"/>
      <c r="M33" s="23"/>
    </row>
    <row r="34" spans="1:15" ht="15.75" customHeight="1">
      <c r="A34" s="60" t="s">
        <v>44</v>
      </c>
      <c r="B34" s="61">
        <f t="shared" si="5"/>
        <v>0</v>
      </c>
      <c r="C34" s="61">
        <f t="shared" si="6"/>
        <v>0</v>
      </c>
      <c r="D34" s="23"/>
      <c r="E34" s="23">
        <v>0</v>
      </c>
      <c r="G34" s="22"/>
      <c r="H34" s="22">
        <v>9523.81</v>
      </c>
      <c r="I34" s="71"/>
      <c r="J34" s="23"/>
      <c r="L34" s="74"/>
      <c r="M34" s="23"/>
    </row>
    <row r="35" spans="1:15" ht="15.75" customHeight="1">
      <c r="A35" s="10" t="s">
        <v>45</v>
      </c>
      <c r="B35" s="61">
        <f t="shared" si="5"/>
        <v>0</v>
      </c>
      <c r="C35" s="61">
        <f t="shared" si="6"/>
        <v>30374.92</v>
      </c>
      <c r="D35" s="62" t="s">
        <v>30</v>
      </c>
      <c r="E35" s="23">
        <v>1</v>
      </c>
      <c r="G35" s="22"/>
      <c r="H35" s="22">
        <f>31020.5-645.58</f>
        <v>30374.92</v>
      </c>
      <c r="I35" s="71"/>
      <c r="J35" s="23"/>
      <c r="L35" s="74"/>
      <c r="M35" s="23"/>
    </row>
    <row r="36" spans="1:15" ht="15.75" customHeight="1">
      <c r="A36" s="63" t="s">
        <v>31</v>
      </c>
      <c r="D36" s="64" t="s">
        <v>3</v>
      </c>
      <c r="G36" s="75"/>
      <c r="H36" s="22"/>
      <c r="I36" s="69"/>
      <c r="J36" s="23"/>
      <c r="K36" s="23"/>
      <c r="L36" s="74"/>
      <c r="M36" s="23"/>
    </row>
    <row r="37" spans="1:15" ht="15.75" customHeight="1">
      <c r="A37" s="65" t="s">
        <v>46</v>
      </c>
      <c r="B37" s="66">
        <f>SUM(B24:B35)</f>
        <v>0</v>
      </c>
      <c r="C37" s="66">
        <f>SUM(C24:C35)</f>
        <v>77472.94</v>
      </c>
      <c r="D37" s="67">
        <f>B37/G5+C37</f>
        <v>77472.94</v>
      </c>
      <c r="I37" s="73"/>
      <c r="J37" s="23"/>
      <c r="K37" s="23"/>
      <c r="L37" s="74"/>
      <c r="M37" s="23"/>
    </row>
    <row r="38" spans="1:15" ht="15.75" customHeight="1">
      <c r="A38" s="45"/>
      <c r="B38" s="76" t="s">
        <v>2</v>
      </c>
      <c r="C38" s="76" t="s">
        <v>3</v>
      </c>
      <c r="I38" s="73"/>
      <c r="J38" s="23"/>
      <c r="K38" s="23"/>
      <c r="M38" s="23"/>
    </row>
    <row r="39" spans="1:15" ht="15.75" customHeight="1">
      <c r="I39" s="73"/>
      <c r="J39" s="23"/>
      <c r="K39" s="23"/>
      <c r="L39" s="74"/>
      <c r="M39" s="23"/>
    </row>
    <row r="40" spans="1:15" ht="15.75" customHeight="1">
      <c r="A40" s="10"/>
      <c r="B40" s="73"/>
      <c r="G40" s="10"/>
      <c r="I40" s="73"/>
      <c r="J40" s="23"/>
      <c r="K40" s="23"/>
    </row>
    <row r="41" spans="1:15" ht="15.75" customHeight="1">
      <c r="A41" s="10"/>
      <c r="D41" s="62" t="s">
        <v>30</v>
      </c>
      <c r="G41" s="77" t="s">
        <v>47</v>
      </c>
      <c r="I41" s="23"/>
      <c r="J41" s="23"/>
      <c r="K41" s="10"/>
    </row>
    <row r="42" spans="1:15" ht="15.75" customHeight="1">
      <c r="A42" s="65" t="s">
        <v>48</v>
      </c>
      <c r="B42" s="66">
        <f>B21-B37</f>
        <v>559744.77890000143</v>
      </c>
      <c r="C42" s="66">
        <f>C21-C37</f>
        <v>-13259.300000000745</v>
      </c>
      <c r="D42" s="64" t="s">
        <v>3</v>
      </c>
      <c r="G42" s="78" t="s">
        <v>49</v>
      </c>
      <c r="I42" s="23"/>
      <c r="J42" s="10"/>
      <c r="N42" s="10"/>
      <c r="O42" s="10"/>
    </row>
    <row r="43" spans="1:15" ht="15.75" customHeight="1">
      <c r="A43" s="10"/>
      <c r="B43" s="38" t="s">
        <v>2</v>
      </c>
      <c r="C43" s="38" t="s">
        <v>3</v>
      </c>
      <c r="D43" s="67">
        <f>D21-D37</f>
        <v>293.84234624626697</v>
      </c>
      <c r="G43" s="79">
        <f>(B42/G3) + C42</f>
        <v>1019.9035433666377</v>
      </c>
      <c r="H43" s="23"/>
      <c r="J43" s="23"/>
    </row>
    <row r="44" spans="1:15" ht="15.75" customHeight="1">
      <c r="A44" s="10"/>
      <c r="I44" s="23"/>
      <c r="J44" s="23"/>
    </row>
    <row r="45" spans="1:15" ht="15.75" customHeight="1">
      <c r="A45" s="10"/>
      <c r="I45" s="23"/>
      <c r="J45" s="23"/>
      <c r="M45" s="10"/>
    </row>
    <row r="46" spans="1:15" ht="15.75" customHeight="1">
      <c r="A46" s="10"/>
      <c r="G46" s="23"/>
      <c r="I46" s="23"/>
      <c r="J46" s="23"/>
    </row>
    <row r="47" spans="1:15" ht="15.75" customHeight="1">
      <c r="A47" s="10"/>
      <c r="B47" s="10"/>
      <c r="C47" s="10"/>
      <c r="D47" s="10"/>
      <c r="G47" s="23"/>
      <c r="H47" s="23"/>
      <c r="I47" s="23"/>
      <c r="J47" s="23"/>
      <c r="K47" s="23"/>
      <c r="L47" s="23"/>
      <c r="M47" s="23"/>
    </row>
    <row r="48" spans="1:15" ht="15.75" customHeight="1">
      <c r="A48" s="23"/>
      <c r="B48" s="23"/>
      <c r="D48" s="23"/>
      <c r="E48" s="23"/>
      <c r="I48" s="23"/>
      <c r="K48" s="23"/>
      <c r="L48" s="23"/>
      <c r="M48" s="23"/>
    </row>
    <row r="49" spans="1:13" ht="15.75" customHeight="1">
      <c r="A49" s="23"/>
      <c r="B49" s="23"/>
      <c r="C49" s="23"/>
      <c r="E49" s="23"/>
      <c r="J49" s="23"/>
      <c r="K49" s="23"/>
      <c r="L49" s="74"/>
      <c r="M49" s="23"/>
    </row>
    <row r="50" spans="1:13" ht="15.75" customHeight="1">
      <c r="A50" s="23"/>
      <c r="B50" s="23"/>
      <c r="C50" s="23"/>
      <c r="J50" s="23"/>
      <c r="K50" s="23"/>
      <c r="L50" s="74"/>
      <c r="M50" s="23"/>
    </row>
    <row r="51" spans="1:13" ht="15.75" customHeight="1">
      <c r="A51" s="23"/>
      <c r="B51" s="23"/>
      <c r="C51" s="23"/>
      <c r="J51" s="23"/>
      <c r="K51" s="23"/>
      <c r="L51" s="74"/>
      <c r="M51" s="23"/>
    </row>
    <row r="52" spans="1:13" ht="15.75" customHeight="1">
      <c r="A52" s="23"/>
      <c r="B52" s="23"/>
      <c r="D52" s="23"/>
      <c r="I52" s="23"/>
      <c r="K52" s="23"/>
      <c r="L52" s="23"/>
      <c r="M52" s="23"/>
    </row>
    <row r="53" spans="1:13" ht="15.75" customHeight="1">
      <c r="A53" s="10"/>
      <c r="I53" s="23"/>
      <c r="K53" s="23"/>
      <c r="L53" s="23"/>
      <c r="M53" s="23"/>
    </row>
    <row r="54" spans="1:13" ht="15.75" customHeight="1">
      <c r="A54" s="10"/>
      <c r="G54" s="23"/>
      <c r="H54" s="23"/>
      <c r="J54" s="23"/>
      <c r="K54" s="23"/>
      <c r="L54" s="23"/>
      <c r="M54" s="23"/>
    </row>
    <row r="55" spans="1:13" ht="15.75" customHeight="1">
      <c r="A55" s="23"/>
      <c r="B55" s="23"/>
      <c r="G55" s="55"/>
      <c r="J55" s="10"/>
      <c r="K55" s="10"/>
      <c r="L55" s="23"/>
      <c r="M55" s="23"/>
    </row>
    <row r="56" spans="1:13" ht="15.75" customHeight="1">
      <c r="A56" s="23"/>
      <c r="B56" s="23"/>
      <c r="G56" s="23"/>
    </row>
    <row r="57" spans="1:13" ht="15.75" customHeight="1">
      <c r="A57" s="23"/>
      <c r="B57" s="23"/>
      <c r="I57" s="22"/>
    </row>
    <row r="58" spans="1:13" ht="15.75" customHeight="1">
      <c r="A58" s="10"/>
      <c r="B58" s="23"/>
      <c r="I58" s="22"/>
    </row>
    <row r="59" spans="1:13" ht="15.75" customHeight="1">
      <c r="A59" s="23"/>
      <c r="B59" s="23"/>
    </row>
    <row r="60" spans="1:13" ht="15.75" customHeight="1">
      <c r="A60" s="10"/>
    </row>
    <row r="61" spans="1:13" ht="15.75" customHeight="1">
      <c r="A61" s="10"/>
    </row>
    <row r="62" spans="1:13" ht="15.75" customHeight="1">
      <c r="A62" s="10"/>
    </row>
    <row r="63" spans="1:13" ht="13">
      <c r="A63" s="10"/>
    </row>
    <row r="64" spans="1:13" ht="13">
      <c r="A64" s="10"/>
    </row>
    <row r="65" spans="1:1" ht="13">
      <c r="A65" s="10"/>
    </row>
    <row r="66" spans="1:1" ht="13">
      <c r="A66" s="10"/>
    </row>
    <row r="67" spans="1:1" ht="13">
      <c r="A67" s="10"/>
    </row>
    <row r="68" spans="1:1" ht="13">
      <c r="A68" s="10"/>
    </row>
    <row r="69" spans="1:1" ht="13">
      <c r="A69" s="10"/>
    </row>
    <row r="70" spans="1:1" ht="13">
      <c r="A70" s="10"/>
    </row>
    <row r="71" spans="1:1" ht="13">
      <c r="A71" s="10"/>
    </row>
    <row r="72" spans="1:1" ht="13">
      <c r="A72" s="10"/>
    </row>
    <row r="73" spans="1:1" ht="13">
      <c r="A73" s="10"/>
    </row>
    <row r="74" spans="1:1" ht="13">
      <c r="A74" s="10"/>
    </row>
    <row r="75" spans="1:1" ht="13">
      <c r="A75" s="10"/>
    </row>
    <row r="76" spans="1:1" ht="13">
      <c r="A76" s="10"/>
    </row>
    <row r="77" spans="1:1" ht="13">
      <c r="A77" s="10"/>
    </row>
    <row r="78" spans="1:1" ht="13">
      <c r="A78" s="10"/>
    </row>
    <row r="79" spans="1:1" ht="13">
      <c r="A79" s="10"/>
    </row>
    <row r="80" spans="1:1" ht="13">
      <c r="A80" s="10"/>
    </row>
    <row r="81" spans="1:1" ht="13">
      <c r="A81" s="10"/>
    </row>
    <row r="82" spans="1:1" ht="13">
      <c r="A82" s="10"/>
    </row>
    <row r="83" spans="1:1" ht="13">
      <c r="A83" s="10"/>
    </row>
    <row r="84" spans="1:1" ht="13">
      <c r="A84" s="10"/>
    </row>
    <row r="85" spans="1:1" ht="13">
      <c r="A85" s="10"/>
    </row>
    <row r="86" spans="1:1" ht="13">
      <c r="A86" s="10"/>
    </row>
    <row r="87" spans="1:1" ht="13">
      <c r="A87" s="10"/>
    </row>
    <row r="88" spans="1:1" ht="13">
      <c r="A88" s="10"/>
    </row>
    <row r="89" spans="1:1" ht="13">
      <c r="A89" s="10"/>
    </row>
    <row r="90" spans="1:1" ht="13">
      <c r="A90" s="10"/>
    </row>
    <row r="91" spans="1:1" ht="13">
      <c r="A91" s="10"/>
    </row>
    <row r="92" spans="1:1" ht="13">
      <c r="A92" s="10"/>
    </row>
    <row r="93" spans="1:1" ht="13">
      <c r="A93" s="10"/>
    </row>
    <row r="94" spans="1:1" ht="13">
      <c r="A94" s="10"/>
    </row>
    <row r="95" spans="1:1" ht="13">
      <c r="A95" s="10"/>
    </row>
    <row r="96" spans="1:1" ht="13">
      <c r="A96" s="10"/>
    </row>
    <row r="97" spans="1:1" ht="13">
      <c r="A97" s="10"/>
    </row>
    <row r="98" spans="1:1" ht="13">
      <c r="A98" s="10"/>
    </row>
    <row r="99" spans="1:1" ht="13">
      <c r="A99" s="10"/>
    </row>
    <row r="100" spans="1:1" ht="13">
      <c r="A100" s="10"/>
    </row>
    <row r="101" spans="1:1" ht="13">
      <c r="A101" s="10"/>
    </row>
    <row r="102" spans="1:1" ht="13">
      <c r="A102" s="10"/>
    </row>
    <row r="103" spans="1:1" ht="13">
      <c r="A103" s="10"/>
    </row>
    <row r="104" spans="1:1" ht="13">
      <c r="A104" s="10"/>
    </row>
    <row r="105" spans="1:1" ht="13">
      <c r="A105" s="10"/>
    </row>
    <row r="106" spans="1:1" ht="13">
      <c r="A106" s="10"/>
    </row>
    <row r="107" spans="1:1" ht="13">
      <c r="A107" s="10"/>
    </row>
    <row r="108" spans="1:1" ht="13">
      <c r="A108" s="10"/>
    </row>
    <row r="109" spans="1:1" ht="13">
      <c r="A109" s="10"/>
    </row>
    <row r="110" spans="1:1" ht="13">
      <c r="A110" s="10"/>
    </row>
    <row r="111" spans="1:1" ht="13">
      <c r="A111" s="10"/>
    </row>
    <row r="112" spans="1:1" ht="13">
      <c r="A112" s="10"/>
    </row>
    <row r="113" spans="1:1" ht="13">
      <c r="A113" s="10"/>
    </row>
    <row r="114" spans="1:1" ht="13">
      <c r="A114" s="10"/>
    </row>
    <row r="115" spans="1:1" ht="13">
      <c r="A115" s="10"/>
    </row>
    <row r="116" spans="1:1" ht="13">
      <c r="A116" s="10"/>
    </row>
    <row r="117" spans="1:1" ht="13">
      <c r="A117" s="10"/>
    </row>
    <row r="118" spans="1:1" ht="13">
      <c r="A118" s="10"/>
    </row>
    <row r="119" spans="1:1" ht="13">
      <c r="A119" s="10"/>
    </row>
    <row r="120" spans="1:1" ht="13">
      <c r="A120" s="10"/>
    </row>
    <row r="121" spans="1:1" ht="13">
      <c r="A121" s="10"/>
    </row>
    <row r="122" spans="1:1" ht="13">
      <c r="A122" s="10"/>
    </row>
    <row r="123" spans="1:1" ht="13">
      <c r="A123" s="10"/>
    </row>
    <row r="124" spans="1:1" ht="13">
      <c r="A124" s="10"/>
    </row>
    <row r="125" spans="1:1" ht="13">
      <c r="A125" s="10"/>
    </row>
    <row r="126" spans="1:1" ht="13">
      <c r="A126" s="10"/>
    </row>
    <row r="127" spans="1:1" ht="13">
      <c r="A127" s="10"/>
    </row>
    <row r="128" spans="1:1" ht="13">
      <c r="A128" s="10"/>
    </row>
    <row r="129" spans="1:1" ht="13">
      <c r="A129" s="10"/>
    </row>
    <row r="130" spans="1:1" ht="13">
      <c r="A130" s="10"/>
    </row>
    <row r="131" spans="1:1" ht="13">
      <c r="A131" s="10"/>
    </row>
    <row r="132" spans="1:1" ht="13">
      <c r="A132" s="10"/>
    </row>
    <row r="133" spans="1:1" ht="13">
      <c r="A133" s="10"/>
    </row>
    <row r="134" spans="1:1" ht="13">
      <c r="A134" s="10"/>
    </row>
    <row r="135" spans="1:1" ht="13">
      <c r="A135" s="10"/>
    </row>
    <row r="136" spans="1:1" ht="13">
      <c r="A136" s="10"/>
    </row>
    <row r="137" spans="1:1" ht="13">
      <c r="A137" s="10"/>
    </row>
    <row r="138" spans="1:1" ht="13">
      <c r="A138" s="10"/>
    </row>
    <row r="139" spans="1:1" ht="13">
      <c r="A139" s="10"/>
    </row>
    <row r="140" spans="1:1" ht="13">
      <c r="A140" s="10"/>
    </row>
    <row r="141" spans="1:1" ht="13">
      <c r="A141" s="10"/>
    </row>
    <row r="142" spans="1:1" ht="13">
      <c r="A142" s="10"/>
    </row>
    <row r="143" spans="1:1" ht="13">
      <c r="A143" s="10"/>
    </row>
    <row r="144" spans="1:1" ht="13">
      <c r="A144" s="10"/>
    </row>
    <row r="145" spans="1:1" ht="13">
      <c r="A145" s="10"/>
    </row>
    <row r="146" spans="1:1" ht="13">
      <c r="A146" s="10"/>
    </row>
    <row r="147" spans="1:1" ht="13">
      <c r="A147" s="10"/>
    </row>
    <row r="148" spans="1:1" ht="13">
      <c r="A148" s="10"/>
    </row>
    <row r="149" spans="1:1" ht="13">
      <c r="A149" s="10"/>
    </row>
    <row r="150" spans="1:1" ht="13">
      <c r="A150" s="10"/>
    </row>
    <row r="151" spans="1:1" ht="13">
      <c r="A151" s="10"/>
    </row>
    <row r="152" spans="1:1" ht="13">
      <c r="A152" s="10"/>
    </row>
    <row r="153" spans="1:1" ht="13">
      <c r="A153" s="10"/>
    </row>
    <row r="154" spans="1:1" ht="13">
      <c r="A154" s="10"/>
    </row>
    <row r="155" spans="1:1" ht="13">
      <c r="A155" s="10"/>
    </row>
    <row r="156" spans="1:1" ht="13">
      <c r="A156" s="10"/>
    </row>
    <row r="157" spans="1:1" ht="13">
      <c r="A157" s="10"/>
    </row>
    <row r="158" spans="1:1" ht="13">
      <c r="A158" s="10"/>
    </row>
    <row r="159" spans="1:1" ht="13">
      <c r="A159" s="10"/>
    </row>
    <row r="160" spans="1:1" ht="13">
      <c r="A160" s="10"/>
    </row>
    <row r="161" spans="1:1" ht="13">
      <c r="A161" s="10"/>
    </row>
    <row r="162" spans="1:1" ht="13">
      <c r="A162" s="10"/>
    </row>
    <row r="163" spans="1:1" ht="13">
      <c r="A163" s="10"/>
    </row>
    <row r="164" spans="1:1" ht="13">
      <c r="A164" s="10"/>
    </row>
    <row r="165" spans="1:1" ht="13">
      <c r="A165" s="10"/>
    </row>
    <row r="166" spans="1:1" ht="13">
      <c r="A166" s="10"/>
    </row>
    <row r="167" spans="1:1" ht="13">
      <c r="A167" s="10"/>
    </row>
    <row r="168" spans="1:1" ht="13">
      <c r="A168" s="10"/>
    </row>
    <row r="169" spans="1:1" ht="13">
      <c r="A169" s="10"/>
    </row>
    <row r="170" spans="1:1" ht="13">
      <c r="A170" s="10"/>
    </row>
    <row r="171" spans="1:1" ht="13">
      <c r="A171" s="10"/>
    </row>
    <row r="172" spans="1:1" ht="13">
      <c r="A172" s="10"/>
    </row>
    <row r="173" spans="1:1" ht="13">
      <c r="A173" s="10"/>
    </row>
    <row r="174" spans="1:1" ht="13">
      <c r="A174" s="10"/>
    </row>
    <row r="175" spans="1:1" ht="13">
      <c r="A175" s="10"/>
    </row>
    <row r="176" spans="1:1" ht="13">
      <c r="A176" s="10"/>
    </row>
    <row r="177" spans="1:1" ht="13">
      <c r="A177" s="10"/>
    </row>
    <row r="178" spans="1:1" ht="13">
      <c r="A178" s="10"/>
    </row>
    <row r="179" spans="1:1" ht="13">
      <c r="A179" s="10"/>
    </row>
    <row r="180" spans="1:1" ht="13">
      <c r="A180" s="10"/>
    </row>
    <row r="181" spans="1:1" ht="13">
      <c r="A181" s="10"/>
    </row>
    <row r="182" spans="1:1" ht="13">
      <c r="A182" s="10"/>
    </row>
    <row r="183" spans="1:1" ht="13">
      <c r="A183" s="10"/>
    </row>
    <row r="184" spans="1:1" ht="13">
      <c r="A184" s="10"/>
    </row>
    <row r="185" spans="1:1" ht="13">
      <c r="A185" s="10"/>
    </row>
    <row r="186" spans="1:1" ht="13">
      <c r="A186" s="10"/>
    </row>
    <row r="187" spans="1:1" ht="13">
      <c r="A187" s="10"/>
    </row>
    <row r="188" spans="1:1" ht="13">
      <c r="A188" s="10"/>
    </row>
    <row r="189" spans="1:1" ht="13">
      <c r="A189" s="10"/>
    </row>
    <row r="190" spans="1:1" ht="13">
      <c r="A190" s="10"/>
    </row>
    <row r="191" spans="1:1" ht="13">
      <c r="A191" s="10"/>
    </row>
    <row r="192" spans="1:1" ht="13">
      <c r="A192" s="10"/>
    </row>
    <row r="193" spans="1:1" ht="13">
      <c r="A193" s="10"/>
    </row>
    <row r="194" spans="1:1" ht="13">
      <c r="A194" s="10"/>
    </row>
    <row r="195" spans="1:1" ht="13">
      <c r="A195" s="10"/>
    </row>
    <row r="196" spans="1:1" ht="13">
      <c r="A196" s="10"/>
    </row>
    <row r="197" spans="1:1" ht="13">
      <c r="A197" s="10"/>
    </row>
    <row r="198" spans="1:1" ht="13">
      <c r="A198" s="10"/>
    </row>
    <row r="199" spans="1:1" ht="13">
      <c r="A199" s="10"/>
    </row>
    <row r="200" spans="1:1" ht="13">
      <c r="A200" s="10"/>
    </row>
    <row r="201" spans="1:1" ht="13">
      <c r="A201" s="10"/>
    </row>
    <row r="202" spans="1:1" ht="13">
      <c r="A202" s="10"/>
    </row>
    <row r="203" spans="1:1" ht="13">
      <c r="A203" s="10"/>
    </row>
    <row r="204" spans="1:1" ht="13">
      <c r="A204" s="10"/>
    </row>
    <row r="205" spans="1:1" ht="13">
      <c r="A205" s="10"/>
    </row>
    <row r="206" spans="1:1" ht="13">
      <c r="A206" s="10"/>
    </row>
    <row r="207" spans="1:1" ht="13">
      <c r="A207" s="10"/>
    </row>
    <row r="208" spans="1:1" ht="13">
      <c r="A208" s="10"/>
    </row>
    <row r="209" spans="1:1" ht="13">
      <c r="A209" s="10"/>
    </row>
    <row r="210" spans="1:1" ht="13">
      <c r="A210" s="10"/>
    </row>
    <row r="211" spans="1:1" ht="13">
      <c r="A211" s="10"/>
    </row>
    <row r="212" spans="1:1" ht="13">
      <c r="A212" s="10"/>
    </row>
    <row r="213" spans="1:1" ht="13">
      <c r="A213" s="10"/>
    </row>
    <row r="214" spans="1:1" ht="13">
      <c r="A214" s="10"/>
    </row>
    <row r="215" spans="1:1" ht="13">
      <c r="A215" s="10"/>
    </row>
    <row r="216" spans="1:1" ht="13">
      <c r="A216" s="10"/>
    </row>
    <row r="217" spans="1:1" ht="13">
      <c r="A217" s="10"/>
    </row>
    <row r="218" spans="1:1" ht="13">
      <c r="A218" s="10"/>
    </row>
    <row r="219" spans="1:1" ht="13">
      <c r="A219" s="10"/>
    </row>
    <row r="220" spans="1:1" ht="13">
      <c r="A220" s="10"/>
    </row>
    <row r="221" spans="1:1" ht="13">
      <c r="A221" s="10"/>
    </row>
    <row r="222" spans="1:1" ht="13">
      <c r="A222" s="10"/>
    </row>
    <row r="223" spans="1:1" ht="13">
      <c r="A223" s="10"/>
    </row>
    <row r="224" spans="1:1" ht="13">
      <c r="A224" s="10"/>
    </row>
    <row r="225" spans="1:1" ht="13">
      <c r="A225" s="10"/>
    </row>
    <row r="226" spans="1:1" ht="13">
      <c r="A226" s="10"/>
    </row>
    <row r="227" spans="1:1" ht="13">
      <c r="A227" s="10"/>
    </row>
    <row r="228" spans="1:1" ht="13">
      <c r="A228" s="10"/>
    </row>
    <row r="229" spans="1:1" ht="13">
      <c r="A229" s="10"/>
    </row>
    <row r="230" spans="1:1" ht="13">
      <c r="A230" s="10"/>
    </row>
    <row r="231" spans="1:1" ht="13">
      <c r="A231" s="10"/>
    </row>
    <row r="232" spans="1:1" ht="13">
      <c r="A232" s="10"/>
    </row>
    <row r="233" spans="1:1" ht="13">
      <c r="A233" s="10"/>
    </row>
    <row r="234" spans="1:1" ht="13">
      <c r="A234" s="10"/>
    </row>
    <row r="235" spans="1:1" ht="13">
      <c r="A235" s="10"/>
    </row>
    <row r="236" spans="1:1" ht="13">
      <c r="A236" s="10"/>
    </row>
    <row r="237" spans="1:1" ht="13">
      <c r="A237" s="10"/>
    </row>
    <row r="238" spans="1:1" ht="13">
      <c r="A238" s="10"/>
    </row>
    <row r="239" spans="1:1" ht="13">
      <c r="A239" s="10"/>
    </row>
    <row r="240" spans="1:1" ht="13">
      <c r="A240" s="10"/>
    </row>
    <row r="241" spans="1:1" ht="13">
      <c r="A241" s="10"/>
    </row>
    <row r="242" spans="1:1" ht="13">
      <c r="A242" s="10"/>
    </row>
    <row r="243" spans="1:1" ht="13">
      <c r="A243" s="10"/>
    </row>
    <row r="244" spans="1:1" ht="13">
      <c r="A244" s="10"/>
    </row>
    <row r="245" spans="1:1" ht="13">
      <c r="A245" s="10"/>
    </row>
    <row r="246" spans="1:1" ht="13">
      <c r="A246" s="10"/>
    </row>
    <row r="247" spans="1:1" ht="13">
      <c r="A247" s="10"/>
    </row>
    <row r="248" spans="1:1" ht="13">
      <c r="A248" s="10"/>
    </row>
    <row r="249" spans="1:1" ht="13">
      <c r="A249" s="10"/>
    </row>
    <row r="250" spans="1:1" ht="13">
      <c r="A250" s="10"/>
    </row>
    <row r="251" spans="1:1" ht="13">
      <c r="A251" s="10"/>
    </row>
    <row r="252" spans="1:1" ht="13">
      <c r="A252" s="10"/>
    </row>
    <row r="253" spans="1:1" ht="13">
      <c r="A253" s="10"/>
    </row>
    <row r="254" spans="1:1" ht="13">
      <c r="A254" s="10"/>
    </row>
    <row r="255" spans="1:1" ht="13">
      <c r="A255" s="10"/>
    </row>
    <row r="256" spans="1:1" ht="13">
      <c r="A256" s="10"/>
    </row>
    <row r="257" spans="1:1" ht="13">
      <c r="A257" s="10"/>
    </row>
    <row r="258" spans="1:1" ht="13">
      <c r="A258" s="10"/>
    </row>
    <row r="259" spans="1:1" ht="13">
      <c r="A259" s="10"/>
    </row>
    <row r="260" spans="1:1" ht="13">
      <c r="A260" s="10"/>
    </row>
    <row r="261" spans="1:1" ht="13">
      <c r="A261" s="10"/>
    </row>
    <row r="262" spans="1:1" ht="13">
      <c r="A262" s="10"/>
    </row>
    <row r="263" spans="1:1" ht="13">
      <c r="A263" s="10"/>
    </row>
    <row r="264" spans="1:1" ht="13">
      <c r="A264" s="10"/>
    </row>
    <row r="265" spans="1:1" ht="13">
      <c r="A265" s="10"/>
    </row>
    <row r="266" spans="1:1" ht="13">
      <c r="A266" s="10"/>
    </row>
    <row r="267" spans="1:1" ht="13">
      <c r="A267" s="10"/>
    </row>
    <row r="268" spans="1:1" ht="13">
      <c r="A268" s="10"/>
    </row>
    <row r="269" spans="1:1" ht="13">
      <c r="A269" s="10"/>
    </row>
    <row r="270" spans="1:1" ht="13">
      <c r="A270" s="10"/>
    </row>
    <row r="271" spans="1:1" ht="13">
      <c r="A271" s="10"/>
    </row>
    <row r="272" spans="1:1" ht="13">
      <c r="A272" s="10"/>
    </row>
    <row r="273" spans="1:1" ht="13">
      <c r="A273" s="10"/>
    </row>
    <row r="274" spans="1:1" ht="13">
      <c r="A274" s="10"/>
    </row>
    <row r="275" spans="1:1" ht="13">
      <c r="A275" s="10"/>
    </row>
    <row r="276" spans="1:1" ht="13">
      <c r="A276" s="10"/>
    </row>
    <row r="277" spans="1:1" ht="13">
      <c r="A277" s="10"/>
    </row>
    <row r="278" spans="1:1" ht="13">
      <c r="A278" s="10"/>
    </row>
    <row r="279" spans="1:1" ht="13">
      <c r="A279" s="10"/>
    </row>
    <row r="280" spans="1:1" ht="13">
      <c r="A280" s="10"/>
    </row>
    <row r="281" spans="1:1" ht="13">
      <c r="A281" s="10"/>
    </row>
    <row r="282" spans="1:1" ht="13">
      <c r="A282" s="10"/>
    </row>
    <row r="283" spans="1:1" ht="13">
      <c r="A283" s="10"/>
    </row>
    <row r="284" spans="1:1" ht="13">
      <c r="A284" s="10"/>
    </row>
    <row r="285" spans="1:1" ht="13">
      <c r="A285" s="10"/>
    </row>
    <row r="286" spans="1:1" ht="13">
      <c r="A286" s="10"/>
    </row>
    <row r="287" spans="1:1" ht="13">
      <c r="A287" s="10"/>
    </row>
    <row r="288" spans="1:1" ht="13">
      <c r="A288" s="10"/>
    </row>
    <row r="289" spans="1:1" ht="13">
      <c r="A289" s="10"/>
    </row>
    <row r="290" spans="1:1" ht="13">
      <c r="A290" s="10"/>
    </row>
    <row r="291" spans="1:1" ht="13">
      <c r="A291" s="10"/>
    </row>
    <row r="292" spans="1:1" ht="13">
      <c r="A292" s="10"/>
    </row>
    <row r="293" spans="1:1" ht="13">
      <c r="A293" s="10"/>
    </row>
    <row r="294" spans="1:1" ht="13">
      <c r="A294" s="10"/>
    </row>
    <row r="295" spans="1:1" ht="13">
      <c r="A295" s="10"/>
    </row>
    <row r="296" spans="1:1" ht="13">
      <c r="A296" s="10"/>
    </row>
    <row r="297" spans="1:1" ht="13">
      <c r="A297" s="10"/>
    </row>
    <row r="298" spans="1:1" ht="13">
      <c r="A298" s="10"/>
    </row>
    <row r="299" spans="1:1" ht="13">
      <c r="A299" s="10"/>
    </row>
    <row r="300" spans="1:1" ht="13">
      <c r="A300" s="10"/>
    </row>
    <row r="301" spans="1:1" ht="13">
      <c r="A301" s="10"/>
    </row>
    <row r="302" spans="1:1" ht="13">
      <c r="A302" s="10"/>
    </row>
    <row r="303" spans="1:1" ht="13">
      <c r="A303" s="10"/>
    </row>
    <row r="304" spans="1:1" ht="13">
      <c r="A304" s="10"/>
    </row>
    <row r="305" spans="1:1" ht="13">
      <c r="A305" s="10"/>
    </row>
    <row r="306" spans="1:1" ht="13">
      <c r="A306" s="10"/>
    </row>
    <row r="307" spans="1:1" ht="13">
      <c r="A307" s="10"/>
    </row>
    <row r="308" spans="1:1" ht="13">
      <c r="A308" s="10"/>
    </row>
    <row r="309" spans="1:1" ht="13">
      <c r="A309" s="10"/>
    </row>
    <row r="310" spans="1:1" ht="13">
      <c r="A310" s="10"/>
    </row>
    <row r="311" spans="1:1" ht="13">
      <c r="A311" s="10"/>
    </row>
    <row r="312" spans="1:1" ht="13">
      <c r="A312" s="10"/>
    </row>
    <row r="313" spans="1:1" ht="13">
      <c r="A313" s="10"/>
    </row>
    <row r="314" spans="1:1" ht="13">
      <c r="A314" s="10"/>
    </row>
    <row r="315" spans="1:1" ht="13">
      <c r="A315" s="10"/>
    </row>
    <row r="316" spans="1:1" ht="13">
      <c r="A316" s="10"/>
    </row>
    <row r="317" spans="1:1" ht="13">
      <c r="A317" s="10"/>
    </row>
    <row r="318" spans="1:1" ht="13">
      <c r="A318" s="10"/>
    </row>
    <row r="319" spans="1:1" ht="13">
      <c r="A319" s="10"/>
    </row>
    <row r="320" spans="1:1" ht="13">
      <c r="A320" s="10"/>
    </row>
    <row r="321" spans="1:1" ht="13">
      <c r="A321" s="10"/>
    </row>
    <row r="322" spans="1:1" ht="13">
      <c r="A322" s="10"/>
    </row>
    <row r="323" spans="1:1" ht="13">
      <c r="A323" s="10"/>
    </row>
    <row r="324" spans="1:1" ht="13">
      <c r="A324" s="10"/>
    </row>
    <row r="325" spans="1:1" ht="13">
      <c r="A325" s="10"/>
    </row>
    <row r="326" spans="1:1" ht="13">
      <c r="A326" s="10"/>
    </row>
    <row r="327" spans="1:1" ht="13">
      <c r="A327" s="10"/>
    </row>
    <row r="328" spans="1:1" ht="13">
      <c r="A328" s="10"/>
    </row>
    <row r="329" spans="1:1" ht="13">
      <c r="A329" s="10"/>
    </row>
    <row r="330" spans="1:1" ht="13">
      <c r="A330" s="10"/>
    </row>
    <row r="331" spans="1:1" ht="13">
      <c r="A331" s="10"/>
    </row>
    <row r="332" spans="1:1" ht="13">
      <c r="A332" s="10"/>
    </row>
    <row r="333" spans="1:1" ht="13">
      <c r="A333" s="10"/>
    </row>
    <row r="334" spans="1:1" ht="13">
      <c r="A334" s="10"/>
    </row>
    <row r="335" spans="1:1" ht="13">
      <c r="A335" s="10"/>
    </row>
    <row r="336" spans="1:1" ht="13">
      <c r="A336" s="10"/>
    </row>
    <row r="337" spans="1:1" ht="13">
      <c r="A337" s="10"/>
    </row>
    <row r="338" spans="1:1" ht="13">
      <c r="A338" s="10"/>
    </row>
    <row r="339" spans="1:1" ht="13">
      <c r="A339" s="10"/>
    </row>
    <row r="340" spans="1:1" ht="13">
      <c r="A340" s="10"/>
    </row>
    <row r="341" spans="1:1" ht="13">
      <c r="A341" s="10"/>
    </row>
    <row r="342" spans="1:1" ht="13">
      <c r="A342" s="10"/>
    </row>
    <row r="343" spans="1:1" ht="13">
      <c r="A343" s="10"/>
    </row>
    <row r="344" spans="1:1" ht="13">
      <c r="A344" s="10"/>
    </row>
    <row r="345" spans="1:1" ht="13">
      <c r="A345" s="10"/>
    </row>
    <row r="346" spans="1:1" ht="13">
      <c r="A346" s="10"/>
    </row>
    <row r="347" spans="1:1" ht="13">
      <c r="A347" s="10"/>
    </row>
    <row r="348" spans="1:1" ht="13">
      <c r="A348" s="10"/>
    </row>
    <row r="349" spans="1:1" ht="13">
      <c r="A349" s="10"/>
    </row>
    <row r="350" spans="1:1" ht="13">
      <c r="A350" s="10"/>
    </row>
    <row r="351" spans="1:1" ht="13">
      <c r="A351" s="10"/>
    </row>
    <row r="352" spans="1:1" ht="13">
      <c r="A352" s="10"/>
    </row>
    <row r="353" spans="1:1" ht="13">
      <c r="A353" s="10"/>
    </row>
    <row r="354" spans="1:1" ht="13">
      <c r="A354" s="10"/>
    </row>
    <row r="355" spans="1:1" ht="13">
      <c r="A355" s="10"/>
    </row>
    <row r="356" spans="1:1" ht="13">
      <c r="A356" s="10"/>
    </row>
    <row r="357" spans="1:1" ht="13">
      <c r="A357" s="10"/>
    </row>
    <row r="358" spans="1:1" ht="13">
      <c r="A358" s="10"/>
    </row>
    <row r="359" spans="1:1" ht="13">
      <c r="A359" s="10"/>
    </row>
    <row r="360" spans="1:1" ht="13">
      <c r="A360" s="10"/>
    </row>
    <row r="361" spans="1:1" ht="13">
      <c r="A361" s="10"/>
    </row>
    <row r="362" spans="1:1" ht="13">
      <c r="A362" s="10"/>
    </row>
    <row r="363" spans="1:1" ht="13">
      <c r="A363" s="10"/>
    </row>
    <row r="364" spans="1:1" ht="13">
      <c r="A364" s="10"/>
    </row>
    <row r="365" spans="1:1" ht="13">
      <c r="A365" s="10"/>
    </row>
    <row r="366" spans="1:1" ht="13">
      <c r="A366" s="10"/>
    </row>
    <row r="367" spans="1:1" ht="13">
      <c r="A367" s="10"/>
    </row>
    <row r="368" spans="1:1" ht="13">
      <c r="A368" s="10"/>
    </row>
    <row r="369" spans="1:1" ht="13">
      <c r="A369" s="10"/>
    </row>
    <row r="370" spans="1:1" ht="13">
      <c r="A370" s="10"/>
    </row>
    <row r="371" spans="1:1" ht="13">
      <c r="A371" s="10"/>
    </row>
    <row r="372" spans="1:1" ht="13">
      <c r="A372" s="10"/>
    </row>
    <row r="373" spans="1:1" ht="13">
      <c r="A373" s="10"/>
    </row>
    <row r="374" spans="1:1" ht="13">
      <c r="A374" s="10"/>
    </row>
    <row r="375" spans="1:1" ht="13">
      <c r="A375" s="10"/>
    </row>
    <row r="376" spans="1:1" ht="13">
      <c r="A376" s="10"/>
    </row>
    <row r="377" spans="1:1" ht="13">
      <c r="A377" s="10"/>
    </row>
    <row r="378" spans="1:1" ht="13">
      <c r="A378" s="10"/>
    </row>
    <row r="379" spans="1:1" ht="13">
      <c r="A379" s="10"/>
    </row>
    <row r="380" spans="1:1" ht="13">
      <c r="A380" s="10"/>
    </row>
    <row r="381" spans="1:1" ht="13">
      <c r="A381" s="10"/>
    </row>
    <row r="382" spans="1:1" ht="13">
      <c r="A382" s="10"/>
    </row>
    <row r="383" spans="1:1" ht="13">
      <c r="A383" s="10"/>
    </row>
    <row r="384" spans="1:1" ht="13">
      <c r="A384" s="10"/>
    </row>
    <row r="385" spans="1:1" ht="13">
      <c r="A385" s="10"/>
    </row>
    <row r="386" spans="1:1" ht="13">
      <c r="A386" s="10"/>
    </row>
    <row r="387" spans="1:1" ht="13">
      <c r="A387" s="10"/>
    </row>
    <row r="388" spans="1:1" ht="13">
      <c r="A388" s="10"/>
    </row>
    <row r="389" spans="1:1" ht="13">
      <c r="A389" s="10"/>
    </row>
    <row r="390" spans="1:1" ht="13">
      <c r="A390" s="10"/>
    </row>
    <row r="391" spans="1:1" ht="13">
      <c r="A391" s="10"/>
    </row>
    <row r="392" spans="1:1" ht="13">
      <c r="A392" s="10"/>
    </row>
    <row r="393" spans="1:1" ht="13">
      <c r="A393" s="10"/>
    </row>
    <row r="394" spans="1:1" ht="13">
      <c r="A394" s="10"/>
    </row>
    <row r="395" spans="1:1" ht="13">
      <c r="A395" s="10"/>
    </row>
    <row r="396" spans="1:1" ht="13">
      <c r="A396" s="10"/>
    </row>
    <row r="397" spans="1:1" ht="13">
      <c r="A397" s="10"/>
    </row>
    <row r="398" spans="1:1" ht="13">
      <c r="A398" s="10"/>
    </row>
    <row r="399" spans="1:1" ht="13">
      <c r="A399" s="10"/>
    </row>
    <row r="400" spans="1:1" ht="13">
      <c r="A400" s="10"/>
    </row>
    <row r="401" spans="1:1" ht="13">
      <c r="A401" s="10"/>
    </row>
    <row r="402" spans="1:1" ht="13">
      <c r="A402" s="10"/>
    </row>
    <row r="403" spans="1:1" ht="13">
      <c r="A403" s="10"/>
    </row>
    <row r="404" spans="1:1" ht="13">
      <c r="A404" s="10"/>
    </row>
    <row r="405" spans="1:1" ht="13">
      <c r="A405" s="10"/>
    </row>
    <row r="406" spans="1:1" ht="13">
      <c r="A406" s="10"/>
    </row>
    <row r="407" spans="1:1" ht="13">
      <c r="A407" s="10"/>
    </row>
    <row r="408" spans="1:1" ht="13">
      <c r="A408" s="10"/>
    </row>
    <row r="409" spans="1:1" ht="13">
      <c r="A409" s="10"/>
    </row>
    <row r="410" spans="1:1" ht="13">
      <c r="A410" s="10"/>
    </row>
    <row r="411" spans="1:1" ht="13">
      <c r="A411" s="10"/>
    </row>
    <row r="412" spans="1:1" ht="13">
      <c r="A412" s="10"/>
    </row>
    <row r="413" spans="1:1" ht="13">
      <c r="A413" s="10"/>
    </row>
    <row r="414" spans="1:1" ht="13">
      <c r="A414" s="10"/>
    </row>
    <row r="415" spans="1:1" ht="13">
      <c r="A415" s="10"/>
    </row>
    <row r="416" spans="1:1" ht="13">
      <c r="A416" s="10"/>
    </row>
    <row r="417" spans="1:1" ht="13">
      <c r="A417" s="10"/>
    </row>
    <row r="418" spans="1:1" ht="13">
      <c r="A418" s="10"/>
    </row>
    <row r="419" spans="1:1" ht="13">
      <c r="A419" s="10"/>
    </row>
    <row r="420" spans="1:1" ht="13">
      <c r="A420" s="10"/>
    </row>
    <row r="421" spans="1:1" ht="13">
      <c r="A421" s="10"/>
    </row>
    <row r="422" spans="1:1" ht="13">
      <c r="A422" s="10"/>
    </row>
    <row r="423" spans="1:1" ht="13">
      <c r="A423" s="10"/>
    </row>
    <row r="424" spans="1:1" ht="13">
      <c r="A424" s="10"/>
    </row>
    <row r="425" spans="1:1" ht="13">
      <c r="A425" s="10"/>
    </row>
    <row r="426" spans="1:1" ht="13">
      <c r="A426" s="10"/>
    </row>
    <row r="427" spans="1:1" ht="13">
      <c r="A427" s="10"/>
    </row>
    <row r="428" spans="1:1" ht="13">
      <c r="A428" s="10"/>
    </row>
    <row r="429" spans="1:1" ht="13">
      <c r="A429" s="10"/>
    </row>
    <row r="430" spans="1:1" ht="13">
      <c r="A430" s="10"/>
    </row>
    <row r="431" spans="1:1" ht="13">
      <c r="A431" s="10"/>
    </row>
    <row r="432" spans="1:1" ht="13">
      <c r="A432" s="10"/>
    </row>
    <row r="433" spans="1:1" ht="13">
      <c r="A433" s="10"/>
    </row>
    <row r="434" spans="1:1" ht="13">
      <c r="A434" s="10"/>
    </row>
    <row r="435" spans="1:1" ht="13">
      <c r="A435" s="10"/>
    </row>
    <row r="436" spans="1:1" ht="13">
      <c r="A436" s="10"/>
    </row>
    <row r="437" spans="1:1" ht="13">
      <c r="A437" s="10"/>
    </row>
    <row r="438" spans="1:1" ht="13">
      <c r="A438" s="10"/>
    </row>
    <row r="439" spans="1:1" ht="13">
      <c r="A439" s="10"/>
    </row>
    <row r="440" spans="1:1" ht="13">
      <c r="A440" s="10"/>
    </row>
    <row r="441" spans="1:1" ht="13">
      <c r="A441" s="10"/>
    </row>
    <row r="442" spans="1:1" ht="13">
      <c r="A442" s="10"/>
    </row>
    <row r="443" spans="1:1" ht="13">
      <c r="A443" s="10"/>
    </row>
    <row r="444" spans="1:1" ht="13">
      <c r="A444" s="10"/>
    </row>
    <row r="445" spans="1:1" ht="13">
      <c r="A445" s="10"/>
    </row>
    <row r="446" spans="1:1" ht="13">
      <c r="A446" s="10"/>
    </row>
    <row r="447" spans="1:1" ht="13">
      <c r="A447" s="10"/>
    </row>
    <row r="448" spans="1:1" ht="13">
      <c r="A448" s="10"/>
    </row>
    <row r="449" spans="1:1" ht="13">
      <c r="A449" s="10"/>
    </row>
    <row r="450" spans="1:1" ht="13">
      <c r="A450" s="10"/>
    </row>
    <row r="451" spans="1:1" ht="13">
      <c r="A451" s="10"/>
    </row>
    <row r="452" spans="1:1" ht="13">
      <c r="A452" s="10"/>
    </row>
    <row r="453" spans="1:1" ht="13">
      <c r="A453" s="10"/>
    </row>
    <row r="454" spans="1:1" ht="13">
      <c r="A454" s="10"/>
    </row>
    <row r="455" spans="1:1" ht="13">
      <c r="A455" s="10"/>
    </row>
    <row r="456" spans="1:1" ht="13">
      <c r="A456" s="10"/>
    </row>
    <row r="457" spans="1:1" ht="13">
      <c r="A457" s="10"/>
    </row>
    <row r="458" spans="1:1" ht="13">
      <c r="A458" s="10"/>
    </row>
    <row r="459" spans="1:1" ht="13">
      <c r="A459" s="10"/>
    </row>
    <row r="460" spans="1:1" ht="13">
      <c r="A460" s="10"/>
    </row>
    <row r="461" spans="1:1" ht="13">
      <c r="A461" s="10"/>
    </row>
    <row r="462" spans="1:1" ht="13">
      <c r="A462" s="10"/>
    </row>
    <row r="463" spans="1:1" ht="13">
      <c r="A463" s="10"/>
    </row>
    <row r="464" spans="1:1" ht="13">
      <c r="A464" s="10"/>
    </row>
    <row r="465" spans="1:1" ht="13">
      <c r="A465" s="10"/>
    </row>
    <row r="466" spans="1:1" ht="13">
      <c r="A466" s="10"/>
    </row>
    <row r="467" spans="1:1" ht="13">
      <c r="A467" s="10"/>
    </row>
    <row r="468" spans="1:1" ht="13">
      <c r="A468" s="10"/>
    </row>
    <row r="469" spans="1:1" ht="13">
      <c r="A469" s="10"/>
    </row>
    <row r="470" spans="1:1" ht="13">
      <c r="A470" s="10"/>
    </row>
    <row r="471" spans="1:1" ht="13">
      <c r="A471" s="10"/>
    </row>
    <row r="472" spans="1:1" ht="13">
      <c r="A472" s="10"/>
    </row>
    <row r="473" spans="1:1" ht="13">
      <c r="A473" s="10"/>
    </row>
    <row r="474" spans="1:1" ht="13">
      <c r="A474" s="10"/>
    </row>
    <row r="475" spans="1:1" ht="13">
      <c r="A475" s="10"/>
    </row>
    <row r="476" spans="1:1" ht="13">
      <c r="A476" s="10"/>
    </row>
    <row r="477" spans="1:1" ht="13">
      <c r="A477" s="10"/>
    </row>
    <row r="478" spans="1:1" ht="13">
      <c r="A478" s="10"/>
    </row>
    <row r="479" spans="1:1" ht="13">
      <c r="A479" s="10"/>
    </row>
    <row r="480" spans="1:1" ht="13">
      <c r="A480" s="10"/>
    </row>
    <row r="481" spans="1:1" ht="13">
      <c r="A481" s="10"/>
    </row>
    <row r="482" spans="1:1" ht="13">
      <c r="A482" s="10"/>
    </row>
    <row r="483" spans="1:1" ht="13">
      <c r="A483" s="10"/>
    </row>
    <row r="484" spans="1:1" ht="13">
      <c r="A484" s="10"/>
    </row>
    <row r="485" spans="1:1" ht="13">
      <c r="A485" s="10"/>
    </row>
    <row r="486" spans="1:1" ht="13">
      <c r="A486" s="10"/>
    </row>
    <row r="487" spans="1:1" ht="13">
      <c r="A487" s="10"/>
    </row>
    <row r="488" spans="1:1" ht="13">
      <c r="A488" s="10"/>
    </row>
    <row r="489" spans="1:1" ht="13">
      <c r="A489" s="10"/>
    </row>
    <row r="490" spans="1:1" ht="13">
      <c r="A490" s="10"/>
    </row>
    <row r="491" spans="1:1" ht="13">
      <c r="A491" s="10"/>
    </row>
    <row r="492" spans="1:1" ht="13">
      <c r="A492" s="10"/>
    </row>
    <row r="493" spans="1:1" ht="13">
      <c r="A493" s="10"/>
    </row>
    <row r="494" spans="1:1" ht="13">
      <c r="A494" s="10"/>
    </row>
    <row r="495" spans="1:1" ht="13">
      <c r="A495" s="10"/>
    </row>
    <row r="496" spans="1:1" ht="13">
      <c r="A496" s="10"/>
    </row>
    <row r="497" spans="1:1" ht="13">
      <c r="A497" s="10"/>
    </row>
    <row r="498" spans="1:1" ht="13">
      <c r="A498" s="10"/>
    </row>
    <row r="499" spans="1:1" ht="13">
      <c r="A499" s="10"/>
    </row>
    <row r="500" spans="1:1" ht="13">
      <c r="A500" s="10"/>
    </row>
    <row r="501" spans="1:1" ht="13">
      <c r="A501" s="10"/>
    </row>
    <row r="502" spans="1:1" ht="13">
      <c r="A502" s="10"/>
    </row>
    <row r="503" spans="1:1" ht="13">
      <c r="A503" s="10"/>
    </row>
    <row r="504" spans="1:1" ht="13">
      <c r="A504" s="10"/>
    </row>
    <row r="505" spans="1:1" ht="13">
      <c r="A505" s="10"/>
    </row>
    <row r="506" spans="1:1" ht="13">
      <c r="A506" s="10"/>
    </row>
    <row r="507" spans="1:1" ht="13">
      <c r="A507" s="10"/>
    </row>
    <row r="508" spans="1:1" ht="13">
      <c r="A508" s="10"/>
    </row>
    <row r="509" spans="1:1" ht="13">
      <c r="A509" s="10"/>
    </row>
    <row r="510" spans="1:1" ht="13">
      <c r="A510" s="10"/>
    </row>
    <row r="511" spans="1:1" ht="13">
      <c r="A511" s="10"/>
    </row>
    <row r="512" spans="1:1" ht="13">
      <c r="A512" s="10"/>
    </row>
    <row r="513" spans="1:1" ht="13">
      <c r="A513" s="10"/>
    </row>
    <row r="514" spans="1:1" ht="13">
      <c r="A514" s="10"/>
    </row>
    <row r="515" spans="1:1" ht="13">
      <c r="A515" s="10"/>
    </row>
    <row r="516" spans="1:1" ht="13">
      <c r="A516" s="10"/>
    </row>
    <row r="517" spans="1:1" ht="13">
      <c r="A517" s="10"/>
    </row>
    <row r="518" spans="1:1" ht="13">
      <c r="A518" s="10"/>
    </row>
    <row r="519" spans="1:1" ht="13">
      <c r="A519" s="10"/>
    </row>
    <row r="520" spans="1:1" ht="13">
      <c r="A520" s="10"/>
    </row>
    <row r="521" spans="1:1" ht="13">
      <c r="A521" s="10"/>
    </row>
    <row r="522" spans="1:1" ht="13">
      <c r="A522" s="10"/>
    </row>
    <row r="523" spans="1:1" ht="13">
      <c r="A523" s="10"/>
    </row>
    <row r="524" spans="1:1" ht="13">
      <c r="A524" s="10"/>
    </row>
    <row r="525" spans="1:1" ht="13">
      <c r="A525" s="10"/>
    </row>
    <row r="526" spans="1:1" ht="13">
      <c r="A526" s="10"/>
    </row>
    <row r="527" spans="1:1" ht="13">
      <c r="A527" s="10"/>
    </row>
    <row r="528" spans="1:1" ht="13">
      <c r="A528" s="10"/>
    </row>
    <row r="529" spans="1:1" ht="13">
      <c r="A529" s="10"/>
    </row>
    <row r="530" spans="1:1" ht="13">
      <c r="A530" s="10"/>
    </row>
    <row r="531" spans="1:1" ht="13">
      <c r="A531" s="10"/>
    </row>
    <row r="532" spans="1:1" ht="13">
      <c r="A532" s="10"/>
    </row>
    <row r="533" spans="1:1" ht="13">
      <c r="A533" s="10"/>
    </row>
    <row r="534" spans="1:1" ht="13">
      <c r="A534" s="10"/>
    </row>
    <row r="535" spans="1:1" ht="13">
      <c r="A535" s="10"/>
    </row>
    <row r="536" spans="1:1" ht="13">
      <c r="A536" s="10"/>
    </row>
    <row r="537" spans="1:1" ht="13">
      <c r="A537" s="10"/>
    </row>
    <row r="538" spans="1:1" ht="13">
      <c r="A538" s="10"/>
    </row>
    <row r="539" spans="1:1" ht="13">
      <c r="A539" s="10"/>
    </row>
    <row r="540" spans="1:1" ht="13">
      <c r="A540" s="10"/>
    </row>
    <row r="541" spans="1:1" ht="13">
      <c r="A541" s="10"/>
    </row>
    <row r="542" spans="1:1" ht="13">
      <c r="A542" s="10"/>
    </row>
    <row r="543" spans="1:1" ht="13">
      <c r="A543" s="10"/>
    </row>
    <row r="544" spans="1:1" ht="13">
      <c r="A544" s="10"/>
    </row>
    <row r="545" spans="1:1" ht="13">
      <c r="A545" s="10"/>
    </row>
    <row r="546" spans="1:1" ht="13">
      <c r="A546" s="10"/>
    </row>
    <row r="547" spans="1:1" ht="13">
      <c r="A547" s="10"/>
    </row>
    <row r="548" spans="1:1" ht="13">
      <c r="A548" s="10"/>
    </row>
    <row r="549" spans="1:1" ht="13">
      <c r="A549" s="10"/>
    </row>
    <row r="550" spans="1:1" ht="13">
      <c r="A550" s="10"/>
    </row>
    <row r="551" spans="1:1" ht="13">
      <c r="A551" s="10"/>
    </row>
    <row r="552" spans="1:1" ht="13">
      <c r="A552" s="10"/>
    </row>
    <row r="553" spans="1:1" ht="13">
      <c r="A553" s="10"/>
    </row>
    <row r="554" spans="1:1" ht="13">
      <c r="A554" s="10"/>
    </row>
    <row r="555" spans="1:1" ht="13">
      <c r="A555" s="10"/>
    </row>
    <row r="556" spans="1:1" ht="13">
      <c r="A556" s="10"/>
    </row>
    <row r="557" spans="1:1" ht="13">
      <c r="A557" s="10"/>
    </row>
    <row r="558" spans="1:1" ht="13">
      <c r="A558" s="10"/>
    </row>
    <row r="559" spans="1:1" ht="13">
      <c r="A559" s="10"/>
    </row>
    <row r="560" spans="1:1" ht="13">
      <c r="A560" s="10"/>
    </row>
    <row r="561" spans="1:1" ht="13">
      <c r="A561" s="10"/>
    </row>
    <row r="562" spans="1:1" ht="13">
      <c r="A562" s="10"/>
    </row>
    <row r="563" spans="1:1" ht="13">
      <c r="A563" s="10"/>
    </row>
    <row r="564" spans="1:1" ht="13">
      <c r="A564" s="10"/>
    </row>
    <row r="565" spans="1:1" ht="13">
      <c r="A565" s="10"/>
    </row>
    <row r="566" spans="1:1" ht="13">
      <c r="A566" s="10"/>
    </row>
    <row r="567" spans="1:1" ht="13">
      <c r="A567" s="10"/>
    </row>
    <row r="568" spans="1:1" ht="13">
      <c r="A568" s="10"/>
    </row>
    <row r="569" spans="1:1" ht="13">
      <c r="A569" s="10"/>
    </row>
    <row r="570" spans="1:1" ht="13">
      <c r="A570" s="10"/>
    </row>
    <row r="571" spans="1:1" ht="13">
      <c r="A571" s="10"/>
    </row>
    <row r="572" spans="1:1" ht="13">
      <c r="A572" s="10"/>
    </row>
    <row r="573" spans="1:1" ht="13">
      <c r="A573" s="10"/>
    </row>
    <row r="574" spans="1:1" ht="13">
      <c r="A574" s="10"/>
    </row>
    <row r="575" spans="1:1" ht="13">
      <c r="A575" s="10"/>
    </row>
    <row r="576" spans="1:1" ht="13">
      <c r="A576" s="10"/>
    </row>
    <row r="577" spans="1:1" ht="13">
      <c r="A577" s="10"/>
    </row>
    <row r="578" spans="1:1" ht="13">
      <c r="A578" s="10"/>
    </row>
    <row r="579" spans="1:1" ht="13">
      <c r="A579" s="10"/>
    </row>
    <row r="580" spans="1:1" ht="13">
      <c r="A580" s="10"/>
    </row>
    <row r="581" spans="1:1" ht="13">
      <c r="A581" s="10"/>
    </row>
    <row r="582" spans="1:1" ht="13">
      <c r="A582" s="10"/>
    </row>
    <row r="583" spans="1:1" ht="13">
      <c r="A583" s="10"/>
    </row>
    <row r="584" spans="1:1" ht="13">
      <c r="A584" s="10"/>
    </row>
    <row r="585" spans="1:1" ht="13">
      <c r="A585" s="10"/>
    </row>
    <row r="586" spans="1:1" ht="13">
      <c r="A586" s="10"/>
    </row>
    <row r="587" spans="1:1" ht="13">
      <c r="A587" s="10"/>
    </row>
    <row r="588" spans="1:1" ht="13">
      <c r="A588" s="10"/>
    </row>
    <row r="589" spans="1:1" ht="13">
      <c r="A589" s="10"/>
    </row>
    <row r="590" spans="1:1" ht="13">
      <c r="A590" s="10"/>
    </row>
    <row r="591" spans="1:1" ht="13">
      <c r="A591" s="10"/>
    </row>
    <row r="592" spans="1:1" ht="13">
      <c r="A592" s="10"/>
    </row>
    <row r="593" spans="1:1" ht="13">
      <c r="A593" s="10"/>
    </row>
    <row r="594" spans="1:1" ht="13">
      <c r="A594" s="10"/>
    </row>
    <row r="595" spans="1:1" ht="13">
      <c r="A595" s="10"/>
    </row>
    <row r="596" spans="1:1" ht="13">
      <c r="A596" s="10"/>
    </row>
    <row r="597" spans="1:1" ht="13">
      <c r="A597" s="10"/>
    </row>
    <row r="598" spans="1:1" ht="13">
      <c r="A598" s="10"/>
    </row>
    <row r="599" spans="1:1" ht="13">
      <c r="A599" s="10"/>
    </row>
    <row r="600" spans="1:1" ht="13">
      <c r="A600" s="10"/>
    </row>
    <row r="601" spans="1:1" ht="13">
      <c r="A601" s="10"/>
    </row>
    <row r="602" spans="1:1" ht="13">
      <c r="A602" s="10"/>
    </row>
    <row r="603" spans="1:1" ht="13">
      <c r="A603" s="10"/>
    </row>
    <row r="604" spans="1:1" ht="13">
      <c r="A604" s="10"/>
    </row>
    <row r="605" spans="1:1" ht="13">
      <c r="A605" s="10"/>
    </row>
    <row r="606" spans="1:1" ht="13">
      <c r="A606" s="10"/>
    </row>
    <row r="607" spans="1:1" ht="13">
      <c r="A607" s="10"/>
    </row>
    <row r="608" spans="1:1" ht="13">
      <c r="A608" s="10"/>
    </row>
    <row r="609" spans="1:1" ht="13">
      <c r="A609" s="10"/>
    </row>
    <row r="610" spans="1:1" ht="13">
      <c r="A610" s="10"/>
    </row>
    <row r="611" spans="1:1" ht="13">
      <c r="A611" s="10"/>
    </row>
    <row r="612" spans="1:1" ht="13">
      <c r="A612" s="10"/>
    </row>
    <row r="613" spans="1:1" ht="13">
      <c r="A613" s="10"/>
    </row>
    <row r="614" spans="1:1" ht="13">
      <c r="A614" s="10"/>
    </row>
    <row r="615" spans="1:1" ht="13">
      <c r="A615" s="10"/>
    </row>
    <row r="616" spans="1:1" ht="13">
      <c r="A616" s="10"/>
    </row>
    <row r="617" spans="1:1" ht="13">
      <c r="A617" s="10"/>
    </row>
    <row r="618" spans="1:1" ht="13">
      <c r="A618" s="10"/>
    </row>
    <row r="619" spans="1:1" ht="13">
      <c r="A619" s="10"/>
    </row>
    <row r="620" spans="1:1" ht="13">
      <c r="A620" s="10"/>
    </row>
    <row r="621" spans="1:1" ht="13">
      <c r="A621" s="10"/>
    </row>
    <row r="622" spans="1:1" ht="13">
      <c r="A622" s="10"/>
    </row>
    <row r="623" spans="1:1" ht="13">
      <c r="A623" s="10"/>
    </row>
    <row r="624" spans="1:1" ht="13">
      <c r="A624" s="10"/>
    </row>
    <row r="625" spans="1:1" ht="13">
      <c r="A625" s="10"/>
    </row>
    <row r="626" spans="1:1" ht="13">
      <c r="A626" s="10"/>
    </row>
    <row r="627" spans="1:1" ht="13">
      <c r="A627" s="10"/>
    </row>
    <row r="628" spans="1:1" ht="13">
      <c r="A628" s="10"/>
    </row>
    <row r="629" spans="1:1" ht="13">
      <c r="A629" s="10"/>
    </row>
    <row r="630" spans="1:1" ht="13">
      <c r="A630" s="10"/>
    </row>
    <row r="631" spans="1:1" ht="13">
      <c r="A631" s="10"/>
    </row>
    <row r="632" spans="1:1" ht="13">
      <c r="A632" s="10"/>
    </row>
    <row r="633" spans="1:1" ht="13">
      <c r="A633" s="10"/>
    </row>
    <row r="634" spans="1:1" ht="13">
      <c r="A634" s="10"/>
    </row>
    <row r="635" spans="1:1" ht="13">
      <c r="A635" s="10"/>
    </row>
    <row r="636" spans="1:1" ht="13">
      <c r="A636" s="10"/>
    </row>
    <row r="637" spans="1:1" ht="13">
      <c r="A637" s="10"/>
    </row>
    <row r="638" spans="1:1" ht="13">
      <c r="A638" s="10"/>
    </row>
    <row r="639" spans="1:1" ht="13">
      <c r="A639" s="10"/>
    </row>
    <row r="640" spans="1:1" ht="13">
      <c r="A640" s="10"/>
    </row>
    <row r="641" spans="1:1" ht="13">
      <c r="A641" s="10"/>
    </row>
    <row r="642" spans="1:1" ht="13">
      <c r="A642" s="10"/>
    </row>
    <row r="643" spans="1:1" ht="13">
      <c r="A643" s="10"/>
    </row>
    <row r="644" spans="1:1" ht="13">
      <c r="A644" s="10"/>
    </row>
    <row r="645" spans="1:1" ht="13">
      <c r="A645" s="10"/>
    </row>
    <row r="646" spans="1:1" ht="13">
      <c r="A646" s="10"/>
    </row>
    <row r="647" spans="1:1" ht="13">
      <c r="A647" s="10"/>
    </row>
    <row r="648" spans="1:1" ht="13">
      <c r="A648" s="10"/>
    </row>
    <row r="649" spans="1:1" ht="13">
      <c r="A649" s="10"/>
    </row>
    <row r="650" spans="1:1" ht="13">
      <c r="A650" s="10"/>
    </row>
    <row r="651" spans="1:1" ht="13">
      <c r="A651" s="10"/>
    </row>
    <row r="652" spans="1:1" ht="13">
      <c r="A652" s="10"/>
    </row>
    <row r="653" spans="1:1" ht="13">
      <c r="A653" s="10"/>
    </row>
    <row r="654" spans="1:1" ht="13">
      <c r="A654" s="10"/>
    </row>
    <row r="655" spans="1:1" ht="13">
      <c r="A655" s="10"/>
    </row>
    <row r="656" spans="1:1" ht="13">
      <c r="A656" s="10"/>
    </row>
    <row r="657" spans="1:1" ht="13">
      <c r="A657" s="10"/>
    </row>
    <row r="658" spans="1:1" ht="13">
      <c r="A658" s="10"/>
    </row>
    <row r="659" spans="1:1" ht="13">
      <c r="A659" s="10"/>
    </row>
    <row r="660" spans="1:1" ht="13">
      <c r="A660" s="10"/>
    </row>
    <row r="661" spans="1:1" ht="13">
      <c r="A661" s="10"/>
    </row>
    <row r="662" spans="1:1" ht="13">
      <c r="A662" s="10"/>
    </row>
    <row r="663" spans="1:1" ht="13">
      <c r="A663" s="10"/>
    </row>
    <row r="664" spans="1:1" ht="13">
      <c r="A664" s="10"/>
    </row>
    <row r="665" spans="1:1" ht="13">
      <c r="A665" s="10"/>
    </row>
    <row r="666" spans="1:1" ht="13">
      <c r="A666" s="10"/>
    </row>
    <row r="667" spans="1:1" ht="13">
      <c r="A667" s="10"/>
    </row>
    <row r="668" spans="1:1" ht="13">
      <c r="A668" s="10"/>
    </row>
    <row r="669" spans="1:1" ht="13">
      <c r="A669" s="10"/>
    </row>
    <row r="670" spans="1:1" ht="13">
      <c r="A670" s="10"/>
    </row>
    <row r="671" spans="1:1" ht="13">
      <c r="A671" s="10"/>
    </row>
    <row r="672" spans="1:1" ht="13">
      <c r="A672" s="10"/>
    </row>
    <row r="673" spans="1:1" ht="13">
      <c r="A673" s="10"/>
    </row>
    <row r="674" spans="1:1" ht="13">
      <c r="A674" s="10"/>
    </row>
    <row r="675" spans="1:1" ht="13">
      <c r="A675" s="10"/>
    </row>
    <row r="676" spans="1:1" ht="13">
      <c r="A676" s="10"/>
    </row>
    <row r="677" spans="1:1" ht="13">
      <c r="A677" s="10"/>
    </row>
    <row r="678" spans="1:1" ht="13">
      <c r="A678" s="10"/>
    </row>
    <row r="679" spans="1:1" ht="13">
      <c r="A679" s="10"/>
    </row>
    <row r="680" spans="1:1" ht="13">
      <c r="A680" s="10"/>
    </row>
    <row r="681" spans="1:1" ht="13">
      <c r="A681" s="10"/>
    </row>
    <row r="682" spans="1:1" ht="13">
      <c r="A682" s="10"/>
    </row>
    <row r="683" spans="1:1" ht="13">
      <c r="A683" s="10"/>
    </row>
    <row r="684" spans="1:1" ht="13">
      <c r="A684" s="10"/>
    </row>
    <row r="685" spans="1:1" ht="13">
      <c r="A685" s="10"/>
    </row>
    <row r="686" spans="1:1" ht="13">
      <c r="A686" s="10"/>
    </row>
    <row r="687" spans="1:1" ht="13">
      <c r="A687" s="10"/>
    </row>
    <row r="688" spans="1:1" ht="13">
      <c r="A688" s="10"/>
    </row>
    <row r="689" spans="1:1" ht="13">
      <c r="A689" s="10"/>
    </row>
    <row r="690" spans="1:1" ht="13">
      <c r="A690" s="10"/>
    </row>
    <row r="691" spans="1:1" ht="13">
      <c r="A691" s="10"/>
    </row>
    <row r="692" spans="1:1" ht="13">
      <c r="A692" s="10"/>
    </row>
    <row r="693" spans="1:1" ht="13">
      <c r="A693" s="10"/>
    </row>
    <row r="694" spans="1:1" ht="13">
      <c r="A694" s="10"/>
    </row>
    <row r="695" spans="1:1" ht="13">
      <c r="A695" s="10"/>
    </row>
    <row r="696" spans="1:1" ht="13">
      <c r="A696" s="10"/>
    </row>
    <row r="697" spans="1:1" ht="13">
      <c r="A697" s="10"/>
    </row>
    <row r="698" spans="1:1" ht="13">
      <c r="A698" s="10"/>
    </row>
    <row r="699" spans="1:1" ht="13">
      <c r="A699" s="10"/>
    </row>
    <row r="700" spans="1:1" ht="13">
      <c r="A700" s="10"/>
    </row>
    <row r="701" spans="1:1" ht="13">
      <c r="A701" s="10"/>
    </row>
    <row r="702" spans="1:1" ht="13">
      <c r="A702" s="10"/>
    </row>
    <row r="703" spans="1:1" ht="13">
      <c r="A703" s="10"/>
    </row>
    <row r="704" spans="1:1" ht="13">
      <c r="A704" s="10"/>
    </row>
    <row r="705" spans="1:1" ht="13">
      <c r="A705" s="10"/>
    </row>
    <row r="706" spans="1:1" ht="13">
      <c r="A706" s="10"/>
    </row>
    <row r="707" spans="1:1" ht="13">
      <c r="A707" s="10"/>
    </row>
    <row r="708" spans="1:1" ht="13">
      <c r="A708" s="10"/>
    </row>
    <row r="709" spans="1:1" ht="13">
      <c r="A709" s="10"/>
    </row>
    <row r="710" spans="1:1" ht="13">
      <c r="A710" s="10"/>
    </row>
    <row r="711" spans="1:1" ht="13">
      <c r="A711" s="10"/>
    </row>
    <row r="712" spans="1:1" ht="13">
      <c r="A712" s="10"/>
    </row>
    <row r="713" spans="1:1" ht="13">
      <c r="A713" s="10"/>
    </row>
    <row r="714" spans="1:1" ht="13">
      <c r="A714" s="10"/>
    </row>
    <row r="715" spans="1:1" ht="13">
      <c r="A715" s="10"/>
    </row>
    <row r="716" spans="1:1" ht="13">
      <c r="A716" s="10"/>
    </row>
    <row r="717" spans="1:1" ht="13">
      <c r="A717" s="10"/>
    </row>
    <row r="718" spans="1:1" ht="13">
      <c r="A718" s="10"/>
    </row>
    <row r="719" spans="1:1" ht="13">
      <c r="A719" s="10"/>
    </row>
    <row r="720" spans="1:1" ht="13">
      <c r="A720" s="10"/>
    </row>
    <row r="721" spans="1:1" ht="13">
      <c r="A721" s="10"/>
    </row>
    <row r="722" spans="1:1" ht="13">
      <c r="A722" s="10"/>
    </row>
    <row r="723" spans="1:1" ht="13">
      <c r="A723" s="10"/>
    </row>
    <row r="724" spans="1:1" ht="13">
      <c r="A724" s="10"/>
    </row>
    <row r="725" spans="1:1" ht="13">
      <c r="A725" s="10"/>
    </row>
    <row r="726" spans="1:1" ht="13">
      <c r="A726" s="10"/>
    </row>
    <row r="727" spans="1:1" ht="13">
      <c r="A727" s="10"/>
    </row>
    <row r="728" spans="1:1" ht="13">
      <c r="A728" s="10"/>
    </row>
    <row r="729" spans="1:1" ht="13">
      <c r="A729" s="10"/>
    </row>
    <row r="730" spans="1:1" ht="13">
      <c r="A730" s="10"/>
    </row>
    <row r="731" spans="1:1" ht="13">
      <c r="A731" s="10"/>
    </row>
    <row r="732" spans="1:1" ht="13">
      <c r="A732" s="10"/>
    </row>
    <row r="733" spans="1:1" ht="13">
      <c r="A733" s="10"/>
    </row>
    <row r="734" spans="1:1" ht="13">
      <c r="A734" s="10"/>
    </row>
    <row r="735" spans="1:1" ht="13">
      <c r="A735" s="10"/>
    </row>
    <row r="736" spans="1:1" ht="13">
      <c r="A736" s="10"/>
    </row>
    <row r="737" spans="1:1" ht="13">
      <c r="A737" s="10"/>
    </row>
    <row r="738" spans="1:1" ht="13">
      <c r="A738" s="10"/>
    </row>
    <row r="739" spans="1:1" ht="13">
      <c r="A739" s="10"/>
    </row>
    <row r="740" spans="1:1" ht="13">
      <c r="A740" s="10"/>
    </row>
    <row r="741" spans="1:1" ht="13">
      <c r="A741" s="10"/>
    </row>
    <row r="742" spans="1:1" ht="13">
      <c r="A742" s="10"/>
    </row>
    <row r="743" spans="1:1" ht="13">
      <c r="A743" s="10"/>
    </row>
    <row r="744" spans="1:1" ht="13">
      <c r="A744" s="10"/>
    </row>
    <row r="745" spans="1:1" ht="13">
      <c r="A745" s="10"/>
    </row>
    <row r="746" spans="1:1" ht="13">
      <c r="A746" s="10"/>
    </row>
    <row r="747" spans="1:1" ht="13">
      <c r="A747" s="10"/>
    </row>
    <row r="748" spans="1:1" ht="13">
      <c r="A748" s="10"/>
    </row>
    <row r="749" spans="1:1" ht="13">
      <c r="A749" s="10"/>
    </row>
    <row r="750" spans="1:1" ht="13">
      <c r="A750" s="10"/>
    </row>
    <row r="751" spans="1:1" ht="13">
      <c r="A751" s="10"/>
    </row>
    <row r="752" spans="1:1" ht="13">
      <c r="A752" s="10"/>
    </row>
    <row r="753" spans="1:1" ht="13">
      <c r="A753" s="10"/>
    </row>
    <row r="754" spans="1:1" ht="13">
      <c r="A754" s="10"/>
    </row>
    <row r="755" spans="1:1" ht="13">
      <c r="A755" s="10"/>
    </row>
    <row r="756" spans="1:1" ht="13">
      <c r="A756" s="10"/>
    </row>
    <row r="757" spans="1:1" ht="13">
      <c r="A757" s="10"/>
    </row>
    <row r="758" spans="1:1" ht="13">
      <c r="A758" s="10"/>
    </row>
    <row r="759" spans="1:1" ht="13">
      <c r="A759" s="10"/>
    </row>
    <row r="760" spans="1:1" ht="13">
      <c r="A760" s="10"/>
    </row>
    <row r="761" spans="1:1" ht="13">
      <c r="A761" s="10"/>
    </row>
    <row r="762" spans="1:1" ht="13">
      <c r="A762" s="10"/>
    </row>
    <row r="763" spans="1:1" ht="13">
      <c r="A763" s="10"/>
    </row>
    <row r="764" spans="1:1" ht="13">
      <c r="A764" s="10"/>
    </row>
    <row r="765" spans="1:1" ht="13">
      <c r="A765" s="10"/>
    </row>
    <row r="766" spans="1:1" ht="13">
      <c r="A766" s="10"/>
    </row>
    <row r="767" spans="1:1" ht="13">
      <c r="A767" s="10"/>
    </row>
    <row r="768" spans="1:1" ht="13">
      <c r="A768" s="10"/>
    </row>
    <row r="769" spans="1:1" ht="13">
      <c r="A769" s="10"/>
    </row>
    <row r="770" spans="1:1" ht="13">
      <c r="A770" s="10"/>
    </row>
    <row r="771" spans="1:1" ht="13">
      <c r="A771" s="10"/>
    </row>
    <row r="772" spans="1:1" ht="13">
      <c r="A772" s="10"/>
    </row>
    <row r="773" spans="1:1" ht="13">
      <c r="A773" s="10"/>
    </row>
    <row r="774" spans="1:1" ht="13">
      <c r="A774" s="10"/>
    </row>
    <row r="775" spans="1:1" ht="13">
      <c r="A775" s="10"/>
    </row>
    <row r="776" spans="1:1" ht="13">
      <c r="A776" s="10"/>
    </row>
    <row r="777" spans="1:1" ht="13">
      <c r="A777" s="10"/>
    </row>
    <row r="778" spans="1:1" ht="13">
      <c r="A778" s="10"/>
    </row>
    <row r="779" spans="1:1" ht="13">
      <c r="A779" s="10"/>
    </row>
    <row r="780" spans="1:1" ht="13">
      <c r="A780" s="10"/>
    </row>
    <row r="781" spans="1:1" ht="13">
      <c r="A781" s="10"/>
    </row>
    <row r="782" spans="1:1" ht="13">
      <c r="A782" s="10"/>
    </row>
    <row r="783" spans="1:1" ht="13">
      <c r="A783" s="10"/>
    </row>
    <row r="784" spans="1:1" ht="13">
      <c r="A784" s="10"/>
    </row>
    <row r="785" spans="1:1" ht="13">
      <c r="A785" s="10"/>
    </row>
    <row r="786" spans="1:1" ht="13">
      <c r="A786" s="10"/>
    </row>
    <row r="787" spans="1:1" ht="13">
      <c r="A787" s="10"/>
    </row>
    <row r="788" spans="1:1" ht="13">
      <c r="A788" s="10"/>
    </row>
    <row r="789" spans="1:1" ht="13">
      <c r="A789" s="10"/>
    </row>
    <row r="790" spans="1:1" ht="13">
      <c r="A790" s="10"/>
    </row>
    <row r="791" spans="1:1" ht="13">
      <c r="A791" s="10"/>
    </row>
    <row r="792" spans="1:1" ht="13">
      <c r="A792" s="10"/>
    </row>
    <row r="793" spans="1:1" ht="13">
      <c r="A793" s="10"/>
    </row>
    <row r="794" spans="1:1" ht="13">
      <c r="A794" s="10"/>
    </row>
    <row r="795" spans="1:1" ht="13">
      <c r="A795" s="10"/>
    </row>
    <row r="796" spans="1:1" ht="13">
      <c r="A796" s="10"/>
    </row>
    <row r="797" spans="1:1" ht="13">
      <c r="A797" s="10"/>
    </row>
    <row r="798" spans="1:1" ht="13">
      <c r="A798" s="10"/>
    </row>
    <row r="799" spans="1:1" ht="13">
      <c r="A799" s="10"/>
    </row>
    <row r="800" spans="1:1" ht="13">
      <c r="A800" s="10"/>
    </row>
    <row r="801" spans="1:1" ht="13">
      <c r="A801" s="10"/>
    </row>
    <row r="802" spans="1:1" ht="13">
      <c r="A802" s="10"/>
    </row>
    <row r="803" spans="1:1" ht="13">
      <c r="A803" s="10"/>
    </row>
    <row r="804" spans="1:1" ht="13">
      <c r="A804" s="10"/>
    </row>
    <row r="805" spans="1:1" ht="13">
      <c r="A805" s="10"/>
    </row>
    <row r="806" spans="1:1" ht="13">
      <c r="A806" s="10"/>
    </row>
    <row r="807" spans="1:1" ht="13">
      <c r="A807" s="10"/>
    </row>
    <row r="808" spans="1:1" ht="13">
      <c r="A808" s="10"/>
    </row>
    <row r="809" spans="1:1" ht="13">
      <c r="A809" s="10"/>
    </row>
    <row r="810" spans="1:1" ht="13">
      <c r="A810" s="10"/>
    </row>
    <row r="811" spans="1:1" ht="13">
      <c r="A811" s="10"/>
    </row>
    <row r="812" spans="1:1" ht="13">
      <c r="A812" s="10"/>
    </row>
    <row r="813" spans="1:1" ht="13">
      <c r="A813" s="10"/>
    </row>
    <row r="814" spans="1:1" ht="13">
      <c r="A814" s="10"/>
    </row>
    <row r="815" spans="1:1" ht="13">
      <c r="A815" s="10"/>
    </row>
    <row r="816" spans="1:1" ht="13">
      <c r="A816" s="10"/>
    </row>
    <row r="817" spans="1:1" ht="13">
      <c r="A817" s="10"/>
    </row>
    <row r="818" spans="1:1" ht="13">
      <c r="A818" s="10"/>
    </row>
    <row r="819" spans="1:1" ht="13">
      <c r="A819" s="10"/>
    </row>
    <row r="820" spans="1:1" ht="13">
      <c r="A820" s="10"/>
    </row>
    <row r="821" spans="1:1" ht="13">
      <c r="A821" s="10"/>
    </row>
    <row r="822" spans="1:1" ht="13">
      <c r="A822" s="10"/>
    </row>
    <row r="823" spans="1:1" ht="13">
      <c r="A823" s="10"/>
    </row>
    <row r="824" spans="1:1" ht="13">
      <c r="A824" s="10"/>
    </row>
    <row r="825" spans="1:1" ht="13">
      <c r="A825" s="10"/>
    </row>
    <row r="826" spans="1:1" ht="13">
      <c r="A826" s="10"/>
    </row>
    <row r="827" spans="1:1" ht="13">
      <c r="A827" s="10"/>
    </row>
    <row r="828" spans="1:1" ht="13">
      <c r="A828" s="10"/>
    </row>
    <row r="829" spans="1:1" ht="13">
      <c r="A829" s="10"/>
    </row>
    <row r="830" spans="1:1" ht="13">
      <c r="A830" s="10"/>
    </row>
    <row r="831" spans="1:1" ht="13">
      <c r="A831" s="10"/>
    </row>
    <row r="832" spans="1:1" ht="13">
      <c r="A832" s="10"/>
    </row>
    <row r="833" spans="1:1" ht="13">
      <c r="A833" s="10"/>
    </row>
    <row r="834" spans="1:1" ht="13">
      <c r="A834" s="10"/>
    </row>
    <row r="835" spans="1:1" ht="13">
      <c r="A835" s="10"/>
    </row>
    <row r="836" spans="1:1" ht="13">
      <c r="A836" s="10"/>
    </row>
    <row r="837" spans="1:1" ht="13">
      <c r="A837" s="10"/>
    </row>
    <row r="838" spans="1:1" ht="13">
      <c r="A838" s="10"/>
    </row>
    <row r="839" spans="1:1" ht="13">
      <c r="A839" s="10"/>
    </row>
    <row r="840" spans="1:1" ht="13">
      <c r="A840" s="10"/>
    </row>
    <row r="841" spans="1:1" ht="13">
      <c r="A841" s="10"/>
    </row>
    <row r="842" spans="1:1" ht="13">
      <c r="A842" s="10"/>
    </row>
    <row r="843" spans="1:1" ht="13">
      <c r="A843" s="10"/>
    </row>
    <row r="844" spans="1:1" ht="13">
      <c r="A844" s="10"/>
    </row>
    <row r="845" spans="1:1" ht="13">
      <c r="A845" s="10"/>
    </row>
    <row r="846" spans="1:1" ht="13">
      <c r="A846" s="10"/>
    </row>
    <row r="847" spans="1:1" ht="13">
      <c r="A847" s="10"/>
    </row>
    <row r="848" spans="1:1" ht="13">
      <c r="A848" s="10"/>
    </row>
    <row r="849" spans="1:1" ht="13">
      <c r="A849" s="10"/>
    </row>
    <row r="850" spans="1:1" ht="13">
      <c r="A850" s="10"/>
    </row>
    <row r="851" spans="1:1" ht="13">
      <c r="A851" s="10"/>
    </row>
    <row r="852" spans="1:1" ht="13">
      <c r="A852" s="10"/>
    </row>
    <row r="853" spans="1:1" ht="13">
      <c r="A853" s="10"/>
    </row>
    <row r="854" spans="1:1" ht="13">
      <c r="A854" s="10"/>
    </row>
    <row r="855" spans="1:1" ht="13">
      <c r="A855" s="10"/>
    </row>
    <row r="856" spans="1:1" ht="13">
      <c r="A856" s="10"/>
    </row>
    <row r="857" spans="1:1" ht="13">
      <c r="A857" s="10"/>
    </row>
    <row r="858" spans="1:1" ht="13">
      <c r="A858" s="10"/>
    </row>
    <row r="859" spans="1:1" ht="13">
      <c r="A859" s="10"/>
    </row>
    <row r="860" spans="1:1" ht="13">
      <c r="A860" s="10"/>
    </row>
    <row r="861" spans="1:1" ht="13">
      <c r="A861" s="10"/>
    </row>
    <row r="862" spans="1:1" ht="13">
      <c r="A862" s="10"/>
    </row>
    <row r="863" spans="1:1" ht="13">
      <c r="A863" s="10"/>
    </row>
    <row r="864" spans="1:1" ht="13">
      <c r="A864" s="10"/>
    </row>
    <row r="865" spans="1:1" ht="13">
      <c r="A865" s="10"/>
    </row>
    <row r="866" spans="1:1" ht="13">
      <c r="A866" s="10"/>
    </row>
    <row r="867" spans="1:1" ht="13">
      <c r="A867" s="10"/>
    </row>
    <row r="868" spans="1:1" ht="13">
      <c r="A868" s="10"/>
    </row>
    <row r="869" spans="1:1" ht="13">
      <c r="A869" s="10"/>
    </row>
    <row r="870" spans="1:1" ht="13">
      <c r="A870" s="10"/>
    </row>
    <row r="871" spans="1:1" ht="13">
      <c r="A871" s="10"/>
    </row>
    <row r="872" spans="1:1" ht="13">
      <c r="A872" s="10"/>
    </row>
    <row r="873" spans="1:1" ht="13">
      <c r="A873" s="10"/>
    </row>
    <row r="874" spans="1:1" ht="13">
      <c r="A874" s="10"/>
    </row>
    <row r="875" spans="1:1" ht="13">
      <c r="A875" s="10"/>
    </row>
    <row r="876" spans="1:1" ht="13">
      <c r="A876" s="10"/>
    </row>
    <row r="877" spans="1:1" ht="13">
      <c r="A877" s="10"/>
    </row>
    <row r="878" spans="1:1" ht="13">
      <c r="A878" s="10"/>
    </row>
    <row r="879" spans="1:1" ht="13">
      <c r="A879" s="10"/>
    </row>
    <row r="880" spans="1:1" ht="13">
      <c r="A880" s="10"/>
    </row>
    <row r="881" spans="1:1" ht="13">
      <c r="A881" s="10"/>
    </row>
    <row r="882" spans="1:1" ht="13">
      <c r="A882" s="10"/>
    </row>
    <row r="883" spans="1:1" ht="13">
      <c r="A883" s="10"/>
    </row>
    <row r="884" spans="1:1" ht="13">
      <c r="A884" s="10"/>
    </row>
    <row r="885" spans="1:1" ht="13">
      <c r="A885" s="10"/>
    </row>
    <row r="886" spans="1:1" ht="13">
      <c r="A886" s="10"/>
    </row>
    <row r="887" spans="1:1" ht="13">
      <c r="A887" s="10"/>
    </row>
    <row r="888" spans="1:1" ht="13">
      <c r="A888" s="10"/>
    </row>
    <row r="889" spans="1:1" ht="13">
      <c r="A889" s="10"/>
    </row>
    <row r="890" spans="1:1" ht="13">
      <c r="A890" s="10"/>
    </row>
    <row r="891" spans="1:1" ht="13">
      <c r="A891" s="10"/>
    </row>
    <row r="892" spans="1:1" ht="13">
      <c r="A892" s="10"/>
    </row>
    <row r="893" spans="1:1" ht="13">
      <c r="A893" s="10"/>
    </row>
    <row r="894" spans="1:1" ht="13">
      <c r="A894" s="10"/>
    </row>
    <row r="895" spans="1:1" ht="13">
      <c r="A895" s="10"/>
    </row>
    <row r="896" spans="1:1" ht="13">
      <c r="A896" s="10"/>
    </row>
    <row r="897" spans="1:1" ht="13">
      <c r="A897" s="10"/>
    </row>
    <row r="898" spans="1:1" ht="13">
      <c r="A898" s="10"/>
    </row>
    <row r="899" spans="1:1" ht="13">
      <c r="A899" s="10"/>
    </row>
    <row r="900" spans="1:1" ht="13">
      <c r="A900" s="10"/>
    </row>
    <row r="901" spans="1:1" ht="13">
      <c r="A901" s="10"/>
    </row>
    <row r="902" spans="1:1" ht="13">
      <c r="A902" s="10"/>
    </row>
    <row r="903" spans="1:1" ht="13">
      <c r="A903" s="10"/>
    </row>
    <row r="904" spans="1:1" ht="13">
      <c r="A904" s="10"/>
    </row>
    <row r="905" spans="1:1" ht="13">
      <c r="A905" s="10"/>
    </row>
    <row r="906" spans="1:1" ht="13">
      <c r="A906" s="10"/>
    </row>
    <row r="907" spans="1:1" ht="13">
      <c r="A907" s="10"/>
    </row>
    <row r="908" spans="1:1" ht="13">
      <c r="A908" s="10"/>
    </row>
    <row r="909" spans="1:1" ht="13">
      <c r="A909" s="10"/>
    </row>
    <row r="910" spans="1:1" ht="13">
      <c r="A910" s="10"/>
    </row>
    <row r="911" spans="1:1" ht="13">
      <c r="A911" s="10"/>
    </row>
    <row r="912" spans="1:1" ht="13">
      <c r="A912" s="10"/>
    </row>
    <row r="913" spans="1:1" ht="13">
      <c r="A913" s="10"/>
    </row>
    <row r="914" spans="1:1" ht="13">
      <c r="A914" s="10"/>
    </row>
    <row r="915" spans="1:1" ht="13">
      <c r="A915" s="10"/>
    </row>
    <row r="916" spans="1:1" ht="13">
      <c r="A916" s="10"/>
    </row>
    <row r="917" spans="1:1" ht="13">
      <c r="A917" s="10"/>
    </row>
    <row r="918" spans="1:1" ht="13">
      <c r="A918" s="10"/>
    </row>
    <row r="919" spans="1:1" ht="13">
      <c r="A919" s="10"/>
    </row>
    <row r="920" spans="1:1" ht="13">
      <c r="A920" s="10"/>
    </row>
    <row r="921" spans="1:1" ht="13">
      <c r="A921" s="10"/>
    </row>
    <row r="922" spans="1:1" ht="13">
      <c r="A922" s="10"/>
    </row>
    <row r="923" spans="1:1" ht="13">
      <c r="A923" s="10"/>
    </row>
    <row r="924" spans="1:1" ht="13">
      <c r="A924" s="10"/>
    </row>
    <row r="925" spans="1:1" ht="13">
      <c r="A925" s="10"/>
    </row>
    <row r="926" spans="1:1" ht="13">
      <c r="A926" s="10"/>
    </row>
    <row r="927" spans="1:1" ht="13">
      <c r="A927" s="10"/>
    </row>
    <row r="928" spans="1:1" ht="13">
      <c r="A928" s="10"/>
    </row>
    <row r="929" spans="1:1" ht="13">
      <c r="A929" s="10"/>
    </row>
    <row r="930" spans="1:1" ht="13">
      <c r="A930" s="10"/>
    </row>
    <row r="931" spans="1:1" ht="13">
      <c r="A931" s="10"/>
    </row>
    <row r="932" spans="1:1" ht="13">
      <c r="A932" s="10"/>
    </row>
    <row r="933" spans="1:1" ht="13">
      <c r="A933" s="10"/>
    </row>
    <row r="934" spans="1:1" ht="13">
      <c r="A934" s="10"/>
    </row>
    <row r="935" spans="1:1" ht="13">
      <c r="A935" s="10"/>
    </row>
    <row r="936" spans="1:1" ht="13">
      <c r="A936" s="10"/>
    </row>
    <row r="937" spans="1:1" ht="13">
      <c r="A937" s="10"/>
    </row>
    <row r="938" spans="1:1" ht="13">
      <c r="A938" s="10"/>
    </row>
    <row r="939" spans="1:1" ht="13">
      <c r="A939" s="10"/>
    </row>
    <row r="940" spans="1:1" ht="13">
      <c r="A940" s="10"/>
    </row>
    <row r="941" spans="1:1" ht="13">
      <c r="A941" s="10"/>
    </row>
    <row r="942" spans="1:1" ht="13">
      <c r="A942" s="10"/>
    </row>
    <row r="943" spans="1:1" ht="13">
      <c r="A943" s="10"/>
    </row>
    <row r="944" spans="1:1" ht="13">
      <c r="A944" s="10"/>
    </row>
    <row r="945" spans="1:1" ht="13">
      <c r="A945" s="10"/>
    </row>
    <row r="946" spans="1:1" ht="13">
      <c r="A946" s="10"/>
    </row>
    <row r="947" spans="1:1" ht="13">
      <c r="A947" s="10"/>
    </row>
    <row r="948" spans="1:1" ht="13">
      <c r="A948" s="10"/>
    </row>
    <row r="949" spans="1:1" ht="13">
      <c r="A949" s="10"/>
    </row>
    <row r="950" spans="1:1" ht="13">
      <c r="A950" s="10"/>
    </row>
    <row r="951" spans="1:1" ht="13">
      <c r="A951" s="10"/>
    </row>
    <row r="952" spans="1:1" ht="13">
      <c r="A952" s="10"/>
    </row>
    <row r="953" spans="1:1" ht="13">
      <c r="A953" s="10"/>
    </row>
    <row r="954" spans="1:1" ht="13">
      <c r="A954" s="10"/>
    </row>
    <row r="955" spans="1:1" ht="13">
      <c r="A955" s="10"/>
    </row>
    <row r="956" spans="1:1" ht="13">
      <c r="A956" s="10"/>
    </row>
    <row r="957" spans="1:1" ht="13">
      <c r="A957" s="10"/>
    </row>
    <row r="958" spans="1:1" ht="13">
      <c r="A958" s="10"/>
    </row>
    <row r="959" spans="1:1" ht="13">
      <c r="A959" s="10"/>
    </row>
    <row r="960" spans="1:1" ht="13">
      <c r="A960" s="10"/>
    </row>
    <row r="961" spans="1:1" ht="13">
      <c r="A961" s="10"/>
    </row>
    <row r="962" spans="1:1" ht="13">
      <c r="A962" s="10"/>
    </row>
    <row r="963" spans="1:1" ht="13">
      <c r="A963" s="10"/>
    </row>
    <row r="964" spans="1:1" ht="13">
      <c r="A964" s="10"/>
    </row>
    <row r="965" spans="1:1" ht="13">
      <c r="A965" s="10"/>
    </row>
    <row r="966" spans="1:1" ht="13">
      <c r="A966" s="10"/>
    </row>
    <row r="967" spans="1:1" ht="13">
      <c r="A967" s="10"/>
    </row>
    <row r="968" spans="1:1" ht="13">
      <c r="A968" s="10"/>
    </row>
    <row r="969" spans="1:1" ht="13">
      <c r="A969" s="10"/>
    </row>
    <row r="970" spans="1:1" ht="13">
      <c r="A970" s="10"/>
    </row>
    <row r="971" spans="1:1" ht="13">
      <c r="A971" s="10"/>
    </row>
    <row r="972" spans="1:1" ht="13">
      <c r="A972" s="10"/>
    </row>
    <row r="973" spans="1:1" ht="13">
      <c r="A973" s="10"/>
    </row>
    <row r="974" spans="1:1" ht="13">
      <c r="A974" s="10"/>
    </row>
    <row r="975" spans="1:1" ht="13">
      <c r="A975" s="10"/>
    </row>
    <row r="976" spans="1:1" ht="13">
      <c r="A976" s="10"/>
    </row>
    <row r="977" spans="1:1" ht="13">
      <c r="A977" s="10"/>
    </row>
    <row r="978" spans="1:1" ht="13">
      <c r="A978" s="10"/>
    </row>
    <row r="979" spans="1:1" ht="13">
      <c r="A979" s="10"/>
    </row>
    <row r="980" spans="1:1" ht="13">
      <c r="A980" s="10"/>
    </row>
    <row r="981" spans="1:1" ht="13">
      <c r="A981" s="10"/>
    </row>
    <row r="982" spans="1:1" ht="13">
      <c r="A982" s="10"/>
    </row>
    <row r="983" spans="1:1" ht="13">
      <c r="A983" s="10"/>
    </row>
    <row r="984" spans="1:1" ht="13">
      <c r="A984" s="10"/>
    </row>
    <row r="985" spans="1:1" ht="13">
      <c r="A985" s="10"/>
    </row>
    <row r="986" spans="1:1" ht="13">
      <c r="A986" s="10"/>
    </row>
    <row r="987" spans="1:1" ht="13">
      <c r="A987" s="10"/>
    </row>
    <row r="988" spans="1:1" ht="13">
      <c r="A988" s="10"/>
    </row>
    <row r="989" spans="1:1" ht="13">
      <c r="A989" s="10"/>
    </row>
    <row r="990" spans="1:1" ht="13">
      <c r="A990" s="10"/>
    </row>
    <row r="991" spans="1:1" ht="13">
      <c r="A991" s="10"/>
    </row>
    <row r="992" spans="1:1" ht="13">
      <c r="A992" s="10"/>
    </row>
    <row r="993" spans="1:1" ht="13">
      <c r="A993" s="10"/>
    </row>
    <row r="994" spans="1:1" ht="13">
      <c r="A994" s="10"/>
    </row>
    <row r="995" spans="1:1" ht="13">
      <c r="A995" s="10"/>
    </row>
    <row r="996" spans="1:1" ht="13">
      <c r="A996" s="10"/>
    </row>
    <row r="997" spans="1:1" ht="13">
      <c r="A997" s="10"/>
    </row>
    <row r="998" spans="1:1" ht="13">
      <c r="A998" s="10"/>
    </row>
    <row r="999" spans="1:1" ht="13">
      <c r="A999" s="10"/>
    </row>
    <row r="1000" spans="1:1" ht="13">
      <c r="A1000" s="10"/>
    </row>
    <row r="1001" spans="1:1" ht="13">
      <c r="A1001" s="10"/>
    </row>
    <row r="1002" spans="1:1" ht="13">
      <c r="A1002" s="10"/>
    </row>
    <row r="1003" spans="1:1" ht="13">
      <c r="A1003" s="10"/>
    </row>
    <row r="1004" spans="1:1" ht="13">
      <c r="A1004" s="10"/>
    </row>
    <row r="1005" spans="1:1" ht="13">
      <c r="A1005" s="10"/>
    </row>
    <row r="1006" spans="1:1" ht="13">
      <c r="A1006" s="10"/>
    </row>
    <row r="1007" spans="1:1" ht="13">
      <c r="A1007" s="10"/>
    </row>
    <row r="1008" spans="1:1" ht="13">
      <c r="A1008" s="10"/>
    </row>
    <row r="1009" spans="1:1" ht="13">
      <c r="A1009" s="10"/>
    </row>
    <row r="1010" spans="1:1" ht="13">
      <c r="A1010" s="10"/>
    </row>
    <row r="1011" spans="1:1" ht="13">
      <c r="A1011" s="10"/>
    </row>
    <row r="1012" spans="1:1" ht="13">
      <c r="A1012" s="10"/>
    </row>
    <row r="1013" spans="1:1" ht="13">
      <c r="A1013" s="10"/>
    </row>
    <row r="1014" spans="1:1" ht="13">
      <c r="A1014" s="10"/>
    </row>
    <row r="1015" spans="1:1" ht="13">
      <c r="A1015" s="10"/>
    </row>
    <row r="1016" spans="1:1" ht="13">
      <c r="A1016" s="10"/>
    </row>
    <row r="1017" spans="1:1" ht="13">
      <c r="A1017" s="10"/>
    </row>
    <row r="1018" spans="1:1" ht="13">
      <c r="A1018" s="10"/>
    </row>
    <row r="1019" spans="1:1" ht="13">
      <c r="A1019" s="10"/>
    </row>
    <row r="1020" spans="1:1" ht="13">
      <c r="A1020" s="10"/>
    </row>
    <row r="1021" spans="1:1" ht="13">
      <c r="A1021" s="10"/>
    </row>
    <row r="1022" spans="1:1" ht="13">
      <c r="A1022" s="10"/>
    </row>
    <row r="1023" spans="1:1" ht="13">
      <c r="A1023" s="10"/>
    </row>
    <row r="1024" spans="1:1" ht="13">
      <c r="A1024" s="10"/>
    </row>
    <row r="1025" spans="1:1" ht="13">
      <c r="A1025" s="10"/>
    </row>
    <row r="1026" spans="1:1" ht="13">
      <c r="A1026" s="10"/>
    </row>
    <row r="1027" spans="1:1" ht="13">
      <c r="A1027" s="10"/>
    </row>
    <row r="1028" spans="1:1" ht="13">
      <c r="A1028" s="10"/>
    </row>
    <row r="1029" spans="1:1" ht="13">
      <c r="A1029" s="10"/>
    </row>
    <row r="1030" spans="1:1" ht="13">
      <c r="A1030" s="10"/>
    </row>
    <row r="1031" spans="1:1" ht="13">
      <c r="A1031" s="10"/>
    </row>
    <row r="1032" spans="1:1" ht="13">
      <c r="A1032" s="10"/>
    </row>
  </sheetData>
  <mergeCells count="1">
    <mergeCell ref="P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C0000"/>
    <outlinePr summaryBelow="0" summaryRight="0"/>
  </sheetPr>
  <dimension ref="A1:N892"/>
  <sheetViews>
    <sheetView workbookViewId="0"/>
  </sheetViews>
  <sheetFormatPr baseColWidth="10" defaultColWidth="12.6640625" defaultRowHeight="15.75" customHeight="1"/>
  <cols>
    <col min="1" max="1" width="16.83203125" customWidth="1"/>
  </cols>
  <sheetData>
    <row r="1" spans="1:14" ht="15.75" customHeight="1">
      <c r="A1" s="112" t="s">
        <v>70</v>
      </c>
      <c r="B1" s="112"/>
      <c r="C1" s="113" t="s">
        <v>71</v>
      </c>
      <c r="D1" s="114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>
      <c r="A3" s="115" t="s">
        <v>72</v>
      </c>
      <c r="B3" s="802" t="s">
        <v>73</v>
      </c>
      <c r="C3" s="803"/>
      <c r="D3" s="804" t="s">
        <v>74</v>
      </c>
      <c r="E3" s="805"/>
      <c r="F3" s="803"/>
      <c r="G3" s="806" t="s">
        <v>75</v>
      </c>
      <c r="H3" s="803"/>
      <c r="I3" s="112"/>
      <c r="J3" s="112" t="s">
        <v>76</v>
      </c>
      <c r="K3" s="115" t="s">
        <v>77</v>
      </c>
      <c r="L3" s="112"/>
      <c r="M3" s="112"/>
      <c r="N3" s="112"/>
    </row>
    <row r="4" spans="1:14">
      <c r="A4" s="115"/>
      <c r="B4" s="117" t="s">
        <v>2</v>
      </c>
      <c r="C4" s="117" t="s">
        <v>6</v>
      </c>
      <c r="D4" s="118" t="s">
        <v>78</v>
      </c>
      <c r="E4" s="118" t="s">
        <v>52</v>
      </c>
      <c r="F4" s="118" t="s">
        <v>79</v>
      </c>
      <c r="G4" s="119" t="s">
        <v>78</v>
      </c>
      <c r="H4" s="120" t="s">
        <v>79</v>
      </c>
      <c r="I4" s="112"/>
      <c r="J4" s="112" t="s">
        <v>2</v>
      </c>
      <c r="K4" s="115" t="s">
        <v>2</v>
      </c>
      <c r="L4" s="112"/>
      <c r="M4" s="112"/>
      <c r="N4" s="112"/>
    </row>
    <row r="5" spans="1:14">
      <c r="A5" s="112" t="s">
        <v>80</v>
      </c>
      <c r="B5" s="121">
        <f>SUM(Facturacion!G2:G6)</f>
        <v>154980</v>
      </c>
      <c r="C5" s="122">
        <f>SUM(Facturacion!L2:L6)</f>
        <v>33509</v>
      </c>
      <c r="D5" s="123">
        <f>SUM(Facturacion!N2:N6)</f>
        <v>1486011.2150000001</v>
      </c>
      <c r="E5" s="124">
        <f>Facturacion!M2</f>
        <v>44.475000000000001</v>
      </c>
      <c r="F5" s="125">
        <f t="shared" ref="F5:F16" si="0">B5/E5</f>
        <v>3484.6543001686341</v>
      </c>
      <c r="G5" s="126">
        <f t="shared" ref="G5:G16" si="1">SUM(B5,D5)</f>
        <v>1640991.2150000001</v>
      </c>
      <c r="H5" s="127">
        <f t="shared" ref="H5:H16" si="2">C5+F5</f>
        <v>36993.654300168637</v>
      </c>
      <c r="I5" s="112"/>
      <c r="J5" s="128">
        <f t="shared" ref="J5:J16" si="3">K5-G5</f>
        <v>5.0000001210719347E-3</v>
      </c>
      <c r="K5" s="128">
        <f>873177.68+767813.54</f>
        <v>1640991.2200000002</v>
      </c>
      <c r="L5" s="112"/>
      <c r="M5" s="112"/>
      <c r="N5" s="112"/>
    </row>
    <row r="6" spans="1:14">
      <c r="A6" s="112" t="s">
        <v>81</v>
      </c>
      <c r="B6" s="129">
        <f>SUM(Facturacion!G7:G12)</f>
        <v>151018.20000000001</v>
      </c>
      <c r="C6" s="130">
        <f>SUM(Facturacion!L7:L12)</f>
        <v>30538</v>
      </c>
      <c r="D6" s="131">
        <f>SUM(Facturacion!N7:N12)</f>
        <v>1314581</v>
      </c>
      <c r="E6" s="132">
        <f>Facturacion!M7</f>
        <v>43.073999999999998</v>
      </c>
      <c r="F6" s="133">
        <f t="shared" si="0"/>
        <v>3506.0175511909742</v>
      </c>
      <c r="G6" s="134">
        <f t="shared" si="1"/>
        <v>1465599.2</v>
      </c>
      <c r="H6" s="135">
        <f t="shared" si="2"/>
        <v>34044.017551190977</v>
      </c>
      <c r="I6" s="112"/>
      <c r="J6" s="128">
        <f t="shared" si="3"/>
        <v>0</v>
      </c>
      <c r="K6" s="128">
        <f>600882.3+864716.9</f>
        <v>1465599.2000000002</v>
      </c>
      <c r="L6" s="112"/>
      <c r="M6" s="112"/>
      <c r="N6" s="112"/>
    </row>
    <row r="7" spans="1:14">
      <c r="A7" s="112" t="s">
        <v>82</v>
      </c>
      <c r="B7" s="129">
        <f>SUM(Facturacion!G13:G14)</f>
        <v>0</v>
      </c>
      <c r="C7" s="130">
        <f>SUM(Facturacion!L13:L14)</f>
        <v>20703</v>
      </c>
      <c r="D7" s="131">
        <f>SUM(Facturacion!N13:N14)</f>
        <v>848181.20700000005</v>
      </c>
      <c r="E7" s="132">
        <f>Facturacion!M13</f>
        <v>40.969000000000001</v>
      </c>
      <c r="F7" s="133">
        <f t="shared" si="0"/>
        <v>0</v>
      </c>
      <c r="G7" s="134">
        <f t="shared" si="1"/>
        <v>848181.20700000005</v>
      </c>
      <c r="H7" s="135">
        <f t="shared" si="2"/>
        <v>20703</v>
      </c>
      <c r="J7" s="128">
        <f t="shared" si="3"/>
        <v>70183.172999999952</v>
      </c>
      <c r="K7" s="128">
        <v>918364.38</v>
      </c>
      <c r="L7" s="112" t="s">
        <v>83</v>
      </c>
      <c r="M7" s="112"/>
      <c r="N7" s="112">
        <f>J7/44.569</f>
        <v>1574.7082725661323</v>
      </c>
    </row>
    <row r="8" spans="1:14">
      <c r="A8" s="112" t="s">
        <v>84</v>
      </c>
      <c r="B8" s="129">
        <f>SUM(Facturacion!G15:G17)</f>
        <v>140571.9</v>
      </c>
      <c r="C8" s="130">
        <f>SUM(Facturacion!L15:L17)</f>
        <v>9824</v>
      </c>
      <c r="D8" s="131">
        <f>SUM(Facturacion!N15:N17)</f>
        <v>401084.44799999997</v>
      </c>
      <c r="E8" s="132">
        <f>Facturacion!M15</f>
        <v>40.048999999999999</v>
      </c>
      <c r="F8" s="133">
        <f t="shared" si="0"/>
        <v>3509.9977527528777</v>
      </c>
      <c r="G8" s="134">
        <f t="shared" si="1"/>
        <v>541656.348</v>
      </c>
      <c r="H8" s="135">
        <f t="shared" si="2"/>
        <v>13333.997752752877</v>
      </c>
      <c r="I8" s="112"/>
      <c r="J8" s="128">
        <f t="shared" si="3"/>
        <v>1.9999999785795808E-3</v>
      </c>
      <c r="K8" s="128">
        <f>140571.9+401084.45</f>
        <v>541656.35</v>
      </c>
      <c r="L8" s="112"/>
      <c r="M8" s="112"/>
      <c r="N8" s="112"/>
    </row>
    <row r="9" spans="1:14">
      <c r="A9" s="112" t="s">
        <v>85</v>
      </c>
      <c r="B9" s="129">
        <f>SUM(Facturacion!G18:G20)</f>
        <v>140091.29999999999</v>
      </c>
      <c r="C9" s="130">
        <f>SUM(Facturacion!L18:L20)</f>
        <v>15416</v>
      </c>
      <c r="D9" s="131">
        <f>SUM(Facturacion!N18:N20)</f>
        <v>619800.28</v>
      </c>
      <c r="E9" s="132">
        <f>Facturacion!M18</f>
        <v>39.911999999999999</v>
      </c>
      <c r="F9" s="133">
        <f t="shared" si="0"/>
        <v>3510.0045099218278</v>
      </c>
      <c r="G9" s="134">
        <f t="shared" si="1"/>
        <v>759891.58000000007</v>
      </c>
      <c r="H9" s="135">
        <f t="shared" si="2"/>
        <v>18926.004509921826</v>
      </c>
      <c r="I9" s="112"/>
      <c r="J9" s="128">
        <f t="shared" si="3"/>
        <v>0</v>
      </c>
      <c r="K9" s="128">
        <f>140091.3+619800.28</f>
        <v>759891.58000000007</v>
      </c>
      <c r="L9" s="112"/>
      <c r="M9" s="112"/>
      <c r="N9" s="112"/>
    </row>
    <row r="10" spans="1:14">
      <c r="A10" s="112" t="s">
        <v>86</v>
      </c>
      <c r="B10" s="129">
        <f>SUM(Facturacion!G21:G23)</f>
        <v>0</v>
      </c>
      <c r="C10" s="130">
        <f>SUM(Facturacion!L21:L23)</f>
        <v>44667.5</v>
      </c>
      <c r="D10" s="131">
        <f>SUM(Facturacion!N21:N23)</f>
        <v>1766018.4900000002</v>
      </c>
      <c r="E10" s="132">
        <f>Facturacion!M21</f>
        <v>39.575000000000003</v>
      </c>
      <c r="F10" s="133">
        <f t="shared" si="0"/>
        <v>0</v>
      </c>
      <c r="G10" s="134">
        <f t="shared" si="1"/>
        <v>1766018.4900000002</v>
      </c>
      <c r="H10" s="135">
        <f t="shared" si="2"/>
        <v>44667.5</v>
      </c>
      <c r="I10" s="112"/>
      <c r="J10" s="128">
        <f t="shared" si="3"/>
        <v>0</v>
      </c>
      <c r="K10" s="128">
        <f>1139760+626258.49</f>
        <v>1766018.49</v>
      </c>
      <c r="L10" s="112"/>
      <c r="M10" s="112"/>
      <c r="N10" s="112"/>
    </row>
    <row r="11" spans="1:14">
      <c r="A11" s="112" t="s">
        <v>87</v>
      </c>
      <c r="B11" s="129">
        <f>SUM(Facturacion!G24:G28)</f>
        <v>146721.60000000001</v>
      </c>
      <c r="C11" s="130">
        <f>SUM(Facturacion!L24:L28)</f>
        <v>12937.5</v>
      </c>
      <c r="D11" s="131">
        <f>SUM(Facturacion!N24:N28)</f>
        <v>530541</v>
      </c>
      <c r="E11" s="132">
        <f>Facturacion!M24</f>
        <v>41.801000000000002</v>
      </c>
      <c r="F11" s="133">
        <f t="shared" si="0"/>
        <v>3510.0021530585391</v>
      </c>
      <c r="G11" s="134">
        <f t="shared" si="1"/>
        <v>677262.6</v>
      </c>
      <c r="H11" s="135">
        <f t="shared" si="2"/>
        <v>16447.50215305854</v>
      </c>
      <c r="I11" s="112"/>
      <c r="J11" s="128">
        <f t="shared" si="3"/>
        <v>0</v>
      </c>
      <c r="K11" s="128">
        <f>146721.6+530541</f>
        <v>677262.6</v>
      </c>
      <c r="L11" s="112"/>
      <c r="M11" s="112"/>
      <c r="N11" s="112"/>
    </row>
    <row r="12" spans="1:14">
      <c r="A12" s="112" t="s">
        <v>88</v>
      </c>
      <c r="B12" s="129">
        <f>SUM(Facturacion!G29:G31)</f>
        <v>143120.70000000001</v>
      </c>
      <c r="C12" s="130">
        <f>SUM(Facturacion!L29:L31)</f>
        <v>15387.18</v>
      </c>
      <c r="D12" s="131">
        <f>SUM(Facturacion!N29:N31)</f>
        <v>627104.5209</v>
      </c>
      <c r="E12" s="132">
        <f>Facturacion!M29</f>
        <v>40.755000000000003</v>
      </c>
      <c r="F12" s="133">
        <f t="shared" si="0"/>
        <v>3511.7335296282668</v>
      </c>
      <c r="G12" s="134">
        <f t="shared" si="1"/>
        <v>770225.22090000007</v>
      </c>
      <c r="H12" s="135">
        <f t="shared" si="2"/>
        <v>18898.913529628266</v>
      </c>
      <c r="I12" s="136"/>
      <c r="J12" s="128">
        <f t="shared" si="3"/>
        <v>-9.0000010095536709E-4</v>
      </c>
      <c r="K12" s="128">
        <f>770225.22</f>
        <v>770225.22</v>
      </c>
      <c r="L12" s="112"/>
      <c r="M12" s="112"/>
      <c r="N12" s="112"/>
    </row>
    <row r="13" spans="1:14">
      <c r="A13" s="112" t="s">
        <v>89</v>
      </c>
      <c r="B13" s="129">
        <f>SUM(Facturacion!G32:G35)</f>
        <v>0</v>
      </c>
      <c r="C13" s="130">
        <f>SUM(Facturacion!L32:L35)</f>
        <v>24137</v>
      </c>
      <c r="D13" s="131">
        <f>SUM(Facturacion!N32:N35)</f>
        <v>1003857.8300000001</v>
      </c>
      <c r="E13" s="132">
        <f>Facturacion!M32</f>
        <v>41.59</v>
      </c>
      <c r="F13" s="133">
        <f t="shared" si="0"/>
        <v>0</v>
      </c>
      <c r="G13" s="134">
        <f t="shared" si="1"/>
        <v>1003857.8300000001</v>
      </c>
      <c r="H13" s="135">
        <f t="shared" si="2"/>
        <v>24137</v>
      </c>
      <c r="I13" s="137"/>
      <c r="J13" s="128">
        <f t="shared" si="3"/>
        <v>0</v>
      </c>
      <c r="K13" s="128">
        <f>691932.83+311925</f>
        <v>1003857.83</v>
      </c>
      <c r="L13" s="112" t="s">
        <v>90</v>
      </c>
      <c r="M13" s="112"/>
      <c r="N13" s="112"/>
    </row>
    <row r="14" spans="1:14">
      <c r="A14" s="112" t="s">
        <v>91</v>
      </c>
      <c r="B14" s="129">
        <f>SUM(Facturacion!G36:G39)</f>
        <v>0</v>
      </c>
      <c r="C14" s="130">
        <f>SUM(Facturacion!L36:L39)</f>
        <v>23282.5</v>
      </c>
      <c r="D14" s="131">
        <f>SUM(Facturacion!N36:N39)</f>
        <v>947768.54249999998</v>
      </c>
      <c r="E14" s="132">
        <f>Facturacion!M36</f>
        <v>41.24</v>
      </c>
      <c r="F14" s="133">
        <f t="shared" si="0"/>
        <v>0</v>
      </c>
      <c r="G14" s="134">
        <f t="shared" si="1"/>
        <v>947768.54249999998</v>
      </c>
      <c r="H14" s="135">
        <f t="shared" si="2"/>
        <v>23282.5</v>
      </c>
      <c r="I14" s="136"/>
      <c r="J14" s="128">
        <f t="shared" si="3"/>
        <v>8145.8175000000047</v>
      </c>
      <c r="K14" s="128">
        <f>197952+445594.04+304267.5+8100.82</f>
        <v>955914.36</v>
      </c>
      <c r="L14" s="112" t="s">
        <v>90</v>
      </c>
      <c r="M14" s="112"/>
      <c r="N14" s="112"/>
    </row>
    <row r="15" spans="1:14">
      <c r="A15" s="112" t="s">
        <v>92</v>
      </c>
      <c r="B15" s="129">
        <f>SUM(Facturacion!G40:G43)</f>
        <v>0</v>
      </c>
      <c r="C15" s="130">
        <f>SUM(Facturacion!L40:L43)</f>
        <v>24318.5</v>
      </c>
      <c r="D15" s="131">
        <f>SUM(Facturacion!N40:N43)</f>
        <v>959663.81149999995</v>
      </c>
      <c r="E15" s="132">
        <f>Facturacion!M40</f>
        <v>39.801000000000002</v>
      </c>
      <c r="F15" s="133">
        <f t="shared" si="0"/>
        <v>0</v>
      </c>
      <c r="G15" s="134">
        <f t="shared" si="1"/>
        <v>959663.81149999995</v>
      </c>
      <c r="H15" s="135">
        <f t="shared" si="2"/>
        <v>24318.5</v>
      </c>
      <c r="I15" s="136"/>
      <c r="J15" s="128">
        <f t="shared" si="3"/>
        <v>-1.4999998966231942E-3</v>
      </c>
      <c r="K15" s="128">
        <f>191044.8+473276.51+295342.5</f>
        <v>959663.81</v>
      </c>
      <c r="L15" s="112" t="s">
        <v>90</v>
      </c>
      <c r="M15" s="112"/>
      <c r="N15" s="112"/>
    </row>
    <row r="16" spans="1:14">
      <c r="A16" s="112" t="s">
        <v>93</v>
      </c>
      <c r="B16" s="129">
        <f>SUM(Facturacion!G44:G50)</f>
        <v>274428</v>
      </c>
      <c r="C16" s="130">
        <f>SUM(Facturacion!L44:L50)</f>
        <v>37682.82</v>
      </c>
      <c r="D16" s="131">
        <f>SUM(Facturacion!N44:N50)</f>
        <v>1504117.8802199999</v>
      </c>
      <c r="E16" s="132">
        <f>Facturacion!M44</f>
        <v>38.847999999999999</v>
      </c>
      <c r="F16" s="133">
        <f t="shared" si="0"/>
        <v>7064.1474464579906</v>
      </c>
      <c r="G16" s="134">
        <f t="shared" si="1"/>
        <v>1778545.8802199999</v>
      </c>
      <c r="H16" s="135">
        <f t="shared" si="2"/>
        <v>44746.967446457988</v>
      </c>
      <c r="I16" s="112"/>
      <c r="J16" s="128">
        <f t="shared" si="3"/>
        <v>53.999779999954626</v>
      </c>
      <c r="K16" s="128">
        <f>186470.4+274482+1017114.98+300532.5</f>
        <v>1778599.88</v>
      </c>
      <c r="L16" s="112" t="s">
        <v>90</v>
      </c>
      <c r="M16" s="112"/>
      <c r="N16" s="112"/>
    </row>
    <row r="17" spans="1:14">
      <c r="B17" s="138"/>
      <c r="C17" s="139"/>
      <c r="D17" s="140"/>
      <c r="E17" s="141"/>
      <c r="F17" s="142"/>
      <c r="G17" s="143"/>
      <c r="H17" s="144"/>
      <c r="I17" s="112"/>
      <c r="J17" s="128"/>
      <c r="K17" s="128"/>
      <c r="L17" s="112"/>
      <c r="M17" s="112"/>
      <c r="N17" s="112"/>
    </row>
    <row r="18" spans="1:14">
      <c r="A18" s="136"/>
      <c r="B18" s="145"/>
      <c r="C18" s="137"/>
      <c r="D18" s="137"/>
      <c r="E18" s="137"/>
      <c r="F18" s="137"/>
      <c r="G18" s="112"/>
      <c r="H18" s="112"/>
      <c r="I18" s="112"/>
      <c r="J18" s="128"/>
      <c r="K18" s="128"/>
      <c r="L18" s="112"/>
      <c r="M18" s="112"/>
      <c r="N18" s="112"/>
    </row>
    <row r="19" spans="1:14">
      <c r="A19" s="136"/>
      <c r="B19" s="145"/>
      <c r="C19" s="137"/>
      <c r="D19" s="137"/>
      <c r="E19" s="137"/>
      <c r="F19" s="137"/>
      <c r="G19" s="146" t="s">
        <v>94</v>
      </c>
      <c r="H19" s="147">
        <f>ROUND(SUM(H5:H17)/COUNT(H5:H17),2)</f>
        <v>26708.3</v>
      </c>
      <c r="I19" s="112"/>
      <c r="J19" s="128"/>
      <c r="K19" s="128"/>
      <c r="L19" s="112"/>
      <c r="M19" s="112"/>
      <c r="N19" s="112"/>
    </row>
    <row r="20" spans="1:14">
      <c r="A20" s="148"/>
      <c r="B20" s="149" t="s">
        <v>2</v>
      </c>
      <c r="C20" s="150" t="s">
        <v>3</v>
      </c>
      <c r="D20" s="137"/>
      <c r="E20" s="137"/>
      <c r="F20" s="137"/>
      <c r="G20" s="112"/>
      <c r="H20" s="112"/>
      <c r="I20" s="112"/>
      <c r="J20" s="151">
        <f>K20-B25</f>
        <v>78382.994880001992</v>
      </c>
      <c r="K20" s="152">
        <f>SUM(K5:K17)</f>
        <v>13238044.920000002</v>
      </c>
      <c r="L20" s="112"/>
      <c r="M20" s="112"/>
      <c r="N20" s="112"/>
    </row>
    <row r="21" spans="1:14">
      <c r="A21" s="153" t="s">
        <v>95</v>
      </c>
      <c r="B21" s="154">
        <f t="shared" ref="B21:C21" si="4">SUM(B5:B17)</f>
        <v>1150931.7</v>
      </c>
      <c r="C21" s="155">
        <f t="shared" si="4"/>
        <v>292403</v>
      </c>
      <c r="D21" s="156"/>
      <c r="E21" s="156"/>
      <c r="F21" s="156"/>
      <c r="G21" s="112"/>
      <c r="H21" s="112"/>
      <c r="I21" s="112"/>
      <c r="J21" s="112"/>
      <c r="K21" s="128"/>
      <c r="L21" s="112"/>
      <c r="M21" s="112"/>
      <c r="N21" s="112"/>
    </row>
    <row r="22" spans="1:14">
      <c r="A22" s="157"/>
      <c r="B22" s="136"/>
      <c r="C22" s="158"/>
      <c r="D22" s="136"/>
      <c r="E22" s="136"/>
      <c r="F22" s="136"/>
      <c r="G22" s="112"/>
      <c r="H22" s="112"/>
      <c r="I22" s="112"/>
      <c r="J22" s="112"/>
      <c r="K22" s="128"/>
      <c r="L22" s="112"/>
      <c r="M22" s="112"/>
      <c r="N22" s="112"/>
    </row>
    <row r="23" spans="1:14">
      <c r="A23" s="153" t="s">
        <v>96</v>
      </c>
      <c r="B23" s="136"/>
      <c r="C23" s="158"/>
      <c r="D23" s="136"/>
      <c r="E23" s="136"/>
      <c r="F23" s="136"/>
      <c r="G23" s="112"/>
      <c r="H23" s="112"/>
      <c r="I23" s="112"/>
      <c r="J23" s="112"/>
      <c r="K23" s="128"/>
      <c r="L23" s="112"/>
      <c r="M23" s="112"/>
      <c r="N23" s="112"/>
    </row>
    <row r="24" spans="1:14">
      <c r="A24" s="159"/>
      <c r="B24" s="137" t="s">
        <v>2</v>
      </c>
      <c r="C24" s="160" t="s">
        <v>3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</row>
    <row r="25" spans="1:14">
      <c r="A25" s="159"/>
      <c r="B25" s="154">
        <f t="shared" ref="B25:C25" si="5">SUM(G5:G17)</f>
        <v>13159661.92512</v>
      </c>
      <c r="C25" s="155">
        <f t="shared" si="5"/>
        <v>320499.55724317912</v>
      </c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</row>
    <row r="26" spans="1:14">
      <c r="A26" s="161"/>
      <c r="B26" s="162"/>
      <c r="C26" s="163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</row>
    <row r="27" spans="1:14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</row>
    <row r="28" spans="1:14" ht="15.75" customHeight="1">
      <c r="A28" s="112" t="s">
        <v>70</v>
      </c>
      <c r="B28" s="112"/>
      <c r="C28" s="113" t="s">
        <v>97</v>
      </c>
      <c r="D28" s="114"/>
      <c r="E28" s="112"/>
      <c r="F28" s="112"/>
      <c r="G28" s="112"/>
      <c r="H28" s="112"/>
      <c r="I28" s="112"/>
      <c r="J28" s="112"/>
      <c r="K28" s="112"/>
      <c r="L28" s="112"/>
      <c r="M28" s="112"/>
      <c r="N28" s="112"/>
    </row>
    <row r="29" spans="1:14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</row>
    <row r="30" spans="1:14">
      <c r="A30" s="115" t="s">
        <v>72</v>
      </c>
      <c r="B30" s="807" t="s">
        <v>73</v>
      </c>
      <c r="C30" s="808"/>
      <c r="D30" s="809" t="s">
        <v>74</v>
      </c>
      <c r="E30" s="810"/>
      <c r="F30" s="808"/>
      <c r="G30" s="811" t="s">
        <v>75</v>
      </c>
      <c r="H30" s="808"/>
      <c r="I30" s="112"/>
      <c r="J30" s="112" t="s">
        <v>76</v>
      </c>
      <c r="K30" s="115" t="s">
        <v>77</v>
      </c>
      <c r="L30" s="112"/>
      <c r="M30" s="112"/>
      <c r="N30" s="112"/>
    </row>
    <row r="31" spans="1:14">
      <c r="A31" s="115"/>
      <c r="B31" s="165" t="s">
        <v>2</v>
      </c>
      <c r="C31" s="166" t="s">
        <v>6</v>
      </c>
      <c r="D31" s="167" t="s">
        <v>78</v>
      </c>
      <c r="E31" s="168" t="s">
        <v>52</v>
      </c>
      <c r="F31" s="169" t="s">
        <v>79</v>
      </c>
      <c r="G31" s="170" t="s">
        <v>78</v>
      </c>
      <c r="H31" s="171" t="s">
        <v>79</v>
      </c>
      <c r="I31" s="112"/>
      <c r="J31" s="112" t="s">
        <v>2</v>
      </c>
      <c r="K31" s="115" t="s">
        <v>98</v>
      </c>
      <c r="L31" s="115" t="s">
        <v>99</v>
      </c>
      <c r="M31" s="112"/>
      <c r="N31" s="112"/>
    </row>
    <row r="32" spans="1:14">
      <c r="A32" s="112" t="s">
        <v>80</v>
      </c>
      <c r="B32" s="172">
        <f>SUM(Facturacion!G51:G53)</f>
        <v>0</v>
      </c>
      <c r="C32" s="173">
        <f>SUM(Facturacion!L51:L53)</f>
        <v>16800</v>
      </c>
      <c r="D32" s="174">
        <f>SUM(Facturacion!N51:N53)</f>
        <v>653368.80000000005</v>
      </c>
      <c r="E32" s="175">
        <f>Facturacion!M51</f>
        <v>39.241</v>
      </c>
      <c r="F32" s="176">
        <f t="shared" ref="F32:F36" si="6">B32/E32</f>
        <v>0</v>
      </c>
      <c r="G32" s="177">
        <f t="shared" ref="G32:G36" si="7">SUM(B32,D32)</f>
        <v>653368.80000000005</v>
      </c>
      <c r="H32" s="178">
        <f t="shared" ref="H32:H36" si="8">C32+F32</f>
        <v>16800</v>
      </c>
      <c r="I32" s="112"/>
      <c r="J32" s="128">
        <f t="shared" ref="J32:J43" si="9">(K32+L32)-G32</f>
        <v>0</v>
      </c>
      <c r="K32" s="128">
        <f>188356.8+174379.5</f>
        <v>362736.3</v>
      </c>
      <c r="L32" s="128">
        <f>290632.5</f>
        <v>290632.5</v>
      </c>
      <c r="M32" s="112"/>
      <c r="N32" s="112"/>
    </row>
    <row r="33" spans="1:14">
      <c r="A33" s="112" t="s">
        <v>81</v>
      </c>
      <c r="B33" s="172">
        <f>SUM(Facturacion!G54:G56)</f>
        <v>0</v>
      </c>
      <c r="C33" s="173">
        <f>SUM(Facturacion!L54:L56)</f>
        <v>7781.4400000000005</v>
      </c>
      <c r="D33" s="174">
        <f>SUM(Facturacion!N54:N56)</f>
        <v>302453.67327999999</v>
      </c>
      <c r="E33" s="175">
        <f>Facturacion!M54</f>
        <v>38.764000000000003</v>
      </c>
      <c r="F33" s="176">
        <f t="shared" si="6"/>
        <v>0</v>
      </c>
      <c r="G33" s="179">
        <f t="shared" si="7"/>
        <v>302453.67327999999</v>
      </c>
      <c r="H33" s="180">
        <f t="shared" si="8"/>
        <v>7781.4400000000005</v>
      </c>
      <c r="I33" s="112"/>
      <c r="J33" s="128">
        <f t="shared" si="9"/>
        <v>-3.279999946244061E-3</v>
      </c>
      <c r="K33" s="128">
        <f>186067.2+46844.4</f>
        <v>232911.6</v>
      </c>
      <c r="L33" s="128">
        <v>69542.070000000007</v>
      </c>
      <c r="M33" s="112"/>
      <c r="N33" s="112"/>
    </row>
    <row r="34" spans="1:14">
      <c r="A34" s="112" t="s">
        <v>82</v>
      </c>
      <c r="B34" s="172">
        <f>SUM(Facturacion!G57:G59)</f>
        <v>0</v>
      </c>
      <c r="C34" s="173">
        <f>SUM(Facturacion!L57:L59)</f>
        <v>15850</v>
      </c>
      <c r="D34" s="174">
        <f>SUM(Facturacion!N57:N59)</f>
        <v>616062.75</v>
      </c>
      <c r="E34" s="175">
        <f>Facturacion!M57</f>
        <v>38.945</v>
      </c>
      <c r="F34" s="176">
        <f t="shared" si="6"/>
        <v>0</v>
      </c>
      <c r="G34" s="179">
        <f t="shared" si="7"/>
        <v>616062.75</v>
      </c>
      <c r="H34" s="180">
        <f t="shared" si="8"/>
        <v>15850</v>
      </c>
      <c r="J34" s="128">
        <f t="shared" si="9"/>
        <v>0</v>
      </c>
      <c r="K34" s="128">
        <f>186936+137864.25</f>
        <v>324800.25</v>
      </c>
      <c r="L34" s="128">
        <v>291262.5</v>
      </c>
      <c r="M34" s="112"/>
      <c r="N34" s="112"/>
    </row>
    <row r="35" spans="1:14">
      <c r="A35" s="112" t="s">
        <v>84</v>
      </c>
      <c r="B35" s="172">
        <f>SUM(Facturacion!G60:G62)</f>
        <v>0</v>
      </c>
      <c r="C35" s="173">
        <f>SUM(Facturacion!L60:L62)</f>
        <v>15875</v>
      </c>
      <c r="D35" s="174">
        <f>SUM(Facturacion!N60:N62)</f>
        <v>616568.125</v>
      </c>
      <c r="E35" s="175">
        <f>Facturacion!M60</f>
        <v>38.968000000000004</v>
      </c>
      <c r="F35" s="176">
        <f t="shared" si="6"/>
        <v>0</v>
      </c>
      <c r="G35" s="179">
        <f t="shared" si="7"/>
        <v>616568.125</v>
      </c>
      <c r="H35" s="180">
        <f t="shared" si="8"/>
        <v>15875</v>
      </c>
      <c r="I35" s="112"/>
      <c r="J35" s="128">
        <f t="shared" si="9"/>
        <v>-5.0000000046566129E-3</v>
      </c>
      <c r="K35" s="128">
        <f>187046.4+138649.22</f>
        <v>325695.62</v>
      </c>
      <c r="L35" s="128">
        <f>290872.5</f>
        <v>290872.5</v>
      </c>
      <c r="M35" s="112"/>
      <c r="N35" s="112"/>
    </row>
    <row r="36" spans="1:14">
      <c r="A36" s="112" t="s">
        <v>85</v>
      </c>
      <c r="B36" s="172">
        <f>SUM(Facturacion!G63:G64)</f>
        <v>0</v>
      </c>
      <c r="C36" s="173">
        <f>SUM(Facturacion!L63:L64)</f>
        <v>9844</v>
      </c>
      <c r="D36" s="174">
        <f>SUM(Facturacion!N63:N64)</f>
        <v>381346.71600000001</v>
      </c>
      <c r="E36" s="175">
        <f>Facturacion!M63</f>
        <v>38.738999999999997</v>
      </c>
      <c r="F36" s="176">
        <f t="shared" si="6"/>
        <v>0</v>
      </c>
      <c r="G36" s="179">
        <f t="shared" si="7"/>
        <v>381346.71600000001</v>
      </c>
      <c r="H36" s="180">
        <f t="shared" si="8"/>
        <v>9844</v>
      </c>
      <c r="I36" s="112"/>
      <c r="J36" s="128">
        <f t="shared" si="9"/>
        <v>15.493999999947846</v>
      </c>
      <c r="K36" s="128">
        <v>145271.25</v>
      </c>
      <c r="L36" s="128">
        <v>236090.96</v>
      </c>
      <c r="M36" s="112"/>
      <c r="N36" s="112"/>
    </row>
    <row r="37" spans="1:14">
      <c r="A37" s="112" t="s">
        <v>86</v>
      </c>
      <c r="B37" s="172">
        <v>0</v>
      </c>
      <c r="C37" s="173">
        <v>0</v>
      </c>
      <c r="D37" s="174">
        <v>0</v>
      </c>
      <c r="E37" s="175">
        <v>0</v>
      </c>
      <c r="F37" s="176">
        <v>0</v>
      </c>
      <c r="G37" s="179">
        <v>0</v>
      </c>
      <c r="H37" s="181">
        <v>0</v>
      </c>
      <c r="I37" s="112"/>
      <c r="J37" s="128">
        <f t="shared" si="9"/>
        <v>0</v>
      </c>
      <c r="K37" s="128"/>
      <c r="L37" s="128"/>
      <c r="M37" s="112"/>
      <c r="N37" s="112"/>
    </row>
    <row r="38" spans="1:14">
      <c r="A38" s="112" t="s">
        <v>87</v>
      </c>
      <c r="B38" s="172">
        <f>SUM(Facturacion!G65:G68)</f>
        <v>0</v>
      </c>
      <c r="C38" s="173">
        <f>SUM(Facturacion!L65:L68)</f>
        <v>21894.48</v>
      </c>
      <c r="D38" s="174">
        <f>SUM(Facturacion!N65:N68)</f>
        <v>822753.63864000002</v>
      </c>
      <c r="E38" s="175">
        <f>Facturacion!M65</f>
        <v>37.493000000000002</v>
      </c>
      <c r="F38" s="176">
        <f t="shared" ref="F38:F43" si="10">B38/E38</f>
        <v>0</v>
      </c>
      <c r="G38" s="179">
        <f t="shared" ref="G38:G43" si="11">SUM(B38,D38)</f>
        <v>822753.63864000002</v>
      </c>
      <c r="H38" s="180">
        <f t="shared" ref="H38:H43" si="12">C38+F38</f>
        <v>21894.48</v>
      </c>
      <c r="I38" s="112"/>
      <c r="J38" s="128">
        <f t="shared" si="9"/>
        <v>1.3599999947473407E-3</v>
      </c>
      <c r="K38" s="128">
        <f>155595.95+128057.6</f>
        <v>283653.55000000005</v>
      </c>
      <c r="L38" s="128">
        <f>282480+256620.09</f>
        <v>539100.09</v>
      </c>
      <c r="M38" s="112"/>
      <c r="N38" s="112"/>
    </row>
    <row r="39" spans="1:14">
      <c r="A39" s="112" t="s">
        <v>88</v>
      </c>
      <c r="B39" s="172">
        <f>SUM(Facturacion!G69:G70)</f>
        <v>0</v>
      </c>
      <c r="C39" s="173">
        <f>SUM(Facturacion!L69:L70)</f>
        <v>11550</v>
      </c>
      <c r="D39" s="174">
        <f>SUM(Facturacion!N69:N70)</f>
        <v>435227.1</v>
      </c>
      <c r="E39" s="175">
        <f>Facturacion!M69</f>
        <v>37.682000000000002</v>
      </c>
      <c r="F39" s="176">
        <f t="shared" si="10"/>
        <v>0</v>
      </c>
      <c r="G39" s="179">
        <f t="shared" si="11"/>
        <v>435227.1</v>
      </c>
      <c r="H39" s="180">
        <f t="shared" si="12"/>
        <v>11550</v>
      </c>
      <c r="I39" s="136"/>
      <c r="J39" s="128">
        <f t="shared" si="9"/>
        <v>0</v>
      </c>
      <c r="K39" s="128">
        <f>152612.1</f>
        <v>152612.1</v>
      </c>
      <c r="L39" s="128">
        <v>282615</v>
      </c>
      <c r="M39" s="112"/>
      <c r="N39" s="112"/>
    </row>
    <row r="40" spans="1:14">
      <c r="A40" s="112" t="s">
        <v>89</v>
      </c>
      <c r="B40" s="172">
        <f>SUM(Facturacion!G71:G73)</f>
        <v>0</v>
      </c>
      <c r="C40" s="173">
        <f>SUM(Facturacion!L71:L73)</f>
        <v>24434.080000000002</v>
      </c>
      <c r="D40" s="174">
        <f>SUM(Facturacion!N71:N73)</f>
        <v>939478.78847999987</v>
      </c>
      <c r="E40" s="175">
        <f>Facturacion!M71</f>
        <v>38.284999999999997</v>
      </c>
      <c r="F40" s="176">
        <f t="shared" si="10"/>
        <v>0</v>
      </c>
      <c r="G40" s="179">
        <f t="shared" si="11"/>
        <v>939478.78847999987</v>
      </c>
      <c r="H40" s="180">
        <f t="shared" si="12"/>
        <v>24434.080000000002</v>
      </c>
      <c r="I40" s="137"/>
      <c r="J40" s="128">
        <f t="shared" si="9"/>
        <v>1.5200001653283834E-3</v>
      </c>
      <c r="K40" s="128">
        <f>367536+160007.4</f>
        <v>527543.4</v>
      </c>
      <c r="L40" s="128">
        <v>411935.39</v>
      </c>
      <c r="M40" s="112"/>
      <c r="N40" s="112"/>
    </row>
    <row r="41" spans="1:14">
      <c r="A41" s="112" t="s">
        <v>91</v>
      </c>
      <c r="B41" s="172">
        <f>SUM(Facturacion!G74:G75)</f>
        <v>0</v>
      </c>
      <c r="C41" s="173">
        <f>SUM(Facturacion!L74:L75)</f>
        <v>17900</v>
      </c>
      <c r="D41" s="174">
        <f>SUM(Facturacion!N74:N75)</f>
        <v>715140.8</v>
      </c>
      <c r="E41" s="175">
        <f>Facturacion!M74</f>
        <v>39.951999999999998</v>
      </c>
      <c r="F41" s="176">
        <f t="shared" si="10"/>
        <v>0</v>
      </c>
      <c r="G41" s="179">
        <f t="shared" si="11"/>
        <v>715140.8</v>
      </c>
      <c r="H41" s="180">
        <f t="shared" si="12"/>
        <v>17900</v>
      </c>
      <c r="I41" s="136"/>
      <c r="J41" s="128">
        <f t="shared" si="9"/>
        <v>0</v>
      </c>
      <c r="K41" s="128">
        <v>175788.79999999999</v>
      </c>
      <c r="L41" s="128">
        <v>539352</v>
      </c>
      <c r="M41" s="112"/>
      <c r="N41" s="112"/>
    </row>
    <row r="42" spans="1:14">
      <c r="A42" s="112" t="s">
        <v>92</v>
      </c>
      <c r="B42" s="172">
        <f>SUM(Facturacion!G76:G78)</f>
        <v>368334.64</v>
      </c>
      <c r="C42" s="173">
        <f>SUM(Facturacion!L76:L78)</f>
        <v>17600</v>
      </c>
      <c r="D42" s="174">
        <f>SUM(Facturacion!N76:N78)</f>
        <v>688001.6</v>
      </c>
      <c r="E42" s="175">
        <f>Facturacion!M78</f>
        <v>39.091000000000001</v>
      </c>
      <c r="F42" s="176">
        <f t="shared" si="10"/>
        <v>9422.4921337392243</v>
      </c>
      <c r="G42" s="179">
        <f t="shared" si="11"/>
        <v>1056336.24</v>
      </c>
      <c r="H42" s="180">
        <f t="shared" si="12"/>
        <v>27022.492133739222</v>
      </c>
      <c r="I42" s="136"/>
      <c r="J42" s="128">
        <f t="shared" si="9"/>
        <v>0</v>
      </c>
      <c r="K42" s="128">
        <f>528607.74</f>
        <v>528607.74</v>
      </c>
      <c r="L42" s="128">
        <v>527728.5</v>
      </c>
      <c r="M42" s="112"/>
      <c r="N42" s="112"/>
    </row>
    <row r="43" spans="1:14">
      <c r="A43" s="112" t="s">
        <v>93</v>
      </c>
      <c r="B43" s="172">
        <f>SUM(Facturacion!G79:G82)</f>
        <v>241214.81</v>
      </c>
      <c r="C43" s="173">
        <f>SUM(Facturacion!L79:L82)</f>
        <v>25900</v>
      </c>
      <c r="D43" s="174">
        <f>SUM(Facturacion!N79:N82)</f>
        <v>1013415.3999999999</v>
      </c>
      <c r="E43" s="175">
        <f>Facturacion!M79</f>
        <v>39.308</v>
      </c>
      <c r="F43" s="176">
        <f t="shared" si="10"/>
        <v>6136.5322580645161</v>
      </c>
      <c r="G43" s="179">
        <f t="shared" si="11"/>
        <v>1254630.21</v>
      </c>
      <c r="H43" s="180">
        <f t="shared" si="12"/>
        <v>32036.532258064515</v>
      </c>
      <c r="I43" s="136"/>
      <c r="J43" s="128">
        <f t="shared" si="9"/>
        <v>0</v>
      </c>
      <c r="K43" s="128">
        <f>377356.8+391449.51</f>
        <v>768806.31</v>
      </c>
      <c r="L43" s="128">
        <v>485823.9</v>
      </c>
      <c r="M43" s="112"/>
      <c r="N43" s="112"/>
    </row>
    <row r="44" spans="1:14">
      <c r="B44" s="182"/>
      <c r="C44" s="183"/>
      <c r="D44" s="184"/>
      <c r="E44" s="185"/>
      <c r="F44" s="186"/>
      <c r="G44" s="187"/>
      <c r="H44" s="188"/>
      <c r="I44" s="112"/>
      <c r="J44" s="128"/>
      <c r="K44" s="128"/>
      <c r="L44" s="128"/>
      <c r="M44" s="112"/>
      <c r="N44" s="112"/>
    </row>
    <row r="45" spans="1:14">
      <c r="A45" s="136"/>
      <c r="B45" s="145"/>
      <c r="C45" s="137"/>
      <c r="D45" s="137"/>
      <c r="E45" s="137"/>
      <c r="F45" s="137"/>
      <c r="G45" s="112"/>
      <c r="H45" s="112"/>
      <c r="I45" s="112"/>
      <c r="J45" s="128"/>
      <c r="K45" s="128"/>
      <c r="L45" s="112"/>
      <c r="M45" s="112"/>
      <c r="N45" s="112"/>
    </row>
    <row r="46" spans="1:14">
      <c r="A46" s="136"/>
      <c r="B46" s="145"/>
      <c r="C46" s="137"/>
      <c r="D46" s="137"/>
      <c r="E46" s="137"/>
      <c r="F46" s="137"/>
      <c r="G46" s="146" t="s">
        <v>94</v>
      </c>
      <c r="H46" s="147">
        <f>ROUND(SUM(H32:H44)/COUNT(H32:H44),2)</f>
        <v>16749</v>
      </c>
      <c r="I46" s="112"/>
      <c r="J46" s="128"/>
      <c r="K46" s="128"/>
      <c r="L46" s="112"/>
      <c r="M46" s="112"/>
      <c r="N46" s="112"/>
    </row>
    <row r="47" spans="1:14">
      <c r="A47" s="189"/>
      <c r="B47" s="190" t="s">
        <v>2</v>
      </c>
      <c r="C47" s="191" t="s">
        <v>3</v>
      </c>
      <c r="D47" s="137"/>
      <c r="E47" s="137"/>
      <c r="F47" s="137"/>
      <c r="G47" s="112"/>
      <c r="H47" s="112"/>
      <c r="I47" s="112"/>
      <c r="J47" s="151">
        <f>K47-B52</f>
        <v>-3964939.9213999999</v>
      </c>
      <c r="K47" s="152">
        <f t="shared" ref="K47:L47" si="13">SUM(K32:K44)</f>
        <v>3828426.9200000004</v>
      </c>
      <c r="L47" s="152">
        <f t="shared" si="13"/>
        <v>3964955.41</v>
      </c>
      <c r="M47" s="112"/>
      <c r="N47" s="112"/>
    </row>
    <row r="48" spans="1:14">
      <c r="A48" s="153" t="s">
        <v>100</v>
      </c>
      <c r="B48" s="154">
        <f t="shared" ref="B48:C48" si="14">SUM(B32:B44)</f>
        <v>609549.44999999995</v>
      </c>
      <c r="C48" s="155">
        <f t="shared" si="14"/>
        <v>185429</v>
      </c>
      <c r="D48" s="156"/>
      <c r="E48" s="156"/>
      <c r="F48" s="156"/>
      <c r="G48" s="112"/>
      <c r="H48" s="112"/>
      <c r="I48" s="112"/>
      <c r="J48" s="112"/>
      <c r="K48" s="128"/>
      <c r="L48" s="112"/>
      <c r="M48" s="112"/>
      <c r="N48" s="112"/>
    </row>
    <row r="49" spans="1:14">
      <c r="A49" s="192"/>
      <c r="B49" s="193"/>
      <c r="C49" s="194"/>
      <c r="D49" s="136"/>
      <c r="E49" s="136"/>
      <c r="F49" s="136"/>
      <c r="G49" s="112"/>
      <c r="H49" s="112"/>
      <c r="I49" s="112"/>
      <c r="J49" s="112"/>
      <c r="K49" s="128"/>
      <c r="L49" s="112"/>
      <c r="M49" s="112"/>
      <c r="N49" s="112"/>
    </row>
    <row r="50" spans="1:14">
      <c r="A50" s="153" t="s">
        <v>96</v>
      </c>
      <c r="B50" s="136"/>
      <c r="C50" s="158"/>
      <c r="D50" s="136"/>
      <c r="E50" s="136"/>
      <c r="F50" s="136"/>
      <c r="G50" s="112"/>
      <c r="H50" s="112"/>
      <c r="I50" s="112"/>
      <c r="J50" s="112"/>
      <c r="K50" s="128"/>
      <c r="L50" s="112"/>
      <c r="M50" s="112"/>
      <c r="N50" s="112"/>
    </row>
    <row r="51" spans="1:14">
      <c r="A51" s="192"/>
      <c r="B51" s="195" t="s">
        <v>2</v>
      </c>
      <c r="C51" s="196" t="s">
        <v>3</v>
      </c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</row>
    <row r="52" spans="1:14">
      <c r="A52" s="159"/>
      <c r="B52" s="154">
        <f t="shared" ref="B52:C52" si="15">SUM(G32:G44)</f>
        <v>7793366.8414000003</v>
      </c>
      <c r="C52" s="155">
        <f t="shared" si="15"/>
        <v>200988.02439180374</v>
      </c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</row>
    <row r="53" spans="1:14">
      <c r="A53" s="197"/>
      <c r="B53" s="198"/>
      <c r="C53" s="199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</row>
    <row r="54" spans="1:1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</row>
    <row r="55" spans="1:14" ht="15.75" customHeight="1">
      <c r="A55" s="112" t="s">
        <v>70</v>
      </c>
      <c r="B55" s="112"/>
      <c r="C55" s="113" t="s">
        <v>101</v>
      </c>
      <c r="D55" s="114"/>
      <c r="E55" s="112"/>
      <c r="F55" s="112"/>
      <c r="G55" s="112"/>
      <c r="H55" s="112"/>
      <c r="I55" s="112"/>
      <c r="J55" s="112"/>
      <c r="K55" s="112"/>
      <c r="L55" s="112"/>
      <c r="M55" s="112"/>
      <c r="N55" s="112"/>
    </row>
    <row r="56" spans="1:14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</row>
    <row r="57" spans="1:14">
      <c r="A57" s="115" t="s">
        <v>72</v>
      </c>
      <c r="B57" s="812" t="s">
        <v>73</v>
      </c>
      <c r="C57" s="813"/>
      <c r="D57" s="818" t="s">
        <v>74</v>
      </c>
      <c r="E57" s="819"/>
      <c r="F57" s="820"/>
      <c r="G57" s="811" t="s">
        <v>75</v>
      </c>
      <c r="H57" s="808"/>
      <c r="I57" s="112"/>
      <c r="J57" s="112" t="s">
        <v>76</v>
      </c>
      <c r="K57" s="115" t="s">
        <v>77</v>
      </c>
      <c r="L57" s="112"/>
      <c r="M57" s="112"/>
      <c r="N57" s="112"/>
    </row>
    <row r="58" spans="1:14">
      <c r="A58" s="115"/>
      <c r="B58" s="200" t="s">
        <v>2</v>
      </c>
      <c r="C58" s="201" t="s">
        <v>6</v>
      </c>
      <c r="D58" s="200" t="s">
        <v>78</v>
      </c>
      <c r="E58" s="202" t="s">
        <v>52</v>
      </c>
      <c r="F58" s="201" t="s">
        <v>79</v>
      </c>
      <c r="G58" s="203" t="s">
        <v>78</v>
      </c>
      <c r="H58" s="204" t="s">
        <v>79</v>
      </c>
      <c r="I58" s="112"/>
      <c r="J58" s="112" t="s">
        <v>2</v>
      </c>
      <c r="K58" s="115" t="s">
        <v>98</v>
      </c>
      <c r="L58" s="115" t="s">
        <v>99</v>
      </c>
      <c r="M58" s="112"/>
      <c r="N58" s="112"/>
    </row>
    <row r="59" spans="1:14">
      <c r="A59" s="112" t="s">
        <v>80</v>
      </c>
      <c r="B59" s="205">
        <f>SUM(Facturacion!G83:G86)</f>
        <v>248628.29</v>
      </c>
      <c r="C59" s="205">
        <f>SUM(Facturacion!L83:L86)</f>
        <v>23814</v>
      </c>
      <c r="D59" s="206">
        <f>SUM(Facturacion!N83:N86)</f>
        <v>932818.19400000002</v>
      </c>
      <c r="E59" s="207">
        <f>Facturacion!M83</f>
        <v>39.170999999999999</v>
      </c>
      <c r="F59" s="208">
        <f t="shared" ref="F59:F70" si="16">B59/E59</f>
        <v>6347.254091036737</v>
      </c>
      <c r="G59" s="126">
        <f t="shared" ref="G59:G70" si="17">SUM(B59,D59)</f>
        <v>1181446.4839999999</v>
      </c>
      <c r="H59" s="209">
        <f t="shared" ref="H59:H70" si="18">C59+F59</f>
        <v>30161.254091036739</v>
      </c>
      <c r="I59" s="112"/>
      <c r="J59" s="128">
        <f t="shared" ref="J59:J70" si="19">(K59+L59)-G59</f>
        <v>-3.9999999571591616E-3</v>
      </c>
      <c r="K59" s="128">
        <f>718680.29</f>
        <v>718680.29</v>
      </c>
      <c r="L59" s="128">
        <v>462766.19</v>
      </c>
      <c r="M59" s="112"/>
      <c r="N59" s="112"/>
    </row>
    <row r="60" spans="1:14">
      <c r="A60" s="112" t="s">
        <v>81</v>
      </c>
      <c r="B60" s="210">
        <f>SUM(Facturacion!G87:G89)</f>
        <v>242966.97</v>
      </c>
      <c r="C60" s="210">
        <f>SUM(Facturacion!L87:L89)</f>
        <v>11725</v>
      </c>
      <c r="D60" s="210">
        <f>SUM(Facturacion!N87:N89)</f>
        <v>458787.52499999997</v>
      </c>
      <c r="E60" s="136">
        <f>Facturacion!M87</f>
        <v>39.128999999999998</v>
      </c>
      <c r="F60" s="137">
        <f t="shared" si="16"/>
        <v>6209.3835773978381</v>
      </c>
      <c r="G60" s="134">
        <f t="shared" si="17"/>
        <v>701754.495</v>
      </c>
      <c r="H60" s="180">
        <f t="shared" si="18"/>
        <v>17934.383577397839</v>
      </c>
      <c r="I60" s="112"/>
      <c r="J60" s="128">
        <f t="shared" si="19"/>
        <v>5.0000000046566129E-3</v>
      </c>
      <c r="K60" s="128">
        <f>306551.6</f>
        <v>306551.59999999998</v>
      </c>
      <c r="L60" s="128">
        <v>395202.9</v>
      </c>
      <c r="M60" s="112"/>
      <c r="N60" s="112"/>
    </row>
    <row r="61" spans="1:14">
      <c r="A61" s="112" t="s">
        <v>82</v>
      </c>
      <c r="B61" s="205">
        <f>SUM(Facturacion!G90:G92)</f>
        <v>358176.66</v>
      </c>
      <c r="C61" s="205">
        <f>SUM(Facturacion!L90:L92)</f>
        <v>14154.98</v>
      </c>
      <c r="D61" s="206">
        <f>SUM(Facturacion!N90:N92)</f>
        <v>531547.80896000005</v>
      </c>
      <c r="E61" s="207">
        <f>Facturacion!M90</f>
        <v>37.552</v>
      </c>
      <c r="F61" s="208">
        <f t="shared" si="16"/>
        <v>9538.1513634426919</v>
      </c>
      <c r="G61" s="134">
        <f t="shared" si="17"/>
        <v>889724.46895999997</v>
      </c>
      <c r="H61" s="180">
        <f t="shared" si="18"/>
        <v>23693.131363442692</v>
      </c>
      <c r="J61" s="128">
        <f t="shared" si="19"/>
        <v>1.0400000028312206E-3</v>
      </c>
      <c r="K61" s="128">
        <f>487261.66</f>
        <v>487261.66</v>
      </c>
      <c r="L61" s="128">
        <v>402462.81</v>
      </c>
      <c r="M61" s="112"/>
      <c r="N61" s="112"/>
    </row>
    <row r="62" spans="1:14">
      <c r="A62" s="112" t="s">
        <v>84</v>
      </c>
      <c r="B62" s="210">
        <f>SUM(Facturacion!G93:G95)</f>
        <v>320629.94</v>
      </c>
      <c r="C62" s="210">
        <f>SUM(Facturacion!L93:L95)</f>
        <v>10919.5</v>
      </c>
      <c r="D62" s="210">
        <f>SUM(Facturacion!N93:N95)</f>
        <v>418195.01100000006</v>
      </c>
      <c r="E62" s="136">
        <f>Facturacion!M93</f>
        <v>38.298000000000002</v>
      </c>
      <c r="F62" s="137">
        <f t="shared" si="16"/>
        <v>8371.9760823019478</v>
      </c>
      <c r="G62" s="134">
        <f t="shared" si="17"/>
        <v>738824.95100000012</v>
      </c>
      <c r="H62" s="180">
        <f t="shared" si="18"/>
        <v>19291.476082301946</v>
      </c>
      <c r="I62" s="112"/>
      <c r="J62" s="128">
        <f t="shared" si="19"/>
        <v>8.9999998454004526E-3</v>
      </c>
      <c r="K62" s="128">
        <v>469513.42</v>
      </c>
      <c r="L62" s="128">
        <v>269311.53999999998</v>
      </c>
      <c r="M62" s="112"/>
      <c r="N62" s="112"/>
    </row>
    <row r="63" spans="1:14">
      <c r="A63" s="112" t="s">
        <v>85</v>
      </c>
      <c r="B63" s="205">
        <f>SUM(Facturacion!G96:G98)</f>
        <v>354972.65</v>
      </c>
      <c r="C63" s="205">
        <f>SUM(Facturacion!L96:L98)</f>
        <v>9427.9</v>
      </c>
      <c r="D63" s="206">
        <f>SUM(Facturacion!N96:N98)</f>
        <v>364944.58110000001</v>
      </c>
      <c r="E63" s="207">
        <f>Facturacion!M96</f>
        <v>38.709000000000003</v>
      </c>
      <c r="F63" s="208">
        <f t="shared" si="16"/>
        <v>9170.2872716939219</v>
      </c>
      <c r="G63" s="134">
        <f t="shared" si="17"/>
        <v>719917.23109999998</v>
      </c>
      <c r="H63" s="180">
        <f t="shared" si="18"/>
        <v>18598.187271693922</v>
      </c>
      <c r="I63" s="112"/>
      <c r="J63" s="128">
        <f t="shared" si="19"/>
        <v>999.99890000000596</v>
      </c>
      <c r="K63" s="128">
        <f>485009.1</f>
        <v>485009.1</v>
      </c>
      <c r="L63" s="128">
        <v>235908.13</v>
      </c>
      <c r="M63" s="112"/>
      <c r="N63" s="112"/>
    </row>
    <row r="64" spans="1:14">
      <c r="A64" s="112" t="s">
        <v>86</v>
      </c>
      <c r="B64" s="210">
        <f>SUM(Facturacion!G99:G104)</f>
        <v>269453.89</v>
      </c>
      <c r="C64" s="210">
        <f>SUM(Facturacion!L99:L104)</f>
        <v>25185</v>
      </c>
      <c r="D64" s="210">
        <f>SUM(Facturacion!N99:N104)</f>
        <v>862131.44000000006</v>
      </c>
      <c r="E64" s="136">
        <f>Facturacion!M99</f>
        <v>38.924999999999997</v>
      </c>
      <c r="F64" s="137">
        <f t="shared" si="16"/>
        <v>6922.3863840719341</v>
      </c>
      <c r="G64" s="134">
        <f t="shared" si="17"/>
        <v>1131585.33</v>
      </c>
      <c r="H64" s="180">
        <f t="shared" si="18"/>
        <v>32107.386384071935</v>
      </c>
      <c r="I64" s="112"/>
      <c r="J64" s="128">
        <f t="shared" si="19"/>
        <v>0</v>
      </c>
      <c r="K64" s="128">
        <f>373680+459181.89+47986.8</f>
        <v>880848.69000000006</v>
      </c>
      <c r="L64" s="128">
        <v>250736.64000000001</v>
      </c>
      <c r="M64" s="112"/>
      <c r="N64" s="112"/>
    </row>
    <row r="65" spans="1:14" ht="14">
      <c r="A65" s="112" t="s">
        <v>87</v>
      </c>
      <c r="B65" s="205">
        <f>SUM(Facturacion!G105:G109)</f>
        <v>274870.75</v>
      </c>
      <c r="C65" s="205">
        <f>SUM(Facturacion!L105:L109)</f>
        <v>11161</v>
      </c>
      <c r="D65" s="206">
        <f>SUM(Facturacion!N105:N109)</f>
        <v>449587.40199999994</v>
      </c>
      <c r="E65" s="207">
        <f>Facturacion!M105</f>
        <v>40.281999999999996</v>
      </c>
      <c r="F65" s="208">
        <f t="shared" si="16"/>
        <v>6823.6619333697436</v>
      </c>
      <c r="G65" s="134">
        <f t="shared" si="17"/>
        <v>724458.152</v>
      </c>
      <c r="H65" s="180">
        <f t="shared" si="18"/>
        <v>17984.661933369745</v>
      </c>
      <c r="I65" s="112"/>
      <c r="J65" s="128">
        <f t="shared" si="19"/>
        <v>-2.0000000949949026E-3</v>
      </c>
      <c r="K65" s="128">
        <f>553662.47</f>
        <v>553662.47</v>
      </c>
      <c r="L65" s="128">
        <f>170795.68</f>
        <v>170795.68</v>
      </c>
      <c r="M65" s="112"/>
      <c r="N65" s="112"/>
    </row>
    <row r="66" spans="1:14" ht="14">
      <c r="A66" s="112" t="s">
        <v>88</v>
      </c>
      <c r="B66" s="210">
        <f>SUM(Facturacion!G110:G115)</f>
        <v>273320.90999999997</v>
      </c>
      <c r="C66" s="210">
        <f>SUM(Facturacion!L110:L115)</f>
        <v>12651.5</v>
      </c>
      <c r="D66" s="210">
        <f>SUM(Facturacion!N110:N115)</f>
        <v>510298.2525</v>
      </c>
      <c r="E66" s="136">
        <f>Facturacion!M110</f>
        <v>40.335000000000001</v>
      </c>
      <c r="F66" s="137">
        <f t="shared" si="16"/>
        <v>6776.2714763852728</v>
      </c>
      <c r="G66" s="134">
        <f t="shared" si="17"/>
        <v>783619.16249999998</v>
      </c>
      <c r="H66" s="180">
        <f t="shared" si="18"/>
        <v>19427.771476385271</v>
      </c>
      <c r="I66" s="136"/>
      <c r="J66" s="128">
        <f t="shared" si="19"/>
        <v>7.5000000651925802E-3</v>
      </c>
      <c r="K66" s="128">
        <f>521724.01+5364.56</f>
        <v>527088.57000000007</v>
      </c>
      <c r="L66" s="128">
        <f>256530.6</f>
        <v>256530.6</v>
      </c>
      <c r="M66" s="112"/>
      <c r="N66" s="112"/>
    </row>
    <row r="67" spans="1:14" ht="14">
      <c r="A67" s="112" t="s">
        <v>89</v>
      </c>
      <c r="B67" s="205">
        <f>SUM(Facturacion!G117:G121)</f>
        <v>344687.63</v>
      </c>
      <c r="C67" s="205">
        <f>SUM(Facturacion!L117:L121)</f>
        <v>11235</v>
      </c>
      <c r="D67" s="206">
        <f>SUM(Facturacion!N117:N121)</f>
        <v>466859.19</v>
      </c>
      <c r="E67" s="207">
        <f>Facturacion!M117</f>
        <v>41.554000000000002</v>
      </c>
      <c r="F67" s="208">
        <f t="shared" si="16"/>
        <v>8294.9326177985276</v>
      </c>
      <c r="G67" s="134">
        <f t="shared" si="17"/>
        <v>811546.82000000007</v>
      </c>
      <c r="H67" s="180">
        <f t="shared" si="18"/>
        <v>19529.932617798528</v>
      </c>
      <c r="I67" s="137"/>
      <c r="J67" s="128">
        <f t="shared" si="19"/>
        <v>0</v>
      </c>
      <c r="K67" s="128">
        <f>547263.38</f>
        <v>547263.38</v>
      </c>
      <c r="L67" s="128">
        <f>264283.44</f>
        <v>264283.44</v>
      </c>
      <c r="M67" s="112"/>
      <c r="N67" s="112"/>
    </row>
    <row r="68" spans="1:14" ht="14">
      <c r="A68" s="112" t="s">
        <v>91</v>
      </c>
      <c r="B68" s="210">
        <f>SUM(Facturacion!G122:G126)</f>
        <v>453298.95</v>
      </c>
      <c r="C68" s="210">
        <f>SUM(Facturacion!L122:L126)</f>
        <v>13302.4</v>
      </c>
      <c r="D68" s="210">
        <f>SUM(Facturacion!N122:N126)</f>
        <v>550719.36</v>
      </c>
      <c r="E68" s="211">
        <f>Facturacion!M122</f>
        <v>41.4</v>
      </c>
      <c r="F68" s="137">
        <f t="shared" si="16"/>
        <v>10949.25</v>
      </c>
      <c r="G68" s="134">
        <f t="shared" si="17"/>
        <v>1004018.31</v>
      </c>
      <c r="H68" s="180">
        <f t="shared" si="18"/>
        <v>24251.65</v>
      </c>
      <c r="I68" s="136"/>
      <c r="J68" s="128">
        <f t="shared" si="19"/>
        <v>4.1399999998975545</v>
      </c>
      <c r="K68" s="128">
        <f>718776.45</f>
        <v>718776.45</v>
      </c>
      <c r="L68" s="128">
        <f>285246</f>
        <v>285246</v>
      </c>
      <c r="M68" s="112"/>
      <c r="N68" s="112"/>
    </row>
    <row r="69" spans="1:14" ht="14">
      <c r="A69" s="112" t="s">
        <v>92</v>
      </c>
      <c r="B69" s="205">
        <f>SUM(Facturacion!G127:G133)</f>
        <v>228068.18</v>
      </c>
      <c r="C69" s="205">
        <f>SUM(Facturacion!L127:L133)</f>
        <v>21045</v>
      </c>
      <c r="D69" s="206">
        <f>SUM(Facturacion!N127:N133)</f>
        <v>906716.42999999993</v>
      </c>
      <c r="E69" s="212">
        <f>Facturacion!M127</f>
        <v>42.87</v>
      </c>
      <c r="F69" s="208">
        <f t="shared" si="16"/>
        <v>5319.994868206205</v>
      </c>
      <c r="G69" s="134">
        <f t="shared" si="17"/>
        <v>1134784.6099999999</v>
      </c>
      <c r="H69" s="180">
        <f t="shared" si="18"/>
        <v>26364.994868206206</v>
      </c>
      <c r="I69" s="136"/>
      <c r="J69" s="128">
        <f t="shared" si="19"/>
        <v>0</v>
      </c>
      <c r="K69" s="128">
        <f>229783.2+630516.53</f>
        <v>860299.73</v>
      </c>
      <c r="L69" s="128">
        <v>274484.88</v>
      </c>
      <c r="M69" s="112"/>
      <c r="N69" s="112"/>
    </row>
    <row r="70" spans="1:14" ht="14">
      <c r="A70" s="112" t="s">
        <v>93</v>
      </c>
      <c r="B70" s="213">
        <f>SUM(Facturacion!G134:G138)</f>
        <v>207313.47</v>
      </c>
      <c r="C70" s="213">
        <f>SUM(Facturacion!L134:L138)</f>
        <v>12262</v>
      </c>
      <c r="D70" s="213">
        <f>SUM(Facturacion!N134:N138)</f>
        <v>535371.18200000003</v>
      </c>
      <c r="E70" s="214">
        <f>Facturacion!M134</f>
        <v>43.661000000000001</v>
      </c>
      <c r="F70" s="215">
        <f t="shared" si="16"/>
        <v>4748.2529030484875</v>
      </c>
      <c r="G70" s="216">
        <f t="shared" si="17"/>
        <v>742684.652</v>
      </c>
      <c r="H70" s="217">
        <f t="shared" si="18"/>
        <v>17010.252903048487</v>
      </c>
      <c r="I70" s="136"/>
      <c r="J70" s="128">
        <f t="shared" si="19"/>
        <v>-2.0000000949949026E-3</v>
      </c>
      <c r="K70" s="128">
        <f>207313.47+294711.75</f>
        <v>502025.22</v>
      </c>
      <c r="L70" s="128">
        <v>240659.43</v>
      </c>
      <c r="M70" s="112"/>
      <c r="N70" s="112"/>
    </row>
    <row r="71" spans="1:14" ht="14">
      <c r="A71" s="136"/>
      <c r="B71" s="145"/>
      <c r="C71" s="137"/>
      <c r="D71" s="137"/>
      <c r="E71" s="137"/>
      <c r="F71" s="137"/>
      <c r="G71" s="112"/>
      <c r="H71" s="112"/>
      <c r="I71" s="112"/>
      <c r="J71" s="128"/>
      <c r="K71" s="128"/>
      <c r="L71" s="112"/>
      <c r="M71" s="112"/>
      <c r="N71" s="112"/>
    </row>
    <row r="72" spans="1:14" ht="14">
      <c r="A72" s="136"/>
      <c r="B72" s="145"/>
      <c r="C72" s="137"/>
      <c r="D72" s="137"/>
      <c r="E72" s="137"/>
      <c r="F72" s="137"/>
      <c r="G72" s="146" t="s">
        <v>94</v>
      </c>
      <c r="H72" s="147">
        <f>ROUND(SUM(H59:H70)/COUNT(H59:H70),2)</f>
        <v>22196.26</v>
      </c>
      <c r="I72" s="112"/>
      <c r="J72" s="128"/>
      <c r="K72" s="128"/>
      <c r="L72" s="112"/>
      <c r="M72" s="112"/>
      <c r="N72" s="112"/>
    </row>
    <row r="73" spans="1:14" ht="14">
      <c r="A73" s="821" t="s">
        <v>2</v>
      </c>
      <c r="B73" s="822"/>
      <c r="C73" s="218" t="s">
        <v>3</v>
      </c>
      <c r="D73" s="137"/>
      <c r="E73" s="137"/>
      <c r="F73" s="137"/>
      <c r="G73" s="112"/>
      <c r="H73" s="112"/>
      <c r="I73" s="112"/>
      <c r="J73" s="151">
        <f>K73-B78</f>
        <v>-3507384.0865600007</v>
      </c>
      <c r="K73" s="152">
        <f t="shared" ref="K73:L73" si="20">SUM(K59:K70)</f>
        <v>7056980.5799999991</v>
      </c>
      <c r="L73" s="152">
        <f t="shared" si="20"/>
        <v>3508388.2400000007</v>
      </c>
      <c r="M73" s="112"/>
      <c r="N73" s="112"/>
    </row>
    <row r="74" spans="1:14" ht="14">
      <c r="A74" s="202" t="s">
        <v>102</v>
      </c>
      <c r="B74" s="219">
        <f t="shared" ref="B74:C74" si="21">SUM(B59:B70)</f>
        <v>3576388.2900000005</v>
      </c>
      <c r="C74" s="220">
        <f t="shared" si="21"/>
        <v>176883.28</v>
      </c>
      <c r="D74" s="156"/>
      <c r="E74" s="156"/>
      <c r="F74" s="156"/>
      <c r="G74" s="112"/>
      <c r="H74" s="112"/>
      <c r="I74" s="112"/>
      <c r="J74" s="112"/>
      <c r="K74" s="128"/>
      <c r="L74" s="112"/>
      <c r="M74" s="112"/>
      <c r="N74" s="112"/>
    </row>
    <row r="75" spans="1:14" ht="14">
      <c r="A75" s="221"/>
      <c r="B75" s="205"/>
      <c r="C75" s="222"/>
      <c r="D75" s="136"/>
      <c r="E75" s="136"/>
      <c r="F75" s="136"/>
      <c r="G75" s="112"/>
      <c r="H75" s="112"/>
      <c r="I75" s="112"/>
      <c r="J75" s="112"/>
      <c r="K75" s="128"/>
      <c r="L75" s="112"/>
      <c r="M75" s="112"/>
      <c r="N75" s="112"/>
    </row>
    <row r="76" spans="1:14" ht="14">
      <c r="A76" s="816" t="s">
        <v>96</v>
      </c>
      <c r="B76" s="817"/>
      <c r="C76" s="220"/>
      <c r="D76" s="136"/>
      <c r="E76" s="136"/>
      <c r="F76" s="136"/>
      <c r="G76" s="112"/>
      <c r="H76" s="112"/>
      <c r="I76" s="112"/>
      <c r="J76" s="112"/>
      <c r="K76" s="128"/>
      <c r="L76" s="112"/>
      <c r="M76" s="112"/>
      <c r="N76" s="112"/>
    </row>
    <row r="77" spans="1:14" ht="14">
      <c r="A77" s="223"/>
      <c r="B77" s="224" t="s">
        <v>2</v>
      </c>
      <c r="C77" s="222" t="s">
        <v>3</v>
      </c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</row>
    <row r="78" spans="1:14" ht="14">
      <c r="A78" s="225"/>
      <c r="B78" s="210">
        <f t="shared" ref="B78:C78" si="22">SUM(G59:G70)</f>
        <v>10564364.66656</v>
      </c>
      <c r="C78" s="226">
        <f t="shared" si="22"/>
        <v>266355.08256875334</v>
      </c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</row>
    <row r="79" spans="1:14" ht="14">
      <c r="A79" s="222"/>
      <c r="B79" s="222"/>
      <c r="C79" s="22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</row>
    <row r="80" spans="1:14" ht="14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</row>
    <row r="81" spans="1:14" ht="18">
      <c r="A81" s="112" t="s">
        <v>70</v>
      </c>
      <c r="B81" s="112"/>
      <c r="C81" s="113" t="s">
        <v>103</v>
      </c>
      <c r="D81" s="114"/>
      <c r="E81" s="112"/>
      <c r="F81" s="112"/>
      <c r="G81" s="112"/>
      <c r="H81" s="112"/>
      <c r="I81" s="112"/>
      <c r="J81" s="112"/>
      <c r="K81" s="112"/>
      <c r="L81" s="112"/>
      <c r="M81" s="112"/>
      <c r="N81" s="112"/>
    </row>
    <row r="82" spans="1:14" ht="14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</row>
    <row r="83" spans="1:14" ht="14">
      <c r="A83" s="115" t="s">
        <v>72</v>
      </c>
      <c r="B83" s="823" t="s">
        <v>73</v>
      </c>
      <c r="C83" s="824"/>
      <c r="D83" s="825" t="s">
        <v>74</v>
      </c>
      <c r="E83" s="826"/>
      <c r="F83" s="824"/>
      <c r="G83" s="827" t="s">
        <v>75</v>
      </c>
      <c r="H83" s="828"/>
      <c r="I83" s="112"/>
      <c r="J83" s="112" t="s">
        <v>76</v>
      </c>
      <c r="K83" s="115" t="s">
        <v>77</v>
      </c>
      <c r="L83" s="112"/>
      <c r="M83" s="112"/>
      <c r="N83" s="112"/>
    </row>
    <row r="84" spans="1:14" ht="14">
      <c r="A84" s="115"/>
      <c r="B84" s="227" t="s">
        <v>2</v>
      </c>
      <c r="C84" s="228" t="s">
        <v>6</v>
      </c>
      <c r="D84" s="227" t="s">
        <v>78</v>
      </c>
      <c r="E84" s="229" t="s">
        <v>52</v>
      </c>
      <c r="F84" s="228" t="s">
        <v>79</v>
      </c>
      <c r="G84" s="230" t="s">
        <v>78</v>
      </c>
      <c r="H84" s="231" t="s">
        <v>79</v>
      </c>
      <c r="I84" s="112"/>
      <c r="J84" s="112" t="s">
        <v>2</v>
      </c>
      <c r="K84" s="115" t="s">
        <v>98</v>
      </c>
      <c r="L84" s="115" t="s">
        <v>99</v>
      </c>
      <c r="M84" s="112"/>
      <c r="N84" s="112"/>
    </row>
    <row r="85" spans="1:14" ht="14">
      <c r="A85" s="112" t="s">
        <v>80</v>
      </c>
      <c r="B85" s="232">
        <f>SUM(Facturacion!G139:G145)</f>
        <v>126972.88</v>
      </c>
      <c r="C85" s="232">
        <f>SUM(Facturacion!L139:L145)</f>
        <v>33275</v>
      </c>
      <c r="D85" s="232">
        <f>SUM(Facturacion!N139:N145)</f>
        <v>1441805.75</v>
      </c>
      <c r="E85" s="233">
        <f>Facturacion!M139</f>
        <v>43.33</v>
      </c>
      <c r="F85" s="234">
        <f t="shared" ref="F85:F93" si="23">B85/E85</f>
        <v>2930.3687975998155</v>
      </c>
      <c r="G85" s="235">
        <f t="shared" ref="G85:G93" si="24">SUM(B85,D85)</f>
        <v>1568778.63</v>
      </c>
      <c r="H85" s="236">
        <f t="shared" ref="H85:H93" si="25">C85+F85</f>
        <v>36205.368797599818</v>
      </c>
      <c r="I85" s="112"/>
      <c r="J85" s="128">
        <f t="shared" ref="J85:J96" si="26">(K85+L85)-G85</f>
        <v>0</v>
      </c>
      <c r="K85" s="128">
        <v>1339129.6299999999</v>
      </c>
      <c r="L85" s="128">
        <v>229649</v>
      </c>
      <c r="M85" s="112"/>
      <c r="N85" s="112"/>
    </row>
    <row r="86" spans="1:14" ht="14">
      <c r="A86" s="112" t="s">
        <v>81</v>
      </c>
      <c r="B86" s="237">
        <f>SUM(Facturacion!G146:G151)</f>
        <v>271186</v>
      </c>
      <c r="C86" s="237">
        <f>SUM(Facturacion!L146:L151)</f>
        <v>10723.24</v>
      </c>
      <c r="D86" s="237">
        <f>SUM(Facturacion!N146:N151)</f>
        <v>454633.20627999993</v>
      </c>
      <c r="E86" s="238">
        <f>Facturacion!M146</f>
        <v>42.396999999999998</v>
      </c>
      <c r="F86" s="239">
        <f t="shared" si="23"/>
        <v>6396.3487982640281</v>
      </c>
      <c r="G86" s="240">
        <f t="shared" si="24"/>
        <v>725819.20627999993</v>
      </c>
      <c r="H86" s="241">
        <f t="shared" si="25"/>
        <v>17119.588798264027</v>
      </c>
      <c r="I86" s="112"/>
      <c r="J86" s="128">
        <f t="shared" si="26"/>
        <v>3.7200000369921327E-3</v>
      </c>
      <c r="K86" s="128">
        <v>449253.4</v>
      </c>
      <c r="L86" s="128">
        <v>276565.81</v>
      </c>
      <c r="M86" s="112"/>
      <c r="N86" s="112"/>
    </row>
    <row r="87" spans="1:14" ht="14">
      <c r="A87" s="112" t="s">
        <v>82</v>
      </c>
      <c r="B87" s="232">
        <f>SUM(Facturacion!G151:G156)</f>
        <v>184460.64</v>
      </c>
      <c r="C87" s="232">
        <f>SUM(Facturacion!L152:L156)</f>
        <v>11386</v>
      </c>
      <c r="D87" s="232">
        <f>SUM(Facturacion!N152:N156)</f>
        <v>479475.84599999996</v>
      </c>
      <c r="E87" s="233">
        <f>Facturacion!M152</f>
        <v>42.110999999999997</v>
      </c>
      <c r="F87" s="234">
        <f t="shared" si="23"/>
        <v>4380.3433782147185</v>
      </c>
      <c r="G87" s="240">
        <f t="shared" si="24"/>
        <v>663936.48600000003</v>
      </c>
      <c r="H87" s="241">
        <f t="shared" si="25"/>
        <v>15766.343378214719</v>
      </c>
      <c r="J87" s="128">
        <f t="shared" si="26"/>
        <v>3.9999999571591616E-3</v>
      </c>
      <c r="K87" s="128">
        <f>413965.59</f>
        <v>413965.59</v>
      </c>
      <c r="L87" s="128">
        <f>249970.9</f>
        <v>249970.9</v>
      </c>
      <c r="M87" s="112"/>
      <c r="N87" s="112"/>
    </row>
    <row r="88" spans="1:14" ht="14">
      <c r="A88" s="112" t="s">
        <v>84</v>
      </c>
      <c r="B88" s="237">
        <f>SUM(Facturacion!G157:G161)</f>
        <v>256756.23</v>
      </c>
      <c r="C88" s="237">
        <f>SUM(Facturacion!L157:L161)</f>
        <v>13238</v>
      </c>
      <c r="D88" s="237">
        <f>SUM(Facturacion!N157:N161)</f>
        <v>555982.7620000001</v>
      </c>
      <c r="E88" s="238">
        <f>Facturacion!M157</f>
        <v>41.999000000000002</v>
      </c>
      <c r="F88" s="239">
        <f t="shared" si="23"/>
        <v>6113.3891283125786</v>
      </c>
      <c r="G88" s="240">
        <f t="shared" si="24"/>
        <v>812738.99200000009</v>
      </c>
      <c r="H88" s="241">
        <f t="shared" si="25"/>
        <v>19351.389128312578</v>
      </c>
      <c r="I88" s="112"/>
      <c r="J88" s="128">
        <f t="shared" si="26"/>
        <v>-2.0000000949949026E-3</v>
      </c>
      <c r="K88" s="128">
        <f>532269.67</f>
        <v>532269.67000000004</v>
      </c>
      <c r="L88" s="128">
        <f>280469.32</f>
        <v>280469.32</v>
      </c>
      <c r="M88" s="112"/>
      <c r="N88" s="112"/>
    </row>
    <row r="89" spans="1:14" ht="14">
      <c r="A89" s="112" t="s">
        <v>85</v>
      </c>
      <c r="B89" s="232">
        <f>SUM(Facturacion!G162:G168)</f>
        <v>279445.64</v>
      </c>
      <c r="C89" s="232">
        <f>SUM(Facturacion!L162:L168)</f>
        <v>27362</v>
      </c>
      <c r="D89" s="232">
        <f>SUM(Facturacion!N162:N168)</f>
        <v>1140393.4360000002</v>
      </c>
      <c r="E89" s="233">
        <f>Facturacion!M162</f>
        <v>41.677999999999997</v>
      </c>
      <c r="F89" s="234">
        <f t="shared" si="23"/>
        <v>6704.8716349153037</v>
      </c>
      <c r="G89" s="240">
        <f t="shared" si="24"/>
        <v>1419839.0760000004</v>
      </c>
      <c r="H89" s="241">
        <f t="shared" si="25"/>
        <v>34066.871634915304</v>
      </c>
      <c r="I89" s="112"/>
      <c r="J89" s="128">
        <f t="shared" si="26"/>
        <v>3.9999997243285179E-3</v>
      </c>
      <c r="K89" s="128">
        <v>1145931.26</v>
      </c>
      <c r="L89" s="128">
        <v>273907.82</v>
      </c>
      <c r="M89" s="112"/>
      <c r="N89" s="112"/>
    </row>
    <row r="90" spans="1:14" ht="14">
      <c r="A90" s="112" t="s">
        <v>86</v>
      </c>
      <c r="B90" s="237">
        <f>SUM(Facturacion!G169:G175)</f>
        <v>186626.77</v>
      </c>
      <c r="C90" s="237">
        <f>SUM(Facturacion!L169:L175)</f>
        <v>17410</v>
      </c>
      <c r="D90" s="237">
        <f>SUM(Facturacion!N169:N175)</f>
        <v>695285.76000000001</v>
      </c>
      <c r="E90" s="238">
        <f>Facturacion!M169</f>
        <v>39.936</v>
      </c>
      <c r="F90" s="239">
        <f t="shared" si="23"/>
        <v>4673.1462840544873</v>
      </c>
      <c r="G90" s="240">
        <f t="shared" si="24"/>
        <v>881912.53</v>
      </c>
      <c r="H90" s="241">
        <f t="shared" si="25"/>
        <v>22083.146284054488</v>
      </c>
      <c r="I90" s="112"/>
      <c r="J90" s="128">
        <f t="shared" si="26"/>
        <v>0</v>
      </c>
      <c r="K90" s="128">
        <f>797248.21</f>
        <v>797248.21</v>
      </c>
      <c r="L90" s="128">
        <f>84664.32</f>
        <v>84664.320000000007</v>
      </c>
      <c r="M90" s="112"/>
      <c r="N90" s="112"/>
    </row>
    <row r="91" spans="1:14" ht="14">
      <c r="A91" s="112" t="s">
        <v>87</v>
      </c>
      <c r="B91" s="232">
        <f>SUM(Facturacion!G176:G182)</f>
        <v>262483.90999999997</v>
      </c>
      <c r="C91" s="232">
        <f>SUM(Facturacion!L176:L182)</f>
        <v>21340</v>
      </c>
      <c r="D91" s="232">
        <f>SUM(Facturacion!N176:N182)</f>
        <v>857057.08</v>
      </c>
      <c r="E91" s="233">
        <f>Facturacion!M176</f>
        <v>40.161999999999999</v>
      </c>
      <c r="F91" s="234">
        <f t="shared" si="23"/>
        <v>6535.6284547582291</v>
      </c>
      <c r="G91" s="240">
        <f t="shared" si="24"/>
        <v>1119540.99</v>
      </c>
      <c r="H91" s="241">
        <f t="shared" si="25"/>
        <v>27875.628454758229</v>
      </c>
      <c r="I91" s="112"/>
      <c r="J91" s="128">
        <f t="shared" si="26"/>
        <v>0</v>
      </c>
      <c r="K91" s="128">
        <f>1034397.55</f>
        <v>1034397.55</v>
      </c>
      <c r="L91" s="128">
        <f>85143.44</f>
        <v>85143.44</v>
      </c>
      <c r="M91" s="112"/>
      <c r="N91" s="112"/>
    </row>
    <row r="92" spans="1:14" ht="14">
      <c r="A92" s="112" t="s">
        <v>88</v>
      </c>
      <c r="B92" s="237">
        <f>SUM(Facturacion!G183:G188)</f>
        <v>194070.32</v>
      </c>
      <c r="C92" s="237">
        <f>SUM(Facturacion!L183:L188)</f>
        <v>21334</v>
      </c>
      <c r="D92" s="237">
        <f>SUM(Facturacion!N183:N188)</f>
        <v>853253.33</v>
      </c>
      <c r="E92" s="238">
        <f>Facturacion!M183</f>
        <v>39.994999999999997</v>
      </c>
      <c r="F92" s="239">
        <f t="shared" si="23"/>
        <v>4852.3645455681963</v>
      </c>
      <c r="G92" s="240">
        <f t="shared" si="24"/>
        <v>1047323.6499999999</v>
      </c>
      <c r="H92" s="241">
        <f t="shared" si="25"/>
        <v>26186.364545568198</v>
      </c>
      <c r="I92" s="136"/>
      <c r="J92" s="128">
        <f t="shared" si="26"/>
        <v>0</v>
      </c>
      <c r="K92" s="128">
        <f>1047323.65</f>
        <v>1047323.65</v>
      </c>
      <c r="L92" s="128">
        <v>0</v>
      </c>
      <c r="M92" s="112"/>
      <c r="N92" s="112"/>
    </row>
    <row r="93" spans="1:14" ht="14">
      <c r="A93" s="112" t="s">
        <v>89</v>
      </c>
      <c r="B93" s="232">
        <f>SUM(Facturacion!G190:G198)</f>
        <v>265338.67</v>
      </c>
      <c r="C93" s="232">
        <f>SUM(Facturacion!L190:L198)</f>
        <v>37656.97</v>
      </c>
      <c r="D93" s="232">
        <f>SUM(Facturacion!N190:N198)</f>
        <v>1500592.5975299999</v>
      </c>
      <c r="E93" s="233">
        <f>Facturacion!M190</f>
        <v>39.848999999999997</v>
      </c>
      <c r="F93" s="234">
        <f t="shared" si="23"/>
        <v>6658.6029762352882</v>
      </c>
      <c r="G93" s="240">
        <f t="shared" si="24"/>
        <v>1765931.2675299998</v>
      </c>
      <c r="H93" s="241">
        <f t="shared" si="25"/>
        <v>44315.572976235286</v>
      </c>
      <c r="I93" s="136"/>
      <c r="J93" s="128">
        <f t="shared" si="26"/>
        <v>-1528431.2275299998</v>
      </c>
      <c r="K93" s="128">
        <f>237500.04</f>
        <v>237500.04</v>
      </c>
      <c r="L93" s="128"/>
      <c r="M93" s="112"/>
      <c r="N93" s="112"/>
    </row>
    <row r="94" spans="1:14" ht="14">
      <c r="A94" s="112" t="s">
        <v>91</v>
      </c>
      <c r="B94" s="237"/>
      <c r="C94" s="237"/>
      <c r="D94" s="237"/>
      <c r="E94" s="242"/>
      <c r="F94" s="239"/>
      <c r="G94" s="240"/>
      <c r="H94" s="243"/>
      <c r="I94" s="136"/>
      <c r="J94" s="128">
        <f t="shared" si="26"/>
        <v>0</v>
      </c>
      <c r="K94" s="128"/>
      <c r="L94" s="128"/>
      <c r="M94" s="112"/>
      <c r="N94" s="112"/>
    </row>
    <row r="95" spans="1:14" ht="14">
      <c r="A95" s="112" t="s">
        <v>92</v>
      </c>
      <c r="B95" s="232"/>
      <c r="C95" s="232"/>
      <c r="D95" s="232"/>
      <c r="E95" s="244"/>
      <c r="F95" s="234"/>
      <c r="G95" s="240"/>
      <c r="H95" s="243"/>
      <c r="I95" s="136"/>
      <c r="J95" s="128">
        <f t="shared" si="26"/>
        <v>0</v>
      </c>
      <c r="K95" s="128"/>
      <c r="L95" s="128"/>
      <c r="M95" s="112"/>
      <c r="N95" s="112"/>
    </row>
    <row r="96" spans="1:14" ht="14">
      <c r="A96" s="112" t="s">
        <v>93</v>
      </c>
      <c r="B96" s="245"/>
      <c r="C96" s="245"/>
      <c r="D96" s="245"/>
      <c r="E96" s="246"/>
      <c r="F96" s="247"/>
      <c r="G96" s="248"/>
      <c r="H96" s="249"/>
      <c r="I96" s="136"/>
      <c r="J96" s="128">
        <f t="shared" si="26"/>
        <v>0</v>
      </c>
      <c r="K96" s="128"/>
      <c r="L96" s="128"/>
      <c r="M96" s="112"/>
      <c r="N96" s="112"/>
    </row>
    <row r="97" spans="1:14" ht="14">
      <c r="A97" s="136"/>
      <c r="B97" s="145"/>
      <c r="C97" s="137"/>
      <c r="D97" s="137"/>
      <c r="E97" s="137"/>
      <c r="F97" s="137"/>
      <c r="G97" s="112"/>
      <c r="H97" s="112"/>
      <c r="I97" s="112"/>
      <c r="J97" s="128"/>
      <c r="K97" s="128"/>
      <c r="L97" s="112"/>
      <c r="M97" s="112"/>
      <c r="N97" s="112"/>
    </row>
    <row r="98" spans="1:14" ht="14">
      <c r="A98" s="136"/>
      <c r="B98" s="145"/>
      <c r="C98" s="137"/>
      <c r="D98" s="137"/>
      <c r="E98" s="137"/>
      <c r="F98" s="137"/>
      <c r="G98" s="146" t="s">
        <v>94</v>
      </c>
      <c r="H98" s="147">
        <f>ROUND(SUM(H85:H96)/COUNT(H85:H96),2)</f>
        <v>26996.7</v>
      </c>
      <c r="I98" s="112"/>
      <c r="J98" s="128"/>
      <c r="K98" s="128"/>
      <c r="L98" s="112"/>
      <c r="M98" s="112"/>
      <c r="N98" s="112"/>
    </row>
    <row r="99" spans="1:14" ht="14">
      <c r="A99" s="814" t="s">
        <v>2</v>
      </c>
      <c r="B99" s="815"/>
      <c r="C99" s="250" t="s">
        <v>3</v>
      </c>
      <c r="D99" s="137"/>
      <c r="E99" s="137"/>
      <c r="F99" s="137"/>
      <c r="G99" s="112"/>
      <c r="H99" s="112"/>
      <c r="I99" s="112"/>
      <c r="J99" s="151">
        <f>K99-B104</f>
        <v>-3008801.8278100006</v>
      </c>
      <c r="K99" s="152">
        <f t="shared" ref="K99:L99" si="27">SUM(K85:K96)</f>
        <v>6997019</v>
      </c>
      <c r="L99" s="152">
        <f t="shared" si="27"/>
        <v>1480370.61</v>
      </c>
      <c r="M99" s="112"/>
      <c r="N99" s="112"/>
    </row>
    <row r="100" spans="1:14" ht="14">
      <c r="A100" s="202" t="s">
        <v>104</v>
      </c>
      <c r="B100" s="219">
        <f t="shared" ref="B100:C100" si="28">SUM(B85:B96)</f>
        <v>2027341.06</v>
      </c>
      <c r="C100" s="220">
        <f t="shared" si="28"/>
        <v>193725.21</v>
      </c>
      <c r="D100" s="156"/>
      <c r="E100" s="156"/>
      <c r="F100" s="156"/>
      <c r="G100" s="112"/>
      <c r="H100" s="112"/>
      <c r="I100" s="112"/>
      <c r="J100" s="112"/>
      <c r="K100" s="128"/>
      <c r="L100" s="112"/>
      <c r="M100" s="112"/>
      <c r="N100" s="112"/>
    </row>
    <row r="101" spans="1:14" ht="14">
      <c r="A101" s="251"/>
      <c r="B101" s="252"/>
      <c r="C101" s="253"/>
      <c r="D101" s="136"/>
      <c r="E101" s="136"/>
      <c r="F101" s="136"/>
      <c r="G101" s="112"/>
      <c r="H101" s="112"/>
      <c r="I101" s="112"/>
      <c r="J101" s="112"/>
      <c r="K101" s="128"/>
      <c r="L101" s="112"/>
      <c r="M101" s="112"/>
      <c r="N101" s="112"/>
    </row>
    <row r="102" spans="1:14" ht="14">
      <c r="A102" s="816" t="s">
        <v>96</v>
      </c>
      <c r="B102" s="817"/>
      <c r="C102" s="220"/>
      <c r="D102" s="136"/>
      <c r="E102" s="136"/>
      <c r="F102" s="136"/>
      <c r="G102" s="112"/>
      <c r="H102" s="112"/>
      <c r="I102" s="112"/>
      <c r="J102" s="112"/>
      <c r="K102" s="128"/>
      <c r="L102" s="112"/>
      <c r="M102" s="112"/>
      <c r="N102" s="112"/>
    </row>
    <row r="103" spans="1:14" ht="14">
      <c r="A103" s="254"/>
      <c r="B103" s="255" t="s">
        <v>2</v>
      </c>
      <c r="C103" s="253" t="s">
        <v>3</v>
      </c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</row>
    <row r="104" spans="1:14" ht="14">
      <c r="A104" s="225"/>
      <c r="B104" s="210">
        <f t="shared" ref="B104:C104" si="29">SUM(G85:G96)</f>
        <v>10005820.827810001</v>
      </c>
      <c r="C104" s="226">
        <f t="shared" si="29"/>
        <v>242970.27399792266</v>
      </c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</row>
    <row r="105" spans="1:14" ht="14">
      <c r="A105" s="253"/>
      <c r="B105" s="253"/>
      <c r="C105" s="253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</row>
    <row r="106" spans="1:14" ht="14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</row>
    <row r="107" spans="1:14" ht="14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</row>
    <row r="108" spans="1:14" ht="14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</row>
    <row r="109" spans="1:14" ht="14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</row>
    <row r="110" spans="1:14" ht="14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</row>
    <row r="111" spans="1:14" ht="14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</row>
    <row r="112" spans="1:14" ht="14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</row>
    <row r="113" spans="1:14" ht="14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</row>
    <row r="114" spans="1:14" ht="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</row>
    <row r="115" spans="1:14" ht="14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</row>
    <row r="116" spans="1:14" ht="14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</row>
    <row r="117" spans="1:14" ht="14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</row>
    <row r="118" spans="1:14" ht="14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</row>
    <row r="119" spans="1:14" ht="14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</row>
    <row r="120" spans="1:14" ht="14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</row>
    <row r="121" spans="1:14" ht="14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</row>
    <row r="122" spans="1:14" ht="14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</row>
    <row r="123" spans="1:14" ht="14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</row>
    <row r="124" spans="1:14" ht="1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</row>
    <row r="125" spans="1:14" ht="14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</row>
    <row r="126" spans="1:14" ht="14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</row>
    <row r="127" spans="1:14" ht="14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</row>
    <row r="128" spans="1:14" ht="14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</row>
    <row r="129" spans="1:14" ht="14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</row>
    <row r="130" spans="1:14" ht="14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</row>
    <row r="131" spans="1:14" ht="14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</row>
    <row r="132" spans="1:14" ht="14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</row>
    <row r="133" spans="1:14" ht="14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</row>
    <row r="134" spans="1:14" ht="1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</row>
    <row r="135" spans="1:14" ht="14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</row>
    <row r="136" spans="1:14" ht="14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</row>
    <row r="137" spans="1:14" ht="14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</row>
    <row r="138" spans="1:14" ht="14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</row>
    <row r="139" spans="1:14" ht="14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</row>
    <row r="140" spans="1:14" ht="14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</row>
    <row r="141" spans="1:14" ht="14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</row>
    <row r="142" spans="1:14" ht="14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</row>
    <row r="143" spans="1:14" ht="14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</row>
    <row r="144" spans="1:14" ht="1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</row>
    <row r="145" spans="1:14" ht="14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</row>
    <row r="146" spans="1:14" ht="14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</row>
    <row r="147" spans="1:14" ht="14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</row>
    <row r="148" spans="1:14" ht="14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</row>
    <row r="149" spans="1:14" ht="14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</row>
    <row r="150" spans="1:14" ht="14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</row>
    <row r="151" spans="1:14" ht="14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</row>
    <row r="152" spans="1:14" ht="14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</row>
    <row r="153" spans="1:14" ht="14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</row>
    <row r="154" spans="1:14" ht="1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</row>
    <row r="155" spans="1:14" ht="14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</row>
    <row r="156" spans="1:14" ht="14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</row>
    <row r="157" spans="1:14" ht="14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</row>
    <row r="158" spans="1:14" ht="14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</row>
    <row r="159" spans="1:14" ht="14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</row>
    <row r="160" spans="1:14" ht="14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</row>
    <row r="161" spans="1:14" ht="14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</row>
    <row r="162" spans="1:14" ht="14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</row>
    <row r="163" spans="1:14" ht="14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</row>
    <row r="164" spans="1:14" ht="1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</row>
    <row r="165" spans="1:14" ht="14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</row>
    <row r="166" spans="1:14" ht="14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</row>
    <row r="167" spans="1:14" ht="14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</row>
    <row r="168" spans="1:14" ht="14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</row>
    <row r="169" spans="1:14" ht="14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</row>
    <row r="170" spans="1:14" ht="14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</row>
    <row r="171" spans="1:14" ht="14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</row>
    <row r="172" spans="1:14" ht="14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</row>
    <row r="173" spans="1:14" ht="14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</row>
    <row r="174" spans="1:14" ht="1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</row>
    <row r="175" spans="1:14" ht="14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</row>
    <row r="176" spans="1:14" ht="14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</row>
    <row r="177" spans="1:14" ht="14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</row>
    <row r="178" spans="1:14" ht="14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</row>
    <row r="179" spans="1:14" ht="14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</row>
    <row r="180" spans="1:14" ht="14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</row>
    <row r="181" spans="1:14" ht="14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</row>
    <row r="182" spans="1:14" ht="14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</row>
    <row r="183" spans="1:14" ht="14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</row>
    <row r="184" spans="1:14" ht="1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</row>
    <row r="185" spans="1:14" ht="14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</row>
    <row r="186" spans="1:14" ht="14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</row>
    <row r="187" spans="1:14" ht="14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</row>
    <row r="188" spans="1:14" ht="14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</row>
    <row r="189" spans="1:14" ht="14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</row>
    <row r="190" spans="1:14" ht="14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</row>
    <row r="191" spans="1:14" ht="14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</row>
    <row r="192" spans="1:14" ht="14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</row>
    <row r="193" spans="1:14" ht="14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</row>
    <row r="194" spans="1:14" ht="1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</row>
    <row r="195" spans="1:14" ht="14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</row>
    <row r="196" spans="1:14" ht="14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</row>
    <row r="197" spans="1:14" ht="14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</row>
    <row r="198" spans="1:14" ht="14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</row>
    <row r="199" spans="1:14" ht="14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</row>
    <row r="200" spans="1:14" ht="14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</row>
    <row r="201" spans="1:14" ht="14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</row>
    <row r="202" spans="1:14" ht="14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</row>
    <row r="203" spans="1:14" ht="14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</row>
    <row r="204" spans="1:14" ht="1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</row>
    <row r="205" spans="1:14" ht="14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</row>
    <row r="206" spans="1:14" ht="14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</row>
    <row r="207" spans="1:14" ht="14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</row>
    <row r="208" spans="1:14" ht="14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</row>
    <row r="209" spans="1:14" ht="14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</row>
    <row r="210" spans="1:14" ht="14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</row>
    <row r="211" spans="1:14" ht="14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</row>
    <row r="212" spans="1:14" ht="14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</row>
    <row r="213" spans="1:14" ht="14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</row>
    <row r="214" spans="1:14" ht="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</row>
    <row r="215" spans="1:14" ht="14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</row>
    <row r="216" spans="1:14" ht="14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</row>
    <row r="217" spans="1:14" ht="14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</row>
    <row r="218" spans="1:14" ht="14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</row>
    <row r="219" spans="1:14" ht="14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</row>
    <row r="220" spans="1:14" ht="14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</row>
    <row r="221" spans="1:14" ht="14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</row>
    <row r="222" spans="1:14" ht="14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</row>
    <row r="223" spans="1:14" ht="14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</row>
    <row r="224" spans="1:14" ht="1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</row>
    <row r="225" spans="1:14" ht="14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</row>
    <row r="226" spans="1:14" ht="14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</row>
    <row r="227" spans="1:14" ht="14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</row>
    <row r="228" spans="1:14" ht="14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</row>
    <row r="229" spans="1:14" ht="14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</row>
    <row r="230" spans="1:14" ht="14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</row>
    <row r="231" spans="1:14" ht="14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</row>
    <row r="232" spans="1:14" ht="14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</row>
    <row r="233" spans="1:14" ht="14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</row>
    <row r="234" spans="1:14" ht="1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</row>
    <row r="235" spans="1:14" ht="14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</row>
    <row r="236" spans="1:14" ht="14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</row>
    <row r="237" spans="1:14" ht="14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</row>
    <row r="238" spans="1:14" ht="14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</row>
    <row r="239" spans="1:14" ht="14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</row>
    <row r="240" spans="1:14" ht="14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</row>
    <row r="241" spans="1:14" ht="14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</row>
    <row r="242" spans="1:14" ht="14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</row>
    <row r="243" spans="1:14" ht="14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</row>
    <row r="244" spans="1:14" ht="1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</row>
    <row r="245" spans="1:14" ht="14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</row>
    <row r="246" spans="1:14" ht="14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</row>
    <row r="247" spans="1:14" ht="14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</row>
    <row r="248" spans="1:14" ht="14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</row>
    <row r="249" spans="1:14" ht="14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</row>
    <row r="250" spans="1:14" ht="14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</row>
    <row r="251" spans="1:14" ht="14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</row>
    <row r="252" spans="1:14" ht="14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</row>
    <row r="253" spans="1:14" ht="14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</row>
    <row r="254" spans="1:14" ht="1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</row>
    <row r="255" spans="1:14" ht="14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</row>
    <row r="256" spans="1:14" ht="14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</row>
    <row r="257" spans="1:14" ht="14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</row>
    <row r="258" spans="1:14" ht="14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</row>
    <row r="259" spans="1:14" ht="14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</row>
    <row r="260" spans="1:14" ht="14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</row>
    <row r="261" spans="1:14" ht="14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</row>
    <row r="262" spans="1:14" ht="14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</row>
    <row r="263" spans="1:14" ht="14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</row>
    <row r="264" spans="1:14" ht="1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</row>
    <row r="265" spans="1:14" ht="14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</row>
    <row r="266" spans="1:14" ht="14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</row>
    <row r="267" spans="1:14" ht="14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</row>
    <row r="268" spans="1:14" ht="14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</row>
    <row r="269" spans="1:14" ht="14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</row>
    <row r="270" spans="1:14" ht="14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</row>
    <row r="271" spans="1:14" ht="14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</row>
    <row r="272" spans="1:14" ht="14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</row>
    <row r="273" spans="1:14" ht="14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</row>
    <row r="274" spans="1:14" ht="1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</row>
    <row r="275" spans="1:14" ht="14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</row>
    <row r="276" spans="1:14" ht="14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</row>
    <row r="277" spans="1:14" ht="14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</row>
    <row r="278" spans="1:14" ht="14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</row>
    <row r="279" spans="1:14" ht="14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</row>
    <row r="280" spans="1:14" ht="14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</row>
    <row r="281" spans="1:14" ht="14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</row>
    <row r="282" spans="1:14" ht="14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</row>
    <row r="283" spans="1:14" ht="14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</row>
    <row r="284" spans="1:14" ht="1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</row>
    <row r="285" spans="1:14" ht="14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</row>
    <row r="286" spans="1:14" ht="14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</row>
    <row r="287" spans="1:14" ht="14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</row>
    <row r="288" spans="1:14" ht="14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</row>
    <row r="289" spans="1:14" ht="14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</row>
    <row r="290" spans="1:14" ht="14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</row>
    <row r="291" spans="1:14" ht="14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</row>
    <row r="292" spans="1:14" ht="14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</row>
    <row r="293" spans="1:14" ht="14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</row>
    <row r="294" spans="1:14" ht="1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</row>
    <row r="295" spans="1:14" ht="14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</row>
    <row r="296" spans="1:14" ht="14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</row>
    <row r="297" spans="1:14" ht="14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</row>
    <row r="298" spans="1:14" ht="14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</row>
    <row r="299" spans="1:14" ht="14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</row>
    <row r="300" spans="1:14" ht="14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</row>
    <row r="301" spans="1:14" ht="14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</row>
    <row r="302" spans="1:14" ht="14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</row>
    <row r="303" spans="1:14" ht="14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</row>
    <row r="304" spans="1:14" ht="1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</row>
    <row r="305" spans="1:14" ht="14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</row>
    <row r="306" spans="1:14" ht="14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</row>
    <row r="307" spans="1:14" ht="14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</row>
    <row r="308" spans="1:14" ht="14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</row>
    <row r="309" spans="1:14" ht="14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</row>
    <row r="310" spans="1:14" ht="14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</row>
    <row r="311" spans="1:14" ht="14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</row>
    <row r="312" spans="1:14" ht="14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</row>
    <row r="313" spans="1:14" ht="14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</row>
    <row r="314" spans="1:14" ht="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</row>
    <row r="315" spans="1:14" ht="14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</row>
    <row r="316" spans="1:14" ht="14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</row>
    <row r="317" spans="1:14" ht="14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</row>
    <row r="318" spans="1:14" ht="14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</row>
    <row r="319" spans="1:14" ht="14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</row>
    <row r="320" spans="1:14" ht="14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</row>
    <row r="321" spans="1:14" ht="14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</row>
    <row r="322" spans="1:14" ht="14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</row>
    <row r="323" spans="1:14" ht="14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</row>
    <row r="324" spans="1:14" ht="1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</row>
    <row r="325" spans="1:14" ht="14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</row>
    <row r="326" spans="1:14" ht="14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</row>
    <row r="327" spans="1:14" ht="14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</row>
    <row r="328" spans="1:14" ht="14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</row>
    <row r="329" spans="1:14" ht="14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</row>
    <row r="330" spans="1:14" ht="14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</row>
    <row r="331" spans="1:14" ht="14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</row>
    <row r="332" spans="1:14" ht="14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</row>
    <row r="333" spans="1:14" ht="14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</row>
    <row r="334" spans="1:14" ht="1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</row>
    <row r="335" spans="1:14" ht="14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</row>
    <row r="336" spans="1:14" ht="14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</row>
    <row r="337" spans="1:14" ht="14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</row>
    <row r="338" spans="1:14" ht="14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</row>
    <row r="339" spans="1:14" ht="14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</row>
    <row r="340" spans="1:14" ht="14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</row>
    <row r="341" spans="1:14" ht="14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</row>
    <row r="342" spans="1:14" ht="14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</row>
    <row r="343" spans="1:14" ht="14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</row>
    <row r="344" spans="1:14" ht="1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</row>
    <row r="345" spans="1:14" ht="14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</row>
    <row r="346" spans="1:14" ht="14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</row>
    <row r="347" spans="1:14" ht="14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</row>
    <row r="348" spans="1:14" ht="14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</row>
    <row r="349" spans="1:14" ht="14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</row>
    <row r="350" spans="1:14" ht="14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</row>
    <row r="351" spans="1:14" ht="14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</row>
    <row r="352" spans="1:14" ht="14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</row>
    <row r="353" spans="1:14" ht="14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</row>
    <row r="354" spans="1:14" ht="1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</row>
    <row r="355" spans="1:14" ht="14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</row>
    <row r="356" spans="1:14" ht="14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</row>
    <row r="357" spans="1:14" ht="14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</row>
    <row r="358" spans="1:14" ht="14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</row>
    <row r="359" spans="1:14" ht="14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</row>
    <row r="360" spans="1:14" ht="14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</row>
    <row r="361" spans="1:14" ht="14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</row>
    <row r="362" spans="1:14" ht="14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</row>
    <row r="363" spans="1:14" ht="14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</row>
    <row r="364" spans="1:14" ht="1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</row>
    <row r="365" spans="1:14" ht="14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</row>
    <row r="366" spans="1:14" ht="14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</row>
    <row r="367" spans="1:14" ht="14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</row>
    <row r="368" spans="1:14" ht="14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</row>
    <row r="369" spans="1:14" ht="14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</row>
    <row r="370" spans="1:14" ht="14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</row>
    <row r="371" spans="1:14" ht="14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</row>
    <row r="372" spans="1:14" ht="14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</row>
    <row r="373" spans="1:14" ht="14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</row>
    <row r="374" spans="1:14" ht="1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</row>
    <row r="375" spans="1:14" ht="14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</row>
    <row r="376" spans="1:14" ht="14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</row>
    <row r="377" spans="1:14" ht="14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</row>
    <row r="378" spans="1:14" ht="14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</row>
    <row r="379" spans="1:14" ht="14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</row>
    <row r="380" spans="1:14" ht="14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</row>
    <row r="381" spans="1:14" ht="14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</row>
    <row r="382" spans="1:14" ht="14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</row>
    <row r="383" spans="1:14" ht="14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</row>
    <row r="384" spans="1:14" ht="1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</row>
    <row r="385" spans="1:14" ht="14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</row>
    <row r="386" spans="1:14" ht="14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</row>
    <row r="387" spans="1:14" ht="14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</row>
    <row r="388" spans="1:14" ht="14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</row>
    <row r="389" spans="1:14" ht="14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</row>
    <row r="390" spans="1:14" ht="14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</row>
    <row r="391" spans="1:14" ht="14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</row>
    <row r="392" spans="1:14" ht="14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</row>
    <row r="393" spans="1:14" ht="14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</row>
    <row r="394" spans="1:14" ht="1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</row>
    <row r="395" spans="1:14" ht="14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</row>
    <row r="396" spans="1:14" ht="14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</row>
    <row r="397" spans="1:14" ht="14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</row>
    <row r="398" spans="1:14" ht="14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</row>
    <row r="399" spans="1:14" ht="14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</row>
    <row r="400" spans="1:14" ht="14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</row>
    <row r="401" spans="1:14" ht="14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</row>
    <row r="402" spans="1:14" ht="14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</row>
    <row r="403" spans="1:14" ht="14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</row>
    <row r="404" spans="1:14" ht="1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</row>
    <row r="405" spans="1:14" ht="14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</row>
    <row r="406" spans="1:14" ht="14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</row>
    <row r="407" spans="1:14" ht="14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</row>
    <row r="408" spans="1:14" ht="14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</row>
    <row r="409" spans="1:14" ht="14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</row>
    <row r="410" spans="1:14" ht="14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</row>
    <row r="411" spans="1:14" ht="14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</row>
    <row r="412" spans="1:14" ht="14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</row>
    <row r="413" spans="1:14" ht="14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</row>
    <row r="414" spans="1:14" ht="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</row>
    <row r="415" spans="1:14" ht="14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</row>
    <row r="416" spans="1:14" ht="14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</row>
    <row r="417" spans="1:14" ht="14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</row>
    <row r="418" spans="1:14" ht="14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</row>
    <row r="419" spans="1:14" ht="14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</row>
    <row r="420" spans="1:14" ht="14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</row>
    <row r="421" spans="1:14" ht="14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</row>
    <row r="422" spans="1:14" ht="14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</row>
    <row r="423" spans="1:14" ht="14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</row>
    <row r="424" spans="1:14" ht="1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</row>
    <row r="425" spans="1:14" ht="14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</row>
    <row r="426" spans="1:14" ht="14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</row>
    <row r="427" spans="1:14" ht="14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</row>
    <row r="428" spans="1:14" ht="14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</row>
    <row r="429" spans="1:14" ht="14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</row>
    <row r="430" spans="1:14" ht="14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</row>
    <row r="431" spans="1:14" ht="14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</row>
    <row r="432" spans="1:14" ht="14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</row>
    <row r="433" spans="1:14" ht="14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</row>
    <row r="434" spans="1:14" ht="1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</row>
    <row r="435" spans="1:14" ht="14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</row>
    <row r="436" spans="1:14" ht="14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</row>
    <row r="437" spans="1:14" ht="14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</row>
    <row r="438" spans="1:14" ht="14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</row>
    <row r="439" spans="1:14" ht="14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</row>
    <row r="440" spans="1:14" ht="14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</row>
    <row r="441" spans="1:14" ht="14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</row>
    <row r="442" spans="1:14" ht="14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</row>
    <row r="443" spans="1:14" ht="14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</row>
    <row r="444" spans="1:14" ht="1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</row>
    <row r="445" spans="1:14" ht="14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</row>
    <row r="446" spans="1:14" ht="14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</row>
    <row r="447" spans="1:14" ht="14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</row>
    <row r="448" spans="1:14" ht="14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</row>
    <row r="449" spans="1:14" ht="14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</row>
    <row r="450" spans="1:14" ht="14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</row>
    <row r="451" spans="1:14" ht="14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</row>
    <row r="452" spans="1:14" ht="14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</row>
    <row r="453" spans="1:14" ht="14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</row>
    <row r="454" spans="1:14" ht="1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</row>
    <row r="455" spans="1:14" ht="14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</row>
    <row r="456" spans="1:14" ht="14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</row>
    <row r="457" spans="1:14" ht="14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</row>
    <row r="458" spans="1:14" ht="14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</row>
    <row r="459" spans="1:14" ht="14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</row>
    <row r="460" spans="1:14" ht="14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</row>
    <row r="461" spans="1:14" ht="14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</row>
    <row r="462" spans="1:14" ht="14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</row>
    <row r="463" spans="1:14" ht="14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</row>
    <row r="464" spans="1:14" ht="1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</row>
    <row r="465" spans="1:14" ht="14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</row>
    <row r="466" spans="1:14" ht="14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</row>
    <row r="467" spans="1:14" ht="14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</row>
    <row r="468" spans="1:14" ht="14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</row>
    <row r="469" spans="1:14" ht="14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</row>
    <row r="470" spans="1:14" ht="14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</row>
    <row r="471" spans="1:14" ht="14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</row>
    <row r="472" spans="1:14" ht="14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</row>
    <row r="473" spans="1:14" ht="14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</row>
    <row r="474" spans="1:14" ht="1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</row>
    <row r="475" spans="1:14" ht="14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</row>
    <row r="476" spans="1:14" ht="14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</row>
    <row r="477" spans="1:14" ht="14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</row>
    <row r="478" spans="1:14" ht="14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</row>
    <row r="479" spans="1:14" ht="14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</row>
    <row r="480" spans="1:14" ht="14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</row>
    <row r="481" spans="1:14" ht="14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</row>
    <row r="482" spans="1:14" ht="14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</row>
    <row r="483" spans="1:14" ht="14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</row>
    <row r="484" spans="1:14" ht="1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</row>
    <row r="485" spans="1:14" ht="14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</row>
    <row r="486" spans="1:14" ht="14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</row>
    <row r="487" spans="1:14" ht="14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</row>
    <row r="488" spans="1:14" ht="14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</row>
    <row r="489" spans="1:14" ht="14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</row>
    <row r="490" spans="1:14" ht="14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</row>
    <row r="491" spans="1:14" ht="14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</row>
    <row r="492" spans="1:14" ht="14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</row>
    <row r="493" spans="1:14" ht="14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</row>
    <row r="494" spans="1:14" ht="1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</row>
    <row r="495" spans="1:14" ht="14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</row>
    <row r="496" spans="1:14" ht="14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</row>
    <row r="497" spans="1:14" ht="14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</row>
    <row r="498" spans="1:14" ht="14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</row>
    <row r="499" spans="1:14" ht="14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</row>
    <row r="500" spans="1:14" ht="14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</row>
    <row r="501" spans="1:14" ht="14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</row>
    <row r="502" spans="1:14" ht="14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</row>
    <row r="503" spans="1:14" ht="14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</row>
    <row r="504" spans="1:14" ht="1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</row>
    <row r="505" spans="1:14" ht="14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</row>
    <row r="506" spans="1:14" ht="14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</row>
    <row r="507" spans="1:14" ht="14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</row>
    <row r="508" spans="1:14" ht="14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</row>
    <row r="509" spans="1:14" ht="14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</row>
    <row r="510" spans="1:14" ht="14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</row>
    <row r="511" spans="1:14" ht="14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</row>
    <row r="512" spans="1:14" ht="14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</row>
    <row r="513" spans="1:14" ht="14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</row>
    <row r="514" spans="1:14" ht="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</row>
    <row r="515" spans="1:14" ht="14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</row>
    <row r="516" spans="1:14" ht="14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</row>
    <row r="517" spans="1:14" ht="14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</row>
    <row r="518" spans="1:14" ht="14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</row>
    <row r="519" spans="1:14" ht="14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</row>
    <row r="520" spans="1:14" ht="14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</row>
    <row r="521" spans="1:14" ht="14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</row>
    <row r="522" spans="1:14" ht="14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</row>
    <row r="523" spans="1:14" ht="14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</row>
    <row r="524" spans="1:14" ht="1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</row>
    <row r="525" spans="1:14" ht="14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</row>
    <row r="526" spans="1:14" ht="14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</row>
    <row r="527" spans="1:14" ht="14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</row>
    <row r="528" spans="1:14" ht="14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</row>
    <row r="529" spans="1:14" ht="14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</row>
    <row r="530" spans="1:14" ht="14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</row>
    <row r="531" spans="1:14" ht="14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</row>
    <row r="532" spans="1:14" ht="14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</row>
    <row r="533" spans="1:14" ht="14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</row>
    <row r="534" spans="1:14" ht="1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</row>
    <row r="535" spans="1:14" ht="14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</row>
    <row r="536" spans="1:14" ht="14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</row>
    <row r="537" spans="1:14" ht="14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</row>
    <row r="538" spans="1:14" ht="14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</row>
    <row r="539" spans="1:14" ht="14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</row>
    <row r="540" spans="1:14" ht="14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</row>
    <row r="541" spans="1:14" ht="14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</row>
    <row r="542" spans="1:14" ht="14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</row>
    <row r="543" spans="1:14" ht="14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</row>
    <row r="544" spans="1:14" ht="1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</row>
    <row r="545" spans="1:14" ht="14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</row>
    <row r="546" spans="1:14" ht="14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</row>
    <row r="547" spans="1:14" ht="14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</row>
    <row r="548" spans="1:14" ht="14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</row>
    <row r="549" spans="1:14" ht="14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</row>
    <row r="550" spans="1:14" ht="14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</row>
    <row r="551" spans="1:14" ht="14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</row>
    <row r="552" spans="1:14" ht="14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</row>
    <row r="553" spans="1:14" ht="14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</row>
    <row r="554" spans="1:14" ht="1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</row>
    <row r="555" spans="1:14" ht="14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</row>
    <row r="556" spans="1:14" ht="14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</row>
    <row r="557" spans="1:14" ht="14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</row>
    <row r="558" spans="1:14" ht="14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</row>
    <row r="559" spans="1:14" ht="14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</row>
    <row r="560" spans="1:14" ht="14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</row>
    <row r="561" spans="1:14" ht="14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</row>
    <row r="562" spans="1:14" ht="14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</row>
    <row r="563" spans="1:14" ht="14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</row>
    <row r="564" spans="1:14" ht="1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</row>
    <row r="565" spans="1:14" ht="14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</row>
    <row r="566" spans="1:14" ht="14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</row>
    <row r="567" spans="1:14" ht="14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</row>
    <row r="568" spans="1:14" ht="14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</row>
    <row r="569" spans="1:14" ht="14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</row>
    <row r="570" spans="1:14" ht="14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</row>
    <row r="571" spans="1:14" ht="14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</row>
    <row r="572" spans="1:14" ht="14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</row>
    <row r="573" spans="1:14" ht="14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</row>
    <row r="574" spans="1:14" ht="1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</row>
    <row r="575" spans="1:14" ht="14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</row>
    <row r="576" spans="1:14" ht="14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</row>
    <row r="577" spans="1:14" ht="14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</row>
    <row r="578" spans="1:14" ht="14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</row>
    <row r="579" spans="1:14" ht="14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</row>
    <row r="580" spans="1:14" ht="14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</row>
    <row r="581" spans="1:14" ht="14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</row>
    <row r="582" spans="1:14" ht="14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</row>
    <row r="583" spans="1:14" ht="14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</row>
    <row r="584" spans="1:14" ht="1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</row>
    <row r="585" spans="1:14" ht="14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</row>
    <row r="586" spans="1:14" ht="14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</row>
    <row r="587" spans="1:14" ht="14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</row>
    <row r="588" spans="1:14" ht="14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</row>
    <row r="589" spans="1:14" ht="14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</row>
    <row r="590" spans="1:14" ht="14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</row>
    <row r="591" spans="1:14" ht="14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</row>
    <row r="592" spans="1:14" ht="14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</row>
    <row r="593" spans="1:14" ht="14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</row>
    <row r="594" spans="1:14" ht="1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</row>
    <row r="595" spans="1:14" ht="14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</row>
    <row r="596" spans="1:14" ht="14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</row>
    <row r="597" spans="1:14" ht="14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</row>
    <row r="598" spans="1:14" ht="14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</row>
    <row r="599" spans="1:14" ht="14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</row>
    <row r="600" spans="1:14" ht="14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</row>
    <row r="601" spans="1:14" ht="14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</row>
    <row r="602" spans="1:14" ht="14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</row>
    <row r="603" spans="1:14" ht="14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</row>
    <row r="604" spans="1:14" ht="1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</row>
    <row r="605" spans="1:14" ht="14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</row>
    <row r="606" spans="1:14" ht="14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</row>
    <row r="607" spans="1:14" ht="14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</row>
    <row r="608" spans="1:14" ht="14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</row>
    <row r="609" spans="1:14" ht="14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</row>
    <row r="610" spans="1:14" ht="14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</row>
    <row r="611" spans="1:14" ht="14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</row>
    <row r="612" spans="1:14" ht="14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</row>
    <row r="613" spans="1:14" ht="14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</row>
    <row r="614" spans="1:14" ht="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</row>
    <row r="615" spans="1:14" ht="14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</row>
    <row r="616" spans="1:14" ht="14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</row>
    <row r="617" spans="1:14" ht="14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</row>
    <row r="618" spans="1:14" ht="14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</row>
    <row r="619" spans="1:14" ht="14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</row>
    <row r="620" spans="1:14" ht="14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</row>
    <row r="621" spans="1:14" ht="14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</row>
    <row r="622" spans="1:14" ht="14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</row>
    <row r="623" spans="1:14" ht="14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</row>
    <row r="624" spans="1:14" ht="1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</row>
    <row r="625" spans="1:14" ht="14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</row>
    <row r="626" spans="1:14" ht="14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</row>
    <row r="627" spans="1:14" ht="14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</row>
    <row r="628" spans="1:14" ht="14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</row>
    <row r="629" spans="1:14" ht="14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</row>
    <row r="630" spans="1:14" ht="14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</row>
    <row r="631" spans="1:14" ht="14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</row>
    <row r="632" spans="1:14" ht="14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</row>
    <row r="633" spans="1:14" ht="14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</row>
    <row r="634" spans="1:14" ht="1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</row>
    <row r="635" spans="1:14" ht="14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</row>
    <row r="636" spans="1:14" ht="14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</row>
    <row r="637" spans="1:14" ht="14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</row>
    <row r="638" spans="1:14" ht="14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</row>
    <row r="639" spans="1:14" ht="14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</row>
    <row r="640" spans="1:14" ht="14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</row>
    <row r="641" spans="1:14" ht="14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</row>
    <row r="642" spans="1:14" ht="14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</row>
    <row r="643" spans="1:14" ht="14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</row>
    <row r="644" spans="1:14" ht="1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</row>
    <row r="645" spans="1:14" ht="14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</row>
    <row r="646" spans="1:14" ht="14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</row>
    <row r="647" spans="1:14" ht="14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</row>
    <row r="648" spans="1:14" ht="14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</row>
    <row r="649" spans="1:14" ht="14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</row>
    <row r="650" spans="1:14" ht="14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</row>
    <row r="651" spans="1:14" ht="14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</row>
    <row r="652" spans="1:14" ht="14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</row>
    <row r="653" spans="1:14" ht="14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</row>
    <row r="654" spans="1:14" ht="1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</row>
    <row r="655" spans="1:14" ht="14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</row>
    <row r="656" spans="1:14" ht="14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</row>
    <row r="657" spans="1:14" ht="14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</row>
    <row r="658" spans="1:14" ht="14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</row>
    <row r="659" spans="1:14" ht="14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</row>
    <row r="660" spans="1:14" ht="14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</row>
    <row r="661" spans="1:14" ht="14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</row>
    <row r="662" spans="1:14" ht="14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</row>
    <row r="663" spans="1:14" ht="14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</row>
    <row r="664" spans="1:14" ht="1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</row>
    <row r="665" spans="1:14" ht="14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</row>
    <row r="666" spans="1:14" ht="14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</row>
    <row r="667" spans="1:14" ht="14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</row>
    <row r="668" spans="1:14" ht="14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</row>
    <row r="669" spans="1:14" ht="14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</row>
    <row r="670" spans="1:14" ht="14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</row>
    <row r="671" spans="1:14" ht="14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</row>
    <row r="672" spans="1:14" ht="14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</row>
    <row r="673" spans="1:14" ht="14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</row>
    <row r="674" spans="1:14" ht="1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</row>
    <row r="675" spans="1:14" ht="14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</row>
    <row r="676" spans="1:14" ht="14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</row>
    <row r="677" spans="1:14" ht="14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</row>
    <row r="678" spans="1:14" ht="14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</row>
    <row r="679" spans="1:14" ht="14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</row>
    <row r="680" spans="1:14" ht="14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</row>
    <row r="681" spans="1:14" ht="14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</row>
    <row r="682" spans="1:14" ht="14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</row>
    <row r="683" spans="1:14" ht="14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</row>
    <row r="684" spans="1:14" ht="1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</row>
    <row r="685" spans="1:14" ht="14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</row>
    <row r="686" spans="1:14" ht="14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</row>
    <row r="687" spans="1:14" ht="14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</row>
    <row r="688" spans="1:14" ht="14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</row>
    <row r="689" spans="1:14" ht="14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</row>
    <row r="690" spans="1:14" ht="14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</row>
    <row r="691" spans="1:14" ht="14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</row>
    <row r="692" spans="1:14" ht="14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</row>
    <row r="693" spans="1:14" ht="14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</row>
    <row r="694" spans="1:14" ht="1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</row>
    <row r="695" spans="1:14" ht="14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</row>
    <row r="696" spans="1:14" ht="14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</row>
    <row r="697" spans="1:14" ht="14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</row>
    <row r="698" spans="1:14" ht="14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</row>
    <row r="699" spans="1:14" ht="14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</row>
    <row r="700" spans="1:14" ht="14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</row>
    <row r="701" spans="1:14" ht="14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</row>
    <row r="702" spans="1:14" ht="14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</row>
    <row r="703" spans="1:14" ht="14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</row>
    <row r="704" spans="1:14" ht="1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</row>
    <row r="705" spans="1:14" ht="14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</row>
    <row r="706" spans="1:14" ht="14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</row>
    <row r="707" spans="1:14" ht="14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</row>
    <row r="708" spans="1:14" ht="14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</row>
    <row r="709" spans="1:14" ht="14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</row>
    <row r="710" spans="1:14" ht="14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</row>
    <row r="711" spans="1:14" ht="14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</row>
    <row r="712" spans="1:14" ht="14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</row>
    <row r="713" spans="1:14" ht="14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</row>
    <row r="714" spans="1:14" ht="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</row>
    <row r="715" spans="1:14" ht="14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</row>
    <row r="716" spans="1:14" ht="14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</row>
    <row r="717" spans="1:14" ht="14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</row>
    <row r="718" spans="1:14" ht="14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</row>
    <row r="719" spans="1:14" ht="14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</row>
    <row r="720" spans="1:14" ht="14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</row>
    <row r="721" spans="1:14" ht="14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</row>
    <row r="722" spans="1:14" ht="14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</row>
    <row r="723" spans="1:14" ht="14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</row>
    <row r="724" spans="1:14" ht="1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</row>
    <row r="725" spans="1:14" ht="14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</row>
    <row r="726" spans="1:14" ht="14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</row>
    <row r="727" spans="1:14" ht="14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</row>
    <row r="728" spans="1:14" ht="14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</row>
    <row r="729" spans="1:14" ht="14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</row>
    <row r="730" spans="1:14" ht="14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</row>
    <row r="731" spans="1:14" ht="14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</row>
    <row r="732" spans="1:14" ht="14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</row>
    <row r="733" spans="1:14" ht="14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</row>
    <row r="734" spans="1:14" ht="1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</row>
    <row r="735" spans="1:14" ht="14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</row>
    <row r="736" spans="1:14" ht="14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</row>
    <row r="737" spans="1:14" ht="14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</row>
    <row r="738" spans="1:14" ht="14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</row>
    <row r="739" spans="1:14" ht="14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</row>
    <row r="740" spans="1:14" ht="14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</row>
    <row r="741" spans="1:14" ht="14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</row>
    <row r="742" spans="1:14" ht="14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</row>
    <row r="743" spans="1:14" ht="14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</row>
    <row r="744" spans="1:14" ht="1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</row>
    <row r="745" spans="1:14" ht="14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</row>
    <row r="746" spans="1:14" ht="14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</row>
    <row r="747" spans="1:14" ht="14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</row>
    <row r="748" spans="1:14" ht="14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</row>
    <row r="749" spans="1:14" ht="14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</row>
    <row r="750" spans="1:14" ht="14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</row>
    <row r="751" spans="1:14" ht="14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</row>
    <row r="752" spans="1:14" ht="14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</row>
    <row r="753" spans="1:14" ht="14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</row>
    <row r="754" spans="1:14" ht="1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</row>
    <row r="755" spans="1:14" ht="14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</row>
    <row r="756" spans="1:14" ht="14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</row>
    <row r="757" spans="1:14" ht="14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</row>
    <row r="758" spans="1:14" ht="14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</row>
    <row r="759" spans="1:14" ht="14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</row>
    <row r="760" spans="1:14" ht="14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</row>
    <row r="761" spans="1:14" ht="14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</row>
    <row r="762" spans="1:14" ht="14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</row>
    <row r="763" spans="1:14" ht="14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</row>
    <row r="764" spans="1:14" ht="1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</row>
    <row r="765" spans="1:14" ht="14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</row>
    <row r="766" spans="1:14" ht="14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</row>
    <row r="767" spans="1:14" ht="14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</row>
    <row r="768" spans="1:14" ht="14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</row>
    <row r="769" spans="1:14" ht="14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</row>
    <row r="770" spans="1:14" ht="14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</row>
    <row r="771" spans="1:14" ht="14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</row>
    <row r="772" spans="1:14" ht="14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</row>
    <row r="773" spans="1:14" ht="14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</row>
    <row r="774" spans="1:14" ht="1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</row>
    <row r="775" spans="1:14" ht="14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</row>
    <row r="776" spans="1:14" ht="14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</row>
    <row r="777" spans="1:14" ht="14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</row>
    <row r="778" spans="1:14" ht="14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</row>
    <row r="779" spans="1:14" ht="14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</row>
    <row r="780" spans="1:14" ht="14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</row>
    <row r="781" spans="1:14" ht="14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</row>
    <row r="782" spans="1:14" ht="14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</row>
    <row r="783" spans="1:14" ht="14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</row>
    <row r="784" spans="1:14" ht="1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</row>
    <row r="785" spans="1:14" ht="14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</row>
    <row r="786" spans="1:14" ht="14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</row>
    <row r="787" spans="1:14" ht="14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</row>
    <row r="788" spans="1:14" ht="14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</row>
    <row r="789" spans="1:14" ht="14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</row>
    <row r="790" spans="1:14" ht="14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</row>
    <row r="791" spans="1:14" ht="14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</row>
    <row r="792" spans="1:14" ht="14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</row>
    <row r="793" spans="1:14" ht="14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</row>
    <row r="794" spans="1:14" ht="1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</row>
    <row r="795" spans="1:14" ht="14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</row>
    <row r="796" spans="1:14" ht="14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</row>
    <row r="797" spans="1:14" ht="14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</row>
    <row r="798" spans="1:14" ht="14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</row>
    <row r="799" spans="1:14" ht="14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</row>
    <row r="800" spans="1:14" ht="14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</row>
    <row r="801" spans="1:14" ht="14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</row>
    <row r="802" spans="1:14" ht="14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</row>
    <row r="803" spans="1:14" ht="14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</row>
    <row r="804" spans="1:14" ht="1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</row>
    <row r="805" spans="1:14" ht="14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</row>
    <row r="806" spans="1:14" ht="14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</row>
    <row r="807" spans="1:14" ht="14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</row>
    <row r="808" spans="1:14" ht="14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</row>
    <row r="809" spans="1:14" ht="14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</row>
    <row r="810" spans="1:14" ht="14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</row>
    <row r="811" spans="1:14" ht="14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</row>
    <row r="812" spans="1:14" ht="14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</row>
    <row r="813" spans="1:14" ht="14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</row>
    <row r="814" spans="1:14" ht="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</row>
    <row r="815" spans="1:14" ht="14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</row>
    <row r="816" spans="1:14" ht="14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</row>
    <row r="817" spans="1:14" ht="14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</row>
    <row r="818" spans="1:14" ht="14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</row>
    <row r="819" spans="1:14" ht="14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</row>
    <row r="820" spans="1:14" ht="14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</row>
    <row r="821" spans="1:14" ht="14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</row>
    <row r="822" spans="1:14" ht="14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</row>
    <row r="823" spans="1:14" ht="14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</row>
    <row r="824" spans="1:14" ht="1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</row>
    <row r="825" spans="1:14" ht="14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</row>
    <row r="826" spans="1:14" ht="14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</row>
    <row r="827" spans="1:14" ht="14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</row>
    <row r="828" spans="1:14" ht="14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</row>
    <row r="829" spans="1:14" ht="14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</row>
    <row r="830" spans="1:14" ht="14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</row>
    <row r="831" spans="1:14" ht="14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</row>
    <row r="832" spans="1:14" ht="14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</row>
    <row r="833" spans="1:14" ht="14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</row>
    <row r="834" spans="1:14" ht="1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</row>
    <row r="835" spans="1:14" ht="14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</row>
    <row r="836" spans="1:14" ht="14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</row>
    <row r="837" spans="1:14" ht="14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</row>
    <row r="838" spans="1:14" ht="14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</row>
    <row r="839" spans="1:14" ht="14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</row>
    <row r="840" spans="1:14" ht="14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</row>
    <row r="841" spans="1:14" ht="14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</row>
    <row r="842" spans="1:14" ht="14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</row>
    <row r="843" spans="1:14" ht="14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</row>
    <row r="844" spans="1:14" ht="1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</row>
    <row r="845" spans="1:14" ht="14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</row>
    <row r="846" spans="1:14" ht="14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</row>
    <row r="847" spans="1:14" ht="14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</row>
    <row r="848" spans="1:14" ht="14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</row>
    <row r="849" spans="1:14" ht="14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</row>
    <row r="850" spans="1:14" ht="14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</row>
    <row r="851" spans="1:14" ht="14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</row>
    <row r="852" spans="1:14" ht="14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</row>
    <row r="853" spans="1:14" ht="14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</row>
    <row r="854" spans="1:14" ht="1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</row>
    <row r="855" spans="1:14" ht="14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</row>
    <row r="856" spans="1:14" ht="14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</row>
    <row r="857" spans="1:14" ht="14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</row>
    <row r="858" spans="1:14" ht="14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</row>
    <row r="859" spans="1:14" ht="14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</row>
    <row r="860" spans="1:14" ht="14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</row>
    <row r="861" spans="1:14" ht="14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</row>
    <row r="862" spans="1:14" ht="14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</row>
    <row r="863" spans="1:14" ht="14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</row>
    <row r="864" spans="1:14" ht="1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</row>
    <row r="865" spans="1:14" ht="14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</row>
    <row r="866" spans="1:14" ht="14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</row>
    <row r="867" spans="1:14" ht="14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</row>
    <row r="868" spans="1:14" ht="14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</row>
    <row r="869" spans="1:14" ht="14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</row>
    <row r="870" spans="1:14" ht="14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</row>
    <row r="871" spans="1:14" ht="14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</row>
    <row r="872" spans="1:14" ht="14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</row>
    <row r="873" spans="1:14" ht="14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</row>
    <row r="874" spans="1:14" ht="1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</row>
    <row r="875" spans="1:14" ht="14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</row>
    <row r="876" spans="1:14" ht="14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</row>
    <row r="877" spans="1:14" ht="14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</row>
    <row r="878" spans="1:14" ht="14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</row>
    <row r="879" spans="1:14" ht="14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</row>
    <row r="880" spans="1:14" ht="14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</row>
    <row r="881" spans="1:14" ht="14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</row>
    <row r="882" spans="1:14" ht="14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</row>
    <row r="883" spans="1:14" ht="14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</row>
    <row r="884" spans="1:14" ht="1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</row>
    <row r="885" spans="1:14" ht="14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</row>
    <row r="886" spans="1:14" ht="14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</row>
    <row r="887" spans="1:14" ht="14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</row>
    <row r="888" spans="1:14" ht="14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</row>
    <row r="889" spans="1:14" ht="14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</row>
    <row r="890" spans="1:14" ht="14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</row>
    <row r="891" spans="1:14" ht="14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</row>
    <row r="892" spans="1:14" ht="14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</row>
  </sheetData>
  <mergeCells count="16">
    <mergeCell ref="B57:C57"/>
    <mergeCell ref="A99:B99"/>
    <mergeCell ref="A102:B102"/>
    <mergeCell ref="D57:F57"/>
    <mergeCell ref="G57:H57"/>
    <mergeCell ref="A73:B73"/>
    <mergeCell ref="A76:B76"/>
    <mergeCell ref="B83:C83"/>
    <mergeCell ref="D83:F83"/>
    <mergeCell ref="G83:H83"/>
    <mergeCell ref="B3:C3"/>
    <mergeCell ref="D3:F3"/>
    <mergeCell ref="G3:H3"/>
    <mergeCell ref="B30:C30"/>
    <mergeCell ref="D30:F30"/>
    <mergeCell ref="G30:H30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I118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1.83203125" customWidth="1"/>
    <col min="2" max="2" width="10.6640625" customWidth="1"/>
    <col min="4" max="4" width="9.33203125" customWidth="1"/>
    <col min="6" max="6" width="28.83203125" customWidth="1"/>
    <col min="8" max="9" width="11.5" customWidth="1"/>
    <col min="13" max="13" width="6.6640625" customWidth="1"/>
    <col min="17" max="17" width="11.6640625" customWidth="1"/>
    <col min="18" max="18" width="13.6640625" customWidth="1"/>
  </cols>
  <sheetData>
    <row r="1" spans="1:20" ht="13">
      <c r="A1" s="10"/>
      <c r="B1" s="256" t="s">
        <v>105</v>
      </c>
      <c r="C1" s="10" t="s">
        <v>106</v>
      </c>
      <c r="D1" s="257" t="s">
        <v>72</v>
      </c>
      <c r="E1" s="10" t="s">
        <v>107</v>
      </c>
      <c r="F1" s="10" t="s">
        <v>108</v>
      </c>
      <c r="G1" s="10" t="s">
        <v>109</v>
      </c>
      <c r="H1" s="10" t="s">
        <v>110</v>
      </c>
      <c r="I1" s="10" t="s">
        <v>64</v>
      </c>
      <c r="J1" s="10" t="s">
        <v>111</v>
      </c>
      <c r="K1" s="10" t="s">
        <v>112</v>
      </c>
      <c r="L1" s="258" t="s">
        <v>113</v>
      </c>
      <c r="M1" s="10" t="s">
        <v>52</v>
      </c>
      <c r="N1" s="258" t="s">
        <v>114</v>
      </c>
      <c r="O1" s="258" t="s">
        <v>115</v>
      </c>
      <c r="P1" s="259" t="s">
        <v>116</v>
      </c>
      <c r="Q1" s="34" t="s">
        <v>117</v>
      </c>
      <c r="R1" s="34" t="s">
        <v>118</v>
      </c>
      <c r="S1" s="34" t="s">
        <v>119</v>
      </c>
      <c r="T1" s="34" t="s">
        <v>120</v>
      </c>
    </row>
    <row r="2" spans="1:20" ht="13">
      <c r="A2" s="23" t="s">
        <v>121</v>
      </c>
      <c r="B2" s="260" t="s">
        <v>121</v>
      </c>
      <c r="C2" s="23" t="s">
        <v>122</v>
      </c>
      <c r="D2" s="83" t="s">
        <v>123</v>
      </c>
      <c r="E2" s="22"/>
      <c r="F2" s="22" t="s">
        <v>124</v>
      </c>
      <c r="G2" s="22"/>
      <c r="H2" s="22" t="s">
        <v>125</v>
      </c>
      <c r="I2" s="261">
        <f t="shared" ref="I2:I3" si="0">N2*0.22</f>
        <v>41094.9</v>
      </c>
      <c r="J2" s="22" t="s">
        <v>125</v>
      </c>
      <c r="K2" s="261"/>
      <c r="L2" s="22">
        <v>4200</v>
      </c>
      <c r="M2" s="23">
        <v>44.475000000000001</v>
      </c>
      <c r="N2" s="261">
        <f t="shared" ref="N2:N101" si="1">L2*M2</f>
        <v>186795</v>
      </c>
      <c r="O2" s="261">
        <f t="shared" ref="O2:O34" si="2">L2*1.22</f>
        <v>5124</v>
      </c>
      <c r="P2" s="259" t="s">
        <v>125</v>
      </c>
      <c r="Q2" s="262">
        <f t="shared" ref="Q2:Q198" si="3">IF(AND(H2&lt;&gt;"S", K2-S2 &gt; 0),K2, 0)</f>
        <v>0</v>
      </c>
      <c r="R2" s="262">
        <f t="shared" ref="R2:R23" si="4">IF(AND(H2&lt;&gt;"S", L2 &gt; 0),O2-T2, 0)</f>
        <v>0</v>
      </c>
      <c r="T2" s="22">
        <v>4200</v>
      </c>
    </row>
    <row r="3" spans="1:20" ht="13">
      <c r="A3" s="23" t="s">
        <v>126</v>
      </c>
      <c r="B3" s="260" t="s">
        <v>126</v>
      </c>
      <c r="C3" s="23" t="s">
        <v>122</v>
      </c>
      <c r="D3" s="83" t="s">
        <v>123</v>
      </c>
      <c r="E3" s="22"/>
      <c r="F3" s="22"/>
      <c r="G3" s="22"/>
      <c r="H3" s="22" t="s">
        <v>125</v>
      </c>
      <c r="I3" s="261">
        <f t="shared" si="0"/>
        <v>151004.18850000002</v>
      </c>
      <c r="J3" s="22" t="s">
        <v>125</v>
      </c>
      <c r="K3" s="261"/>
      <c r="L3" s="22">
        <v>15433</v>
      </c>
      <c r="M3" s="23">
        <v>44.475000000000001</v>
      </c>
      <c r="N3" s="261">
        <f t="shared" si="1"/>
        <v>686382.67500000005</v>
      </c>
      <c r="O3" s="261">
        <f t="shared" si="2"/>
        <v>18828.259999999998</v>
      </c>
      <c r="P3" s="259" t="s">
        <v>125</v>
      </c>
      <c r="Q3" s="262">
        <f t="shared" si="3"/>
        <v>0</v>
      </c>
      <c r="R3" s="262">
        <f t="shared" si="4"/>
        <v>0</v>
      </c>
      <c r="T3" s="22">
        <v>15433</v>
      </c>
    </row>
    <row r="4" spans="1:20" ht="13">
      <c r="A4" s="23" t="s">
        <v>127</v>
      </c>
      <c r="B4" s="260" t="s">
        <v>127</v>
      </c>
      <c r="C4" s="23" t="s">
        <v>128</v>
      </c>
      <c r="D4" s="83" t="s">
        <v>129</v>
      </c>
      <c r="E4" s="22"/>
      <c r="F4" s="22"/>
      <c r="G4" s="22">
        <v>154980</v>
      </c>
      <c r="H4" s="22" t="s">
        <v>125</v>
      </c>
      <c r="I4" s="261">
        <f>G4*0.22</f>
        <v>34095.599999999999</v>
      </c>
      <c r="J4" s="22" t="s">
        <v>125</v>
      </c>
      <c r="K4" s="261">
        <f>G4*1.22</f>
        <v>189075.6</v>
      </c>
      <c r="L4" s="22"/>
      <c r="M4" s="23">
        <v>44.164999999999999</v>
      </c>
      <c r="N4" s="261">
        <f t="shared" si="1"/>
        <v>0</v>
      </c>
      <c r="O4" s="261">
        <f t="shared" si="2"/>
        <v>0</v>
      </c>
      <c r="P4" s="259" t="s">
        <v>125</v>
      </c>
      <c r="Q4" s="262">
        <f t="shared" si="3"/>
        <v>0</v>
      </c>
      <c r="R4" s="262">
        <f t="shared" si="4"/>
        <v>0</v>
      </c>
      <c r="T4" s="22"/>
    </row>
    <row r="5" spans="1:20" ht="13">
      <c r="A5" s="23" t="s">
        <v>130</v>
      </c>
      <c r="B5" s="260" t="s">
        <v>130</v>
      </c>
      <c r="C5" s="23" t="s">
        <v>122</v>
      </c>
      <c r="D5" s="83" t="s">
        <v>129</v>
      </c>
      <c r="E5" s="22"/>
      <c r="F5" s="22"/>
      <c r="G5" s="22"/>
      <c r="H5" s="22" t="s">
        <v>125</v>
      </c>
      <c r="I5" s="261">
        <f t="shared" ref="I5:I9" si="5">N5*0.22</f>
        <v>31577.974999999999</v>
      </c>
      <c r="J5" s="22" t="s">
        <v>125</v>
      </c>
      <c r="K5" s="261"/>
      <c r="L5" s="22">
        <v>3250</v>
      </c>
      <c r="M5" s="23">
        <v>44.164999999999999</v>
      </c>
      <c r="N5" s="261">
        <f t="shared" si="1"/>
        <v>143536.25</v>
      </c>
      <c r="O5" s="261">
        <f t="shared" si="2"/>
        <v>3965</v>
      </c>
      <c r="P5" s="259" t="s">
        <v>125</v>
      </c>
      <c r="Q5" s="262">
        <f t="shared" si="3"/>
        <v>0</v>
      </c>
      <c r="R5" s="262">
        <f t="shared" si="4"/>
        <v>0</v>
      </c>
      <c r="T5" s="22">
        <v>3250</v>
      </c>
    </row>
    <row r="6" spans="1:20" ht="13">
      <c r="A6" s="23" t="s">
        <v>131</v>
      </c>
      <c r="B6" s="260" t="s">
        <v>131</v>
      </c>
      <c r="C6" s="23" t="s">
        <v>122</v>
      </c>
      <c r="D6" s="83" t="s">
        <v>129</v>
      </c>
      <c r="E6" s="22"/>
      <c r="F6" s="22"/>
      <c r="G6" s="22"/>
      <c r="H6" s="22" t="s">
        <v>125</v>
      </c>
      <c r="I6" s="261">
        <f t="shared" si="5"/>
        <v>103245.4038</v>
      </c>
      <c r="J6" s="22" t="s">
        <v>125</v>
      </c>
      <c r="K6" s="261"/>
      <c r="L6" s="22">
        <v>10626</v>
      </c>
      <c r="M6" s="23">
        <v>44.164999999999999</v>
      </c>
      <c r="N6" s="261">
        <f t="shared" si="1"/>
        <v>469297.29</v>
      </c>
      <c r="O6" s="261">
        <f t="shared" si="2"/>
        <v>12963.72</v>
      </c>
      <c r="P6" s="259" t="s">
        <v>125</v>
      </c>
      <c r="Q6" s="262">
        <f t="shared" si="3"/>
        <v>0</v>
      </c>
      <c r="R6" s="262">
        <f t="shared" si="4"/>
        <v>0</v>
      </c>
      <c r="T6" s="22">
        <v>10626</v>
      </c>
    </row>
    <row r="7" spans="1:20" ht="13">
      <c r="A7" s="23" t="s">
        <v>132</v>
      </c>
      <c r="B7" s="260" t="s">
        <v>132</v>
      </c>
      <c r="C7" s="23" t="s">
        <v>133</v>
      </c>
      <c r="D7" s="83" t="s">
        <v>134</v>
      </c>
      <c r="E7" s="22"/>
      <c r="F7" s="22"/>
      <c r="G7" s="22"/>
      <c r="H7" s="22"/>
      <c r="I7" s="261">
        <f t="shared" si="5"/>
        <v>183366.01799999998</v>
      </c>
      <c r="J7" s="22" t="s">
        <v>125</v>
      </c>
      <c r="K7" s="261"/>
      <c r="L7" s="22">
        <v>19350</v>
      </c>
      <c r="M7" s="23">
        <v>43.073999999999998</v>
      </c>
      <c r="N7" s="261">
        <f t="shared" si="1"/>
        <v>833481.89999999991</v>
      </c>
      <c r="O7" s="261">
        <f t="shared" si="2"/>
        <v>23607</v>
      </c>
      <c r="P7" s="259" t="s">
        <v>125</v>
      </c>
      <c r="Q7" s="262">
        <f t="shared" si="3"/>
        <v>0</v>
      </c>
      <c r="R7" s="261">
        <f t="shared" si="4"/>
        <v>23607</v>
      </c>
      <c r="T7" s="22"/>
    </row>
    <row r="8" spans="1:20" ht="13">
      <c r="A8" s="263" t="s">
        <v>121</v>
      </c>
      <c r="B8" s="263" t="s">
        <v>121</v>
      </c>
      <c r="C8" s="263" t="s">
        <v>133</v>
      </c>
      <c r="D8" s="264" t="s">
        <v>134</v>
      </c>
      <c r="E8" s="265"/>
      <c r="F8" s="265"/>
      <c r="G8" s="265"/>
      <c r="H8" s="265"/>
      <c r="I8" s="265">
        <f t="shared" si="5"/>
        <v>-183366.01799999998</v>
      </c>
      <c r="J8" s="265"/>
      <c r="K8" s="265"/>
      <c r="L8" s="265">
        <v>-19350</v>
      </c>
      <c r="M8" s="263">
        <v>43.073999999999998</v>
      </c>
      <c r="N8" s="265">
        <f t="shared" si="1"/>
        <v>-833481.89999999991</v>
      </c>
      <c r="O8" s="265">
        <f t="shared" si="2"/>
        <v>-23607</v>
      </c>
      <c r="P8" s="266" t="s">
        <v>125</v>
      </c>
      <c r="Q8" s="263">
        <f t="shared" si="3"/>
        <v>0</v>
      </c>
      <c r="R8" s="263">
        <f t="shared" si="4"/>
        <v>0</v>
      </c>
      <c r="T8" s="22"/>
    </row>
    <row r="9" spans="1:20" ht="13">
      <c r="A9" s="23" t="s">
        <v>135</v>
      </c>
      <c r="B9" s="260" t="s">
        <v>135</v>
      </c>
      <c r="C9" s="23" t="s">
        <v>133</v>
      </c>
      <c r="D9" s="83" t="s">
        <v>134</v>
      </c>
      <c r="E9" s="22"/>
      <c r="F9" s="22"/>
      <c r="G9" s="22"/>
      <c r="H9" s="22" t="s">
        <v>125</v>
      </c>
      <c r="I9" s="261">
        <f t="shared" si="5"/>
        <v>132194.106</v>
      </c>
      <c r="J9" s="22" t="s">
        <v>125</v>
      </c>
      <c r="K9" s="261"/>
      <c r="L9" s="22">
        <v>13950</v>
      </c>
      <c r="M9" s="23">
        <v>43.073999999999998</v>
      </c>
      <c r="N9" s="261">
        <f t="shared" si="1"/>
        <v>600882.29999999993</v>
      </c>
      <c r="O9" s="261">
        <f t="shared" si="2"/>
        <v>17019</v>
      </c>
      <c r="P9" s="259" t="s">
        <v>125</v>
      </c>
      <c r="Q9" s="262">
        <f t="shared" si="3"/>
        <v>0</v>
      </c>
      <c r="R9" s="262">
        <f t="shared" si="4"/>
        <v>0</v>
      </c>
      <c r="T9" s="22"/>
    </row>
    <row r="10" spans="1:20" ht="13">
      <c r="A10" s="23" t="s">
        <v>136</v>
      </c>
      <c r="B10" s="260" t="s">
        <v>136</v>
      </c>
      <c r="C10" s="23" t="s">
        <v>128</v>
      </c>
      <c r="D10" s="83" t="s">
        <v>137</v>
      </c>
      <c r="E10" s="22"/>
      <c r="F10" s="22"/>
      <c r="G10" s="22">
        <v>151018.20000000001</v>
      </c>
      <c r="H10" s="22" t="s">
        <v>125</v>
      </c>
      <c r="I10" s="261">
        <f>G10*0.22</f>
        <v>33224.004000000001</v>
      </c>
      <c r="J10" s="22" t="s">
        <v>125</v>
      </c>
      <c r="K10" s="261">
        <f>G10*1.22</f>
        <v>184242.204</v>
      </c>
      <c r="L10" s="22"/>
      <c r="M10" s="23">
        <v>43.024999999999999</v>
      </c>
      <c r="N10" s="261">
        <f t="shared" si="1"/>
        <v>0</v>
      </c>
      <c r="O10" s="261">
        <f t="shared" si="2"/>
        <v>0</v>
      </c>
      <c r="P10" s="259" t="s">
        <v>125</v>
      </c>
      <c r="Q10" s="262">
        <f t="shared" si="3"/>
        <v>0</v>
      </c>
      <c r="R10" s="262">
        <f t="shared" si="4"/>
        <v>0</v>
      </c>
      <c r="T10" s="22"/>
    </row>
    <row r="11" spans="1:20" ht="13">
      <c r="A11" s="23" t="s">
        <v>138</v>
      </c>
      <c r="B11" s="260" t="s">
        <v>138</v>
      </c>
      <c r="C11" s="23" t="s">
        <v>122</v>
      </c>
      <c r="D11" s="83" t="s">
        <v>137</v>
      </c>
      <c r="E11" s="22"/>
      <c r="F11" s="22"/>
      <c r="G11" s="22"/>
      <c r="H11" s="22" t="s">
        <v>125</v>
      </c>
      <c r="I11" s="261">
        <f t="shared" ref="I11:I14" si="6">N11*0.22</f>
        <v>35968.9</v>
      </c>
      <c r="J11" s="22" t="s">
        <v>125</v>
      </c>
      <c r="K11" s="261"/>
      <c r="L11" s="22">
        <v>3800</v>
      </c>
      <c r="M11" s="23">
        <v>43.024999999999999</v>
      </c>
      <c r="N11" s="261">
        <f t="shared" si="1"/>
        <v>163495</v>
      </c>
      <c r="O11" s="261">
        <f t="shared" si="2"/>
        <v>4636</v>
      </c>
      <c r="P11" s="259" t="s">
        <v>125</v>
      </c>
      <c r="Q11" s="262">
        <f t="shared" si="3"/>
        <v>0</v>
      </c>
      <c r="R11" s="262">
        <f t="shared" si="4"/>
        <v>0</v>
      </c>
      <c r="T11" s="22">
        <v>3800</v>
      </c>
    </row>
    <row r="12" spans="1:20" ht="13">
      <c r="A12" s="23" t="s">
        <v>139</v>
      </c>
      <c r="B12" s="260" t="s">
        <v>139</v>
      </c>
      <c r="C12" s="23" t="s">
        <v>122</v>
      </c>
      <c r="D12" s="83" t="s">
        <v>137</v>
      </c>
      <c r="E12" s="22"/>
      <c r="F12" s="22"/>
      <c r="G12" s="22"/>
      <c r="H12" s="22" t="s">
        <v>125</v>
      </c>
      <c r="I12" s="261">
        <f t="shared" si="6"/>
        <v>121044.81399999998</v>
      </c>
      <c r="J12" s="22" t="s">
        <v>125</v>
      </c>
      <c r="K12" s="261"/>
      <c r="L12" s="22">
        <v>12788</v>
      </c>
      <c r="M12" s="23">
        <v>43.024999999999999</v>
      </c>
      <c r="N12" s="261">
        <f t="shared" si="1"/>
        <v>550203.69999999995</v>
      </c>
      <c r="O12" s="261">
        <f t="shared" si="2"/>
        <v>15601.359999999999</v>
      </c>
      <c r="P12" s="259" t="s">
        <v>125</v>
      </c>
      <c r="Q12" s="262">
        <f t="shared" si="3"/>
        <v>0</v>
      </c>
      <c r="R12" s="262">
        <f t="shared" si="4"/>
        <v>0</v>
      </c>
      <c r="T12" s="22">
        <f>7788+5000</f>
        <v>12788</v>
      </c>
    </row>
    <row r="13" spans="1:20" ht="13">
      <c r="A13" s="23" t="s">
        <v>140</v>
      </c>
      <c r="B13" s="260" t="s">
        <v>140</v>
      </c>
      <c r="C13" s="23" t="s">
        <v>122</v>
      </c>
      <c r="D13" s="83" t="s">
        <v>141</v>
      </c>
      <c r="E13" s="22"/>
      <c r="F13" s="22" t="s">
        <v>142</v>
      </c>
      <c r="G13" s="22"/>
      <c r="H13" s="22" t="s">
        <v>125</v>
      </c>
      <c r="I13" s="261">
        <f t="shared" si="6"/>
        <v>39207.332999999999</v>
      </c>
      <c r="J13" s="22" t="s">
        <v>125</v>
      </c>
      <c r="K13" s="261"/>
      <c r="L13" s="22">
        <v>4350</v>
      </c>
      <c r="M13" s="23">
        <v>40.969000000000001</v>
      </c>
      <c r="N13" s="261">
        <f t="shared" si="1"/>
        <v>178215.15</v>
      </c>
      <c r="O13" s="261">
        <f t="shared" si="2"/>
        <v>5307</v>
      </c>
      <c r="P13" s="259" t="s">
        <v>125</v>
      </c>
      <c r="Q13" s="262">
        <f t="shared" si="3"/>
        <v>0</v>
      </c>
      <c r="R13" s="262">
        <f t="shared" si="4"/>
        <v>0</v>
      </c>
      <c r="T13" s="22">
        <v>4350</v>
      </c>
    </row>
    <row r="14" spans="1:20" ht="13">
      <c r="A14" s="23" t="s">
        <v>143</v>
      </c>
      <c r="B14" s="260" t="s">
        <v>143</v>
      </c>
      <c r="C14" s="23" t="s">
        <v>122</v>
      </c>
      <c r="D14" s="83" t="s">
        <v>141</v>
      </c>
      <c r="E14" s="22"/>
      <c r="F14" s="22" t="s">
        <v>144</v>
      </c>
      <c r="G14" s="22"/>
      <c r="H14" s="22" t="s">
        <v>125</v>
      </c>
      <c r="I14" s="261">
        <f t="shared" si="6"/>
        <v>147392.53254000001</v>
      </c>
      <c r="J14" s="22" t="s">
        <v>125</v>
      </c>
      <c r="K14" s="261"/>
      <c r="L14" s="22">
        <v>16353</v>
      </c>
      <c r="M14" s="23">
        <v>40.969000000000001</v>
      </c>
      <c r="N14" s="261">
        <f t="shared" si="1"/>
        <v>669966.05700000003</v>
      </c>
      <c r="O14" s="261">
        <f t="shared" si="2"/>
        <v>19950.66</v>
      </c>
      <c r="P14" s="259" t="s">
        <v>125</v>
      </c>
      <c r="Q14" s="262">
        <f t="shared" si="3"/>
        <v>0</v>
      </c>
      <c r="R14" s="262">
        <f t="shared" si="4"/>
        <v>0</v>
      </c>
      <c r="T14" s="22">
        <v>16353</v>
      </c>
    </row>
    <row r="15" spans="1:20" ht="13">
      <c r="A15" s="23" t="s">
        <v>145</v>
      </c>
      <c r="B15" s="260" t="s">
        <v>145</v>
      </c>
      <c r="C15" s="23" t="s">
        <v>128</v>
      </c>
      <c r="D15" s="83" t="s">
        <v>146</v>
      </c>
      <c r="E15" s="22"/>
      <c r="F15" s="22" t="s">
        <v>147</v>
      </c>
      <c r="G15" s="22">
        <v>140571.9</v>
      </c>
      <c r="H15" s="22" t="s">
        <v>125</v>
      </c>
      <c r="I15" s="261">
        <f>G15*0.22</f>
        <v>30925.817999999999</v>
      </c>
      <c r="J15" s="22" t="s">
        <v>125</v>
      </c>
      <c r="K15" s="261">
        <f>G15*1.22</f>
        <v>171497.71799999999</v>
      </c>
      <c r="L15" s="22"/>
      <c r="M15" s="23">
        <v>40.048999999999999</v>
      </c>
      <c r="N15" s="261">
        <f t="shared" si="1"/>
        <v>0</v>
      </c>
      <c r="O15" s="261">
        <f t="shared" si="2"/>
        <v>0</v>
      </c>
      <c r="P15" s="259" t="s">
        <v>125</v>
      </c>
      <c r="Q15" s="262">
        <f t="shared" si="3"/>
        <v>0</v>
      </c>
      <c r="R15" s="262">
        <f t="shared" si="4"/>
        <v>0</v>
      </c>
      <c r="T15" s="22"/>
    </row>
    <row r="16" spans="1:20" ht="13">
      <c r="A16" s="23" t="s">
        <v>148</v>
      </c>
      <c r="B16" s="260" t="s">
        <v>148</v>
      </c>
      <c r="C16" s="23" t="s">
        <v>122</v>
      </c>
      <c r="D16" s="83" t="s">
        <v>149</v>
      </c>
      <c r="F16" s="22" t="s">
        <v>142</v>
      </c>
      <c r="G16" s="22"/>
      <c r="H16" s="22" t="s">
        <v>125</v>
      </c>
      <c r="I16" s="261">
        <f t="shared" ref="I16:I17" si="7">N16*0.22</f>
        <v>28742.207999999999</v>
      </c>
      <c r="J16" s="22" t="s">
        <v>125</v>
      </c>
      <c r="K16" s="261"/>
      <c r="L16" s="22">
        <v>3200</v>
      </c>
      <c r="M16" s="23">
        <v>40.826999999999998</v>
      </c>
      <c r="N16" s="261">
        <f t="shared" si="1"/>
        <v>130646.39999999999</v>
      </c>
      <c r="O16" s="261">
        <f t="shared" si="2"/>
        <v>3904</v>
      </c>
      <c r="P16" s="259" t="s">
        <v>125</v>
      </c>
      <c r="Q16" s="262">
        <f t="shared" si="3"/>
        <v>0</v>
      </c>
      <c r="R16" s="262">
        <f t="shared" si="4"/>
        <v>0</v>
      </c>
      <c r="T16" s="22">
        <v>3200</v>
      </c>
    </row>
    <row r="17" spans="1:20" ht="13">
      <c r="A17" s="23" t="s">
        <v>150</v>
      </c>
      <c r="B17" s="260" t="s">
        <v>150</v>
      </c>
      <c r="C17" s="23" t="s">
        <v>122</v>
      </c>
      <c r="D17" s="83" t="s">
        <v>149</v>
      </c>
      <c r="E17" s="22"/>
      <c r="F17" s="22" t="s">
        <v>151</v>
      </c>
      <c r="G17" s="22"/>
      <c r="H17" s="22" t="s">
        <v>125</v>
      </c>
      <c r="I17" s="261">
        <f t="shared" si="7"/>
        <v>59496.370560000003</v>
      </c>
      <c r="J17" s="22" t="s">
        <v>125</v>
      </c>
      <c r="K17" s="261"/>
      <c r="L17" s="22">
        <v>6624</v>
      </c>
      <c r="M17" s="23">
        <v>40.826999999999998</v>
      </c>
      <c r="N17" s="261">
        <f t="shared" si="1"/>
        <v>270438.04800000001</v>
      </c>
      <c r="O17" s="261">
        <f t="shared" si="2"/>
        <v>8081.28</v>
      </c>
      <c r="P17" s="259" t="s">
        <v>125</v>
      </c>
      <c r="Q17" s="262">
        <f t="shared" si="3"/>
        <v>0</v>
      </c>
      <c r="R17" s="262">
        <f t="shared" si="4"/>
        <v>0</v>
      </c>
      <c r="T17" s="22">
        <v>6624</v>
      </c>
    </row>
    <row r="18" spans="1:20" ht="15" customHeight="1">
      <c r="A18" s="23" t="s">
        <v>152</v>
      </c>
      <c r="B18" s="260" t="s">
        <v>152</v>
      </c>
      <c r="C18" s="23" t="s">
        <v>128</v>
      </c>
      <c r="D18" s="83" t="s">
        <v>153</v>
      </c>
      <c r="E18" s="22"/>
      <c r="F18" s="22"/>
      <c r="G18" s="22">
        <v>140091.29999999999</v>
      </c>
      <c r="H18" s="22" t="s">
        <v>125</v>
      </c>
      <c r="I18" s="261">
        <f>G18*0.22</f>
        <v>30820.085999999999</v>
      </c>
      <c r="J18" s="22" t="s">
        <v>125</v>
      </c>
      <c r="K18" s="261">
        <f>G18*1.22</f>
        <v>170911.38599999997</v>
      </c>
      <c r="L18" s="22"/>
      <c r="M18" s="23">
        <v>39.911999999999999</v>
      </c>
      <c r="N18" s="261">
        <f t="shared" si="1"/>
        <v>0</v>
      </c>
      <c r="O18" s="261">
        <f t="shared" si="2"/>
        <v>0</v>
      </c>
      <c r="P18" s="259" t="s">
        <v>125</v>
      </c>
      <c r="Q18" s="262">
        <f t="shared" si="3"/>
        <v>0</v>
      </c>
      <c r="R18" s="262">
        <f t="shared" si="4"/>
        <v>0</v>
      </c>
      <c r="T18" s="22"/>
    </row>
    <row r="19" spans="1:20" ht="15" customHeight="1">
      <c r="A19" s="23" t="s">
        <v>154</v>
      </c>
      <c r="B19" s="260" t="s">
        <v>154</v>
      </c>
      <c r="C19" s="23" t="s">
        <v>122</v>
      </c>
      <c r="D19" s="83" t="s">
        <v>155</v>
      </c>
      <c r="E19" s="22"/>
      <c r="F19" s="22" t="s">
        <v>142</v>
      </c>
      <c r="G19" s="22"/>
      <c r="H19" s="22" t="s">
        <v>125</v>
      </c>
      <c r="I19" s="261">
        <f t="shared" ref="I19:I25" si="8">N19*0.22</f>
        <v>38807.876250000001</v>
      </c>
      <c r="J19" s="22" t="s">
        <v>125</v>
      </c>
      <c r="K19" s="261"/>
      <c r="L19" s="22">
        <v>4387.5</v>
      </c>
      <c r="M19" s="23">
        <v>40.204999999999998</v>
      </c>
      <c r="N19" s="261">
        <f t="shared" si="1"/>
        <v>176399.4375</v>
      </c>
      <c r="O19" s="261">
        <f t="shared" si="2"/>
        <v>5352.75</v>
      </c>
      <c r="P19" s="259" t="s">
        <v>125</v>
      </c>
      <c r="Q19" s="262">
        <f t="shared" si="3"/>
        <v>0</v>
      </c>
      <c r="R19" s="262">
        <f t="shared" si="4"/>
        <v>0</v>
      </c>
      <c r="T19" s="22">
        <v>4387.5</v>
      </c>
    </row>
    <row r="20" spans="1:20" ht="15" customHeight="1">
      <c r="A20" s="23" t="s">
        <v>156</v>
      </c>
      <c r="B20" s="260" t="s">
        <v>156</v>
      </c>
      <c r="C20" s="23" t="s">
        <v>122</v>
      </c>
      <c r="D20" s="83" t="s">
        <v>155</v>
      </c>
      <c r="E20" s="22"/>
      <c r="F20" s="22" t="s">
        <v>151</v>
      </c>
      <c r="G20" s="22"/>
      <c r="H20" s="22" t="s">
        <v>125</v>
      </c>
      <c r="I20" s="261">
        <f t="shared" si="8"/>
        <v>97548.18535</v>
      </c>
      <c r="J20" s="22" t="s">
        <v>125</v>
      </c>
      <c r="K20" s="261"/>
      <c r="L20" s="22">
        <v>11028.5</v>
      </c>
      <c r="M20" s="23">
        <v>40.204999999999998</v>
      </c>
      <c r="N20" s="261">
        <f t="shared" si="1"/>
        <v>443400.84249999997</v>
      </c>
      <c r="O20" s="261">
        <f t="shared" si="2"/>
        <v>13454.77</v>
      </c>
      <c r="P20" s="259" t="s">
        <v>125</v>
      </c>
      <c r="Q20" s="262">
        <f t="shared" si="3"/>
        <v>0</v>
      </c>
      <c r="R20" s="262">
        <f t="shared" si="4"/>
        <v>0</v>
      </c>
      <c r="T20" s="22">
        <v>11028.5</v>
      </c>
    </row>
    <row r="21" spans="1:20" ht="15" customHeight="1">
      <c r="A21" s="23" t="s">
        <v>157</v>
      </c>
      <c r="B21" s="260" t="s">
        <v>157</v>
      </c>
      <c r="C21" s="23" t="s">
        <v>133</v>
      </c>
      <c r="D21" s="83" t="s">
        <v>158</v>
      </c>
      <c r="E21" s="22" t="s">
        <v>159</v>
      </c>
      <c r="F21" s="22" t="s">
        <v>160</v>
      </c>
      <c r="G21" s="22"/>
      <c r="H21" s="22" t="s">
        <v>125</v>
      </c>
      <c r="I21" s="261">
        <f t="shared" si="8"/>
        <v>250747.2</v>
      </c>
      <c r="J21" s="22" t="s">
        <v>125</v>
      </c>
      <c r="K21" s="261"/>
      <c r="L21" s="22">
        <v>28800</v>
      </c>
      <c r="M21" s="23">
        <v>39.575000000000003</v>
      </c>
      <c r="N21" s="261">
        <f t="shared" si="1"/>
        <v>1139760</v>
      </c>
      <c r="O21" s="261">
        <f t="shared" si="2"/>
        <v>35136</v>
      </c>
      <c r="P21" s="259" t="s">
        <v>125</v>
      </c>
      <c r="Q21" s="262">
        <f t="shared" si="3"/>
        <v>0</v>
      </c>
      <c r="R21" s="262">
        <f t="shared" si="4"/>
        <v>0</v>
      </c>
      <c r="T21" s="22"/>
    </row>
    <row r="22" spans="1:20" ht="15" customHeight="1">
      <c r="A22" s="23" t="s">
        <v>161</v>
      </c>
      <c r="B22" s="260" t="s">
        <v>161</v>
      </c>
      <c r="C22" s="23" t="s">
        <v>122</v>
      </c>
      <c r="D22" s="83" t="s">
        <v>162</v>
      </c>
      <c r="E22" s="22"/>
      <c r="F22" s="22" t="s">
        <v>142</v>
      </c>
      <c r="G22" s="22"/>
      <c r="H22" s="22" t="s">
        <v>125</v>
      </c>
      <c r="I22" s="261">
        <f t="shared" si="8"/>
        <v>35925.747000000003</v>
      </c>
      <c r="J22" s="22" t="s">
        <v>125</v>
      </c>
      <c r="K22" s="261"/>
      <c r="L22" s="22">
        <v>4137.5</v>
      </c>
      <c r="M22" s="23">
        <v>39.468000000000004</v>
      </c>
      <c r="N22" s="261">
        <f t="shared" si="1"/>
        <v>163298.85</v>
      </c>
      <c r="O22" s="261">
        <f t="shared" si="2"/>
        <v>5047.75</v>
      </c>
      <c r="P22" s="259" t="s">
        <v>125</v>
      </c>
      <c r="Q22" s="262">
        <f t="shared" si="3"/>
        <v>0</v>
      </c>
      <c r="R22" s="262">
        <f t="shared" si="4"/>
        <v>0</v>
      </c>
      <c r="T22" s="22">
        <v>4137.5</v>
      </c>
    </row>
    <row r="23" spans="1:20" ht="15" customHeight="1">
      <c r="A23" s="23" t="s">
        <v>163</v>
      </c>
      <c r="B23" s="260" t="s">
        <v>163</v>
      </c>
      <c r="C23" s="23" t="s">
        <v>122</v>
      </c>
      <c r="D23" s="83" t="s">
        <v>162</v>
      </c>
      <c r="E23" s="22"/>
      <c r="F23" s="22" t="s">
        <v>151</v>
      </c>
      <c r="G23" s="22"/>
      <c r="H23" s="22" t="s">
        <v>125</v>
      </c>
      <c r="I23" s="261">
        <f t="shared" si="8"/>
        <v>101851.1208</v>
      </c>
      <c r="J23" s="22" t="s">
        <v>125</v>
      </c>
      <c r="K23" s="261"/>
      <c r="L23" s="22">
        <v>11730</v>
      </c>
      <c r="M23" s="23">
        <v>39.468000000000004</v>
      </c>
      <c r="N23" s="261">
        <f t="shared" si="1"/>
        <v>462959.64</v>
      </c>
      <c r="O23" s="261">
        <f t="shared" si="2"/>
        <v>14310.6</v>
      </c>
      <c r="P23" s="259" t="s">
        <v>125</v>
      </c>
      <c r="Q23" s="262">
        <f t="shared" si="3"/>
        <v>0</v>
      </c>
      <c r="R23" s="262">
        <f t="shared" si="4"/>
        <v>0</v>
      </c>
      <c r="T23" s="22">
        <v>11730</v>
      </c>
    </row>
    <row r="24" spans="1:20" ht="15" customHeight="1">
      <c r="A24" s="23" t="s">
        <v>164</v>
      </c>
      <c r="B24" s="260" t="s">
        <v>164</v>
      </c>
      <c r="C24" s="23" t="s">
        <v>128</v>
      </c>
      <c r="D24" s="83" t="s">
        <v>165</v>
      </c>
      <c r="E24" s="22"/>
      <c r="F24" s="22"/>
      <c r="G24" s="22"/>
      <c r="H24" s="22"/>
      <c r="I24" s="261">
        <f t="shared" si="8"/>
        <v>1349284.1123520001</v>
      </c>
      <c r="J24" s="22" t="s">
        <v>125</v>
      </c>
      <c r="K24" s="261"/>
      <c r="L24" s="22">
        <v>146721.60000000001</v>
      </c>
      <c r="M24" s="23">
        <v>41.801000000000002</v>
      </c>
      <c r="N24" s="261">
        <f t="shared" si="1"/>
        <v>6133109.6016000006</v>
      </c>
      <c r="O24" s="261">
        <f t="shared" si="2"/>
        <v>179000.35200000001</v>
      </c>
      <c r="P24" s="259" t="s">
        <v>125</v>
      </c>
      <c r="Q24" s="262">
        <f t="shared" si="3"/>
        <v>0</v>
      </c>
      <c r="R24" s="262"/>
      <c r="T24" s="22"/>
    </row>
    <row r="25" spans="1:20" ht="15" customHeight="1">
      <c r="A25" s="263" t="s">
        <v>126</v>
      </c>
      <c r="B25" s="263" t="s">
        <v>126</v>
      </c>
      <c r="C25" s="263" t="s">
        <v>128</v>
      </c>
      <c r="D25" s="264" t="s">
        <v>165</v>
      </c>
      <c r="E25" s="265"/>
      <c r="F25" s="265"/>
      <c r="G25" s="265"/>
      <c r="H25" s="265"/>
      <c r="I25" s="265">
        <f t="shared" si="8"/>
        <v>-1349284.1123520001</v>
      </c>
      <c r="J25" s="265"/>
      <c r="K25" s="265"/>
      <c r="L25" s="265">
        <v>-146721.60000000001</v>
      </c>
      <c r="M25" s="263">
        <v>41.801000000000002</v>
      </c>
      <c r="N25" s="265">
        <f t="shared" si="1"/>
        <v>-6133109.6016000006</v>
      </c>
      <c r="O25" s="265">
        <f t="shared" si="2"/>
        <v>-179000.35200000001</v>
      </c>
      <c r="P25" s="266" t="s">
        <v>125</v>
      </c>
      <c r="Q25" s="263">
        <f t="shared" si="3"/>
        <v>0</v>
      </c>
      <c r="R25" s="263">
        <f t="shared" ref="R25:R86" si="9">IF(AND(H25&lt;&gt;"S", L25 &gt; 0),O25-T25, 0)</f>
        <v>0</v>
      </c>
      <c r="T25" s="22"/>
    </row>
    <row r="26" spans="1:20" ht="15" customHeight="1">
      <c r="A26" s="23" t="s">
        <v>166</v>
      </c>
      <c r="B26" s="260" t="s">
        <v>166</v>
      </c>
      <c r="C26" s="23" t="s">
        <v>128</v>
      </c>
      <c r="D26" s="83" t="s">
        <v>165</v>
      </c>
      <c r="E26" s="22"/>
      <c r="F26" s="22"/>
      <c r="G26" s="22">
        <v>146721.60000000001</v>
      </c>
      <c r="H26" s="22" t="s">
        <v>125</v>
      </c>
      <c r="I26" s="261">
        <f>G26*0.22</f>
        <v>32278.752</v>
      </c>
      <c r="J26" s="22" t="s">
        <v>125</v>
      </c>
      <c r="K26" s="261">
        <f>G26*1.22</f>
        <v>179000.35200000001</v>
      </c>
      <c r="L26" s="22"/>
      <c r="M26" s="23">
        <v>41.801000000000002</v>
      </c>
      <c r="N26" s="261">
        <f t="shared" si="1"/>
        <v>0</v>
      </c>
      <c r="O26" s="261">
        <f t="shared" si="2"/>
        <v>0</v>
      </c>
      <c r="P26" s="259" t="s">
        <v>125</v>
      </c>
      <c r="Q26" s="262">
        <f t="shared" si="3"/>
        <v>0</v>
      </c>
      <c r="R26" s="262">
        <f t="shared" si="9"/>
        <v>0</v>
      </c>
      <c r="T26" s="22"/>
    </row>
    <row r="27" spans="1:20" ht="15" customHeight="1">
      <c r="A27" s="23" t="s">
        <v>167</v>
      </c>
      <c r="B27" s="260" t="s">
        <v>167</v>
      </c>
      <c r="C27" s="23" t="s">
        <v>122</v>
      </c>
      <c r="D27" s="83" t="s">
        <v>168</v>
      </c>
      <c r="E27" s="22"/>
      <c r="F27" s="22" t="s">
        <v>169</v>
      </c>
      <c r="G27" s="22"/>
      <c r="H27" s="22" t="s">
        <v>125</v>
      </c>
      <c r="I27" s="261">
        <f t="shared" ref="I27:I28" si="10">N27*0.22</f>
        <v>83000.19200000001</v>
      </c>
      <c r="J27" s="22" t="s">
        <v>125</v>
      </c>
      <c r="K27" s="261"/>
      <c r="L27" s="22">
        <v>9200</v>
      </c>
      <c r="M27" s="23">
        <v>41.008000000000003</v>
      </c>
      <c r="N27" s="261">
        <f t="shared" si="1"/>
        <v>377273.60000000003</v>
      </c>
      <c r="O27" s="261">
        <f t="shared" si="2"/>
        <v>11224</v>
      </c>
      <c r="P27" s="259" t="s">
        <v>125</v>
      </c>
      <c r="Q27" s="262">
        <f t="shared" si="3"/>
        <v>0</v>
      </c>
      <c r="R27" s="262">
        <f t="shared" si="9"/>
        <v>0</v>
      </c>
      <c r="T27" s="22">
        <v>9200</v>
      </c>
    </row>
    <row r="28" spans="1:20" ht="15" customHeight="1">
      <c r="A28" s="23" t="s">
        <v>170</v>
      </c>
      <c r="B28" s="260" t="s">
        <v>170</v>
      </c>
      <c r="C28" s="23" t="s">
        <v>122</v>
      </c>
      <c r="D28" s="83" t="s">
        <v>168</v>
      </c>
      <c r="E28" s="22"/>
      <c r="F28" s="22" t="s">
        <v>142</v>
      </c>
      <c r="G28" s="22"/>
      <c r="H28" s="22" t="s">
        <v>125</v>
      </c>
      <c r="I28" s="261">
        <f t="shared" si="10"/>
        <v>33718.828000000009</v>
      </c>
      <c r="J28" s="22" t="s">
        <v>125</v>
      </c>
      <c r="K28" s="261"/>
      <c r="L28" s="22">
        <v>3737.5</v>
      </c>
      <c r="M28" s="23">
        <v>41.008000000000003</v>
      </c>
      <c r="N28" s="261">
        <f t="shared" si="1"/>
        <v>153267.40000000002</v>
      </c>
      <c r="O28" s="261">
        <f t="shared" si="2"/>
        <v>4559.75</v>
      </c>
      <c r="P28" s="259" t="s">
        <v>125</v>
      </c>
      <c r="Q28" s="262">
        <f t="shared" si="3"/>
        <v>0</v>
      </c>
      <c r="R28" s="262">
        <f t="shared" si="9"/>
        <v>0</v>
      </c>
      <c r="T28" s="22">
        <v>3737.5</v>
      </c>
    </row>
    <row r="29" spans="1:20" ht="15" customHeight="1">
      <c r="A29" s="23" t="s">
        <v>171</v>
      </c>
      <c r="B29" s="260" t="s">
        <v>171</v>
      </c>
      <c r="C29" s="23" t="s">
        <v>128</v>
      </c>
      <c r="D29" s="83" t="s">
        <v>172</v>
      </c>
      <c r="E29" s="22"/>
      <c r="F29" s="22"/>
      <c r="G29" s="22">
        <v>143120.70000000001</v>
      </c>
      <c r="H29" s="22" t="s">
        <v>125</v>
      </c>
      <c r="I29" s="261">
        <f>G29*0.22</f>
        <v>31486.554000000004</v>
      </c>
      <c r="J29" s="22" t="s">
        <v>125</v>
      </c>
      <c r="K29" s="261">
        <f>G29*1.22</f>
        <v>174607.25400000002</v>
      </c>
      <c r="L29" s="22"/>
      <c r="M29" s="23">
        <v>40.755000000000003</v>
      </c>
      <c r="N29" s="261">
        <f t="shared" si="1"/>
        <v>0</v>
      </c>
      <c r="O29" s="261">
        <f t="shared" si="2"/>
        <v>0</v>
      </c>
      <c r="P29" s="259" t="s">
        <v>125</v>
      </c>
      <c r="Q29" s="262">
        <f t="shared" si="3"/>
        <v>0</v>
      </c>
      <c r="R29" s="262">
        <f t="shared" si="9"/>
        <v>0</v>
      </c>
      <c r="T29" s="22"/>
    </row>
    <row r="30" spans="1:20" ht="15" customHeight="1">
      <c r="A30" s="23" t="s">
        <v>173</v>
      </c>
      <c r="B30" s="260" t="s">
        <v>173</v>
      </c>
      <c r="C30" s="23" t="s">
        <v>122</v>
      </c>
      <c r="D30" s="83" t="s">
        <v>172</v>
      </c>
      <c r="E30" s="22"/>
      <c r="F30" s="22" t="s">
        <v>142</v>
      </c>
      <c r="G30" s="22"/>
      <c r="H30" s="22" t="s">
        <v>125</v>
      </c>
      <c r="I30" s="261">
        <f t="shared" ref="I30:I34" si="11">N30*0.22</f>
        <v>37397.6031</v>
      </c>
      <c r="J30" s="22" t="s">
        <v>125</v>
      </c>
      <c r="K30" s="261"/>
      <c r="L30" s="22">
        <v>4171</v>
      </c>
      <c r="M30" s="23">
        <v>40.755000000000003</v>
      </c>
      <c r="N30" s="261">
        <f t="shared" si="1"/>
        <v>169989.10500000001</v>
      </c>
      <c r="O30" s="261">
        <f t="shared" si="2"/>
        <v>5088.62</v>
      </c>
      <c r="P30" s="259" t="s">
        <v>125</v>
      </c>
      <c r="Q30" s="262">
        <f t="shared" si="3"/>
        <v>0</v>
      </c>
      <c r="R30" s="262">
        <f t="shared" si="9"/>
        <v>0</v>
      </c>
      <c r="T30" s="22">
        <v>4171</v>
      </c>
    </row>
    <row r="31" spans="1:20" ht="15" customHeight="1">
      <c r="A31" s="23" t="s">
        <v>174</v>
      </c>
      <c r="B31" s="260" t="s">
        <v>174</v>
      </c>
      <c r="C31" s="23" t="s">
        <v>122</v>
      </c>
      <c r="D31" s="83" t="s">
        <v>172</v>
      </c>
      <c r="E31" s="22"/>
      <c r="F31" s="22" t="s">
        <v>169</v>
      </c>
      <c r="G31" s="22"/>
      <c r="H31" s="22" t="s">
        <v>125</v>
      </c>
      <c r="I31" s="261">
        <f t="shared" si="11"/>
        <v>100565.39149800001</v>
      </c>
      <c r="J31" s="22" t="s">
        <v>125</v>
      </c>
      <c r="K31" s="261"/>
      <c r="L31" s="22">
        <v>11216.18</v>
      </c>
      <c r="M31" s="23">
        <v>40.755000000000003</v>
      </c>
      <c r="N31" s="261">
        <f t="shared" si="1"/>
        <v>457115.41590000002</v>
      </c>
      <c r="O31" s="261">
        <f t="shared" si="2"/>
        <v>13683.739600000001</v>
      </c>
      <c r="P31" s="259" t="s">
        <v>125</v>
      </c>
      <c r="Q31" s="262">
        <f t="shared" si="3"/>
        <v>0</v>
      </c>
      <c r="R31" s="262">
        <f t="shared" si="9"/>
        <v>0</v>
      </c>
      <c r="T31" s="22">
        <v>11216.18</v>
      </c>
    </row>
    <row r="32" spans="1:20" ht="15" customHeight="1">
      <c r="A32" s="23" t="s">
        <v>175</v>
      </c>
      <c r="B32" s="260" t="s">
        <v>175</v>
      </c>
      <c r="C32" s="23" t="s">
        <v>133</v>
      </c>
      <c r="D32" s="83" t="s">
        <v>176</v>
      </c>
      <c r="E32" s="22" t="s">
        <v>159</v>
      </c>
      <c r="F32" s="22" t="s">
        <v>177</v>
      </c>
      <c r="G32" s="22"/>
      <c r="H32" s="22" t="s">
        <v>125</v>
      </c>
      <c r="I32" s="261">
        <f t="shared" si="11"/>
        <v>43919.040000000008</v>
      </c>
      <c r="J32" s="22" t="s">
        <v>125</v>
      </c>
      <c r="K32" s="261"/>
      <c r="L32" s="22">
        <v>4800</v>
      </c>
      <c r="M32" s="23">
        <v>41.59</v>
      </c>
      <c r="N32" s="261">
        <f t="shared" si="1"/>
        <v>199632.00000000003</v>
      </c>
      <c r="O32" s="261">
        <f t="shared" si="2"/>
        <v>5856</v>
      </c>
      <c r="P32" s="259" t="s">
        <v>125</v>
      </c>
      <c r="Q32" s="262">
        <f t="shared" si="3"/>
        <v>0</v>
      </c>
      <c r="R32" s="262">
        <f t="shared" si="9"/>
        <v>0</v>
      </c>
      <c r="T32" s="22"/>
    </row>
    <row r="33" spans="1:20" ht="15" customHeight="1">
      <c r="A33" s="23" t="s">
        <v>178</v>
      </c>
      <c r="B33" s="260" t="s">
        <v>178</v>
      </c>
      <c r="C33" s="23" t="s">
        <v>122</v>
      </c>
      <c r="D33" s="83" t="s">
        <v>176</v>
      </c>
      <c r="E33" s="22"/>
      <c r="F33" s="22" t="s">
        <v>142</v>
      </c>
      <c r="G33" s="22"/>
      <c r="H33" s="22" t="s">
        <v>125</v>
      </c>
      <c r="I33" s="261">
        <f t="shared" si="11"/>
        <v>35912.965000000004</v>
      </c>
      <c r="J33" s="22" t="s">
        <v>125</v>
      </c>
      <c r="K33" s="261"/>
      <c r="L33" s="22">
        <v>3925</v>
      </c>
      <c r="M33" s="23">
        <v>41.59</v>
      </c>
      <c r="N33" s="261">
        <f t="shared" si="1"/>
        <v>163240.75</v>
      </c>
      <c r="O33" s="261">
        <f t="shared" si="2"/>
        <v>4788.5</v>
      </c>
      <c r="P33" s="259" t="s">
        <v>125</v>
      </c>
      <c r="Q33" s="262">
        <f t="shared" si="3"/>
        <v>0</v>
      </c>
      <c r="R33" s="262">
        <f t="shared" si="9"/>
        <v>0</v>
      </c>
      <c r="T33" s="22">
        <v>3925</v>
      </c>
    </row>
    <row r="34" spans="1:20" ht="15" customHeight="1">
      <c r="A34" s="23" t="s">
        <v>179</v>
      </c>
      <c r="B34" s="260" t="s">
        <v>179</v>
      </c>
      <c r="C34" s="23" t="s">
        <v>122</v>
      </c>
      <c r="D34" s="83" t="s">
        <v>176</v>
      </c>
      <c r="E34" s="22"/>
      <c r="F34" s="22" t="s">
        <v>169</v>
      </c>
      <c r="G34" s="22"/>
      <c r="H34" s="43" t="s">
        <v>125</v>
      </c>
      <c r="I34" s="261">
        <f t="shared" si="11"/>
        <v>72393.217600000004</v>
      </c>
      <c r="J34" s="22" t="s">
        <v>125</v>
      </c>
      <c r="K34" s="261"/>
      <c r="L34" s="22">
        <v>7912</v>
      </c>
      <c r="M34" s="23">
        <v>41.59</v>
      </c>
      <c r="N34" s="261">
        <f t="shared" si="1"/>
        <v>329060.08</v>
      </c>
      <c r="O34" s="261">
        <f t="shared" si="2"/>
        <v>9652.64</v>
      </c>
      <c r="P34" s="259" t="s">
        <v>125</v>
      </c>
      <c r="Q34" s="262">
        <f t="shared" si="3"/>
        <v>0</v>
      </c>
      <c r="R34" s="262">
        <f t="shared" si="9"/>
        <v>0</v>
      </c>
      <c r="T34" s="22">
        <v>7912</v>
      </c>
    </row>
    <row r="35" spans="1:20" ht="15" customHeight="1">
      <c r="A35" s="23" t="s">
        <v>180</v>
      </c>
      <c r="B35" s="260" t="s">
        <v>180</v>
      </c>
      <c r="C35" s="23" t="s">
        <v>181</v>
      </c>
      <c r="D35" s="83" t="s">
        <v>176</v>
      </c>
      <c r="E35" s="22"/>
      <c r="F35" s="22" t="s">
        <v>182</v>
      </c>
      <c r="G35" s="22"/>
      <c r="H35" s="43" t="s">
        <v>125</v>
      </c>
      <c r="I35" s="261">
        <v>0</v>
      </c>
      <c r="J35" s="22"/>
      <c r="K35" s="261"/>
      <c r="L35" s="22">
        <v>7500</v>
      </c>
      <c r="M35" s="23">
        <v>41.59</v>
      </c>
      <c r="N35" s="261">
        <f t="shared" si="1"/>
        <v>311925</v>
      </c>
      <c r="O35" s="261">
        <f>L35</f>
        <v>7500</v>
      </c>
      <c r="P35" s="259" t="s">
        <v>125</v>
      </c>
      <c r="Q35" s="262">
        <f t="shared" si="3"/>
        <v>0</v>
      </c>
      <c r="R35" s="262">
        <f t="shared" si="9"/>
        <v>0</v>
      </c>
      <c r="T35" s="22"/>
    </row>
    <row r="36" spans="1:20" ht="15" customHeight="1">
      <c r="A36" s="23" t="s">
        <v>183</v>
      </c>
      <c r="B36" s="260" t="s">
        <v>183</v>
      </c>
      <c r="C36" s="23" t="s">
        <v>133</v>
      </c>
      <c r="D36" s="83" t="s">
        <v>184</v>
      </c>
      <c r="E36" s="22" t="s">
        <v>159</v>
      </c>
      <c r="F36" s="22" t="s">
        <v>185</v>
      </c>
      <c r="G36" s="22"/>
      <c r="H36" s="43" t="s">
        <v>125</v>
      </c>
      <c r="I36" s="261">
        <f t="shared" ref="I36:I38" si="12">N36*0.22</f>
        <v>43549.440000000002</v>
      </c>
      <c r="J36" s="22" t="s">
        <v>125</v>
      </c>
      <c r="K36" s="261"/>
      <c r="L36" s="22">
        <v>4800</v>
      </c>
      <c r="M36" s="23">
        <v>41.24</v>
      </c>
      <c r="N36" s="261">
        <f t="shared" si="1"/>
        <v>197952</v>
      </c>
      <c r="O36" s="261">
        <f t="shared" ref="O36:O38" si="13">L36*1.22</f>
        <v>5856</v>
      </c>
      <c r="P36" s="259" t="s">
        <v>125</v>
      </c>
      <c r="Q36" s="262">
        <f t="shared" si="3"/>
        <v>0</v>
      </c>
      <c r="R36" s="262">
        <f t="shared" si="9"/>
        <v>0</v>
      </c>
      <c r="T36" s="22"/>
    </row>
    <row r="37" spans="1:20" ht="15" customHeight="1">
      <c r="A37" s="23" t="s">
        <v>186</v>
      </c>
      <c r="B37" s="260" t="s">
        <v>186</v>
      </c>
      <c r="C37" s="23" t="s">
        <v>122</v>
      </c>
      <c r="D37" s="83" t="s">
        <v>187</v>
      </c>
      <c r="E37" s="22"/>
      <c r="F37" s="22" t="s">
        <v>142</v>
      </c>
      <c r="G37" s="22"/>
      <c r="H37" s="43" t="s">
        <v>125</v>
      </c>
      <c r="I37" s="261">
        <f t="shared" si="12"/>
        <v>30791.871000000003</v>
      </c>
      <c r="J37" s="22" t="s">
        <v>125</v>
      </c>
      <c r="K37" s="261"/>
      <c r="L37" s="22">
        <v>3450</v>
      </c>
      <c r="M37" s="23">
        <v>40.569000000000003</v>
      </c>
      <c r="N37" s="261">
        <f t="shared" si="1"/>
        <v>139963.05000000002</v>
      </c>
      <c r="O37" s="261">
        <f t="shared" si="13"/>
        <v>4209</v>
      </c>
      <c r="P37" s="259" t="s">
        <v>125</v>
      </c>
      <c r="Q37" s="262">
        <f t="shared" si="3"/>
        <v>0</v>
      </c>
      <c r="R37" s="262">
        <f t="shared" si="9"/>
        <v>0</v>
      </c>
      <c r="T37" s="22">
        <v>3450</v>
      </c>
    </row>
    <row r="38" spans="1:20" ht="15" customHeight="1">
      <c r="A38" s="23" t="s">
        <v>188</v>
      </c>
      <c r="B38" s="260" t="s">
        <v>188</v>
      </c>
      <c r="C38" s="23" t="s">
        <v>122</v>
      </c>
      <c r="D38" s="83" t="s">
        <v>187</v>
      </c>
      <c r="E38" s="22"/>
      <c r="F38" s="22" t="s">
        <v>169</v>
      </c>
      <c r="G38" s="22"/>
      <c r="H38" s="43" t="s">
        <v>125</v>
      </c>
      <c r="I38" s="261">
        <f t="shared" si="12"/>
        <v>67228.918349999993</v>
      </c>
      <c r="J38" s="22" t="s">
        <v>125</v>
      </c>
      <c r="K38" s="261"/>
      <c r="L38" s="22">
        <v>7532.5</v>
      </c>
      <c r="M38" s="23">
        <v>40.569000000000003</v>
      </c>
      <c r="N38" s="261">
        <f t="shared" si="1"/>
        <v>305585.99249999999</v>
      </c>
      <c r="O38" s="261">
        <f t="shared" si="13"/>
        <v>9189.65</v>
      </c>
      <c r="P38" s="259" t="s">
        <v>125</v>
      </c>
      <c r="Q38" s="262">
        <f t="shared" si="3"/>
        <v>0</v>
      </c>
      <c r="R38" s="262">
        <f t="shared" si="9"/>
        <v>0</v>
      </c>
      <c r="T38" s="22">
        <v>7532.5</v>
      </c>
    </row>
    <row r="39" spans="1:20" ht="15" customHeight="1">
      <c r="A39" s="23" t="s">
        <v>189</v>
      </c>
      <c r="B39" s="260" t="s">
        <v>189</v>
      </c>
      <c r="C39" s="23" t="s">
        <v>181</v>
      </c>
      <c r="D39" s="83" t="s">
        <v>187</v>
      </c>
      <c r="E39" s="22"/>
      <c r="F39" s="22" t="s">
        <v>182</v>
      </c>
      <c r="G39" s="22"/>
      <c r="H39" s="43" t="s">
        <v>125</v>
      </c>
      <c r="I39" s="261"/>
      <c r="J39" s="22"/>
      <c r="K39" s="261"/>
      <c r="L39" s="22">
        <v>7500</v>
      </c>
      <c r="M39" s="23">
        <v>40.569000000000003</v>
      </c>
      <c r="N39" s="261">
        <f t="shared" si="1"/>
        <v>304267.5</v>
      </c>
      <c r="O39" s="261">
        <f>L39</f>
        <v>7500</v>
      </c>
      <c r="P39" s="259" t="s">
        <v>125</v>
      </c>
      <c r="Q39" s="262">
        <f t="shared" si="3"/>
        <v>0</v>
      </c>
      <c r="R39" s="262">
        <f t="shared" si="9"/>
        <v>0</v>
      </c>
      <c r="T39" s="22"/>
    </row>
    <row r="40" spans="1:20" ht="13">
      <c r="A40" s="23" t="s">
        <v>190</v>
      </c>
      <c r="B40" s="260" t="s">
        <v>190</v>
      </c>
      <c r="C40" s="23" t="s">
        <v>133</v>
      </c>
      <c r="D40" s="83" t="s">
        <v>191</v>
      </c>
      <c r="E40" s="22" t="s">
        <v>159</v>
      </c>
      <c r="F40" s="22" t="s">
        <v>192</v>
      </c>
      <c r="G40" s="22"/>
      <c r="H40" s="43" t="s">
        <v>125</v>
      </c>
      <c r="I40" s="261">
        <f t="shared" ref="I40:I42" si="14">N40*0.22</f>
        <v>42029.856000000007</v>
      </c>
      <c r="J40" s="22" t="s">
        <v>125</v>
      </c>
      <c r="K40" s="261"/>
      <c r="L40" s="22">
        <v>4800</v>
      </c>
      <c r="M40" s="23">
        <v>39.801000000000002</v>
      </c>
      <c r="N40" s="261">
        <f t="shared" si="1"/>
        <v>191044.80000000002</v>
      </c>
      <c r="O40" s="261">
        <f t="shared" ref="O40:O42" si="15">L40*1.22</f>
        <v>5856</v>
      </c>
      <c r="P40" s="259" t="s">
        <v>125</v>
      </c>
      <c r="Q40" s="262">
        <f t="shared" si="3"/>
        <v>0</v>
      </c>
      <c r="R40" s="262">
        <f t="shared" si="9"/>
        <v>0</v>
      </c>
      <c r="T40" s="22"/>
    </row>
    <row r="41" spans="1:20" ht="13">
      <c r="A41" s="23" t="s">
        <v>193</v>
      </c>
      <c r="B41" s="260" t="s">
        <v>193</v>
      </c>
      <c r="C41" s="23" t="s">
        <v>122</v>
      </c>
      <c r="D41" s="83" t="s">
        <v>194</v>
      </c>
      <c r="E41" s="22"/>
      <c r="F41" s="22" t="s">
        <v>142</v>
      </c>
      <c r="G41" s="22"/>
      <c r="H41" s="43" t="s">
        <v>125</v>
      </c>
      <c r="I41" s="261">
        <f t="shared" si="14"/>
        <v>37469.118499999997</v>
      </c>
      <c r="J41" s="22" t="s">
        <v>125</v>
      </c>
      <c r="K41" s="261"/>
      <c r="L41" s="22">
        <v>4325</v>
      </c>
      <c r="M41" s="23">
        <v>39.378999999999998</v>
      </c>
      <c r="N41" s="261">
        <f t="shared" si="1"/>
        <v>170314.17499999999</v>
      </c>
      <c r="O41" s="261">
        <f t="shared" si="15"/>
        <v>5276.5</v>
      </c>
      <c r="P41" s="259" t="s">
        <v>125</v>
      </c>
      <c r="Q41" s="262">
        <f t="shared" si="3"/>
        <v>0</v>
      </c>
      <c r="R41" s="262">
        <f t="shared" si="9"/>
        <v>0</v>
      </c>
      <c r="T41" s="22">
        <v>4325</v>
      </c>
    </row>
    <row r="42" spans="1:20" ht="13">
      <c r="A42" s="23" t="s">
        <v>195</v>
      </c>
      <c r="B42" s="260" t="s">
        <v>195</v>
      </c>
      <c r="C42" s="23" t="s">
        <v>122</v>
      </c>
      <c r="D42" s="83" t="s">
        <v>194</v>
      </c>
      <c r="E42" s="22"/>
      <c r="F42" s="22" t="s">
        <v>169</v>
      </c>
      <c r="G42" s="22"/>
      <c r="H42" s="43" t="s">
        <v>125</v>
      </c>
      <c r="I42" s="261">
        <f t="shared" si="14"/>
        <v>66651.714029999988</v>
      </c>
      <c r="J42" s="22" t="s">
        <v>125</v>
      </c>
      <c r="K42" s="261"/>
      <c r="L42" s="22">
        <v>7693.5</v>
      </c>
      <c r="M42" s="23">
        <v>39.378999999999998</v>
      </c>
      <c r="N42" s="261">
        <f t="shared" si="1"/>
        <v>302962.33649999998</v>
      </c>
      <c r="O42" s="261">
        <f t="shared" si="15"/>
        <v>9386.07</v>
      </c>
      <c r="P42" s="259" t="s">
        <v>125</v>
      </c>
      <c r="Q42" s="262">
        <f t="shared" si="3"/>
        <v>0</v>
      </c>
      <c r="R42" s="262">
        <f t="shared" si="9"/>
        <v>0</v>
      </c>
      <c r="T42" s="22">
        <v>7693.5</v>
      </c>
    </row>
    <row r="43" spans="1:20" ht="13">
      <c r="A43" s="23" t="s">
        <v>196</v>
      </c>
      <c r="B43" s="260" t="s">
        <v>196</v>
      </c>
      <c r="C43" s="23" t="s">
        <v>181</v>
      </c>
      <c r="D43" s="83" t="s">
        <v>194</v>
      </c>
      <c r="E43" s="22"/>
      <c r="F43" s="22" t="s">
        <v>182</v>
      </c>
      <c r="G43" s="22"/>
      <c r="H43" s="43" t="s">
        <v>125</v>
      </c>
      <c r="I43" s="261">
        <v>0</v>
      </c>
      <c r="J43" s="22"/>
      <c r="K43" s="261"/>
      <c r="L43" s="22">
        <v>7500</v>
      </c>
      <c r="M43" s="23">
        <v>39.378999999999998</v>
      </c>
      <c r="N43" s="261">
        <f t="shared" si="1"/>
        <v>295342.5</v>
      </c>
      <c r="O43" s="261">
        <f>L43</f>
        <v>7500</v>
      </c>
      <c r="P43" s="259" t="s">
        <v>125</v>
      </c>
      <c r="Q43" s="262">
        <f t="shared" si="3"/>
        <v>0</v>
      </c>
      <c r="R43" s="262">
        <f t="shared" si="9"/>
        <v>0</v>
      </c>
      <c r="T43" s="22"/>
    </row>
    <row r="44" spans="1:20" ht="13">
      <c r="A44" s="23" t="s">
        <v>197</v>
      </c>
      <c r="B44" s="260" t="s">
        <v>197</v>
      </c>
      <c r="C44" s="23" t="s">
        <v>133</v>
      </c>
      <c r="D44" s="83" t="s">
        <v>198</v>
      </c>
      <c r="E44" s="22" t="s">
        <v>159</v>
      </c>
      <c r="F44" s="22" t="s">
        <v>199</v>
      </c>
      <c r="G44" s="22"/>
      <c r="H44" s="43" t="s">
        <v>125</v>
      </c>
      <c r="I44" s="261">
        <f>N44*0.22</f>
        <v>41023.487999999998</v>
      </c>
      <c r="J44" s="22" t="s">
        <v>125</v>
      </c>
      <c r="K44" s="261"/>
      <c r="L44" s="22">
        <v>4800</v>
      </c>
      <c r="M44" s="23">
        <v>38.847999999999999</v>
      </c>
      <c r="N44" s="261">
        <f t="shared" si="1"/>
        <v>186470.39999999999</v>
      </c>
      <c r="O44" s="261">
        <f t="shared" ref="O44:O46" si="16">L44*1.22</f>
        <v>5856</v>
      </c>
      <c r="P44" s="259" t="s">
        <v>125</v>
      </c>
      <c r="Q44" s="262">
        <f t="shared" si="3"/>
        <v>0</v>
      </c>
      <c r="R44" s="262">
        <f t="shared" si="9"/>
        <v>0</v>
      </c>
      <c r="T44" s="22"/>
    </row>
    <row r="45" spans="1:20" ht="13">
      <c r="A45" s="23" t="s">
        <v>200</v>
      </c>
      <c r="B45" s="260" t="s">
        <v>200</v>
      </c>
      <c r="C45" s="23" t="s">
        <v>128</v>
      </c>
      <c r="D45" s="83" t="s">
        <v>201</v>
      </c>
      <c r="E45" s="22"/>
      <c r="F45" s="22" t="s">
        <v>202</v>
      </c>
      <c r="G45" s="22">
        <v>137214</v>
      </c>
      <c r="H45" s="43" t="s">
        <v>125</v>
      </c>
      <c r="I45" s="261">
        <f t="shared" ref="I45:I46" si="17">G45*0.22</f>
        <v>30187.08</v>
      </c>
      <c r="J45" s="22" t="s">
        <v>125</v>
      </c>
      <c r="K45" s="261">
        <f t="shared" ref="K45:K46" si="18">G45*1.22</f>
        <v>167401.07999999999</v>
      </c>
      <c r="L45" s="22"/>
      <c r="M45" s="23">
        <v>39.1</v>
      </c>
      <c r="N45" s="261">
        <f t="shared" si="1"/>
        <v>0</v>
      </c>
      <c r="O45" s="261">
        <f t="shared" si="16"/>
        <v>0</v>
      </c>
      <c r="P45" s="259" t="s">
        <v>125</v>
      </c>
      <c r="Q45" s="262">
        <f t="shared" si="3"/>
        <v>0</v>
      </c>
      <c r="R45" s="262">
        <f t="shared" si="9"/>
        <v>0</v>
      </c>
      <c r="T45" s="22"/>
    </row>
    <row r="46" spans="1:20" ht="13">
      <c r="A46" s="23" t="s">
        <v>203</v>
      </c>
      <c r="B46" s="260" t="s">
        <v>203</v>
      </c>
      <c r="C46" s="23" t="s">
        <v>128</v>
      </c>
      <c r="D46" s="83" t="s">
        <v>201</v>
      </c>
      <c r="E46" s="22"/>
      <c r="F46" s="22" t="s">
        <v>204</v>
      </c>
      <c r="G46" s="22">
        <v>137214</v>
      </c>
      <c r="H46" s="43" t="s">
        <v>125</v>
      </c>
      <c r="I46" s="261">
        <f t="shared" si="17"/>
        <v>30187.08</v>
      </c>
      <c r="J46" s="22" t="s">
        <v>125</v>
      </c>
      <c r="K46" s="261">
        <f t="shared" si="18"/>
        <v>167401.07999999999</v>
      </c>
      <c r="L46" s="22"/>
      <c r="M46" s="23">
        <v>39.1</v>
      </c>
      <c r="N46" s="261">
        <f t="shared" si="1"/>
        <v>0</v>
      </c>
      <c r="O46" s="261">
        <f t="shared" si="16"/>
        <v>0</v>
      </c>
      <c r="P46" s="259" t="s">
        <v>125</v>
      </c>
      <c r="Q46" s="262">
        <f t="shared" si="3"/>
        <v>0</v>
      </c>
      <c r="R46" s="262">
        <f t="shared" si="9"/>
        <v>0</v>
      </c>
      <c r="T46" s="22"/>
    </row>
    <row r="47" spans="1:20" ht="13">
      <c r="A47" s="23" t="s">
        <v>205</v>
      </c>
      <c r="B47" s="260" t="s">
        <v>205</v>
      </c>
      <c r="C47" s="23" t="s">
        <v>181</v>
      </c>
      <c r="D47" s="83" t="s">
        <v>206</v>
      </c>
      <c r="E47" s="22"/>
      <c r="F47" s="22" t="s">
        <v>182</v>
      </c>
      <c r="G47" s="22"/>
      <c r="H47" s="43" t="s">
        <v>125</v>
      </c>
      <c r="I47" s="261">
        <v>0</v>
      </c>
      <c r="J47" s="22"/>
      <c r="K47" s="261"/>
      <c r="L47" s="22">
        <v>7500</v>
      </c>
      <c r="M47" s="23">
        <v>40.070999999999998</v>
      </c>
      <c r="N47" s="261">
        <f t="shared" si="1"/>
        <v>300532.5</v>
      </c>
      <c r="O47" s="261">
        <f>L47</f>
        <v>7500</v>
      </c>
      <c r="P47" s="259" t="s">
        <v>125</v>
      </c>
      <c r="Q47" s="262">
        <f t="shared" si="3"/>
        <v>0</v>
      </c>
      <c r="R47" s="262">
        <f t="shared" si="9"/>
        <v>0</v>
      </c>
      <c r="T47" s="22"/>
    </row>
    <row r="48" spans="1:20" ht="13">
      <c r="A48" s="23" t="s">
        <v>207</v>
      </c>
      <c r="B48" s="260" t="s">
        <v>207</v>
      </c>
      <c r="C48" s="23" t="s">
        <v>122</v>
      </c>
      <c r="D48" s="83" t="s">
        <v>206</v>
      </c>
      <c r="E48" s="22"/>
      <c r="F48" s="22" t="s">
        <v>142</v>
      </c>
      <c r="G48" s="22"/>
      <c r="H48" s="43" t="s">
        <v>125</v>
      </c>
      <c r="I48" s="261">
        <f t="shared" ref="I48:I52" si="19">N48*0.22</f>
        <v>32287.20825</v>
      </c>
      <c r="J48" s="22" t="s">
        <v>125</v>
      </c>
      <c r="K48" s="261">
        <f t="shared" ref="K48:K50" si="20">G48*1.22</f>
        <v>0</v>
      </c>
      <c r="L48" s="22">
        <v>3662.5</v>
      </c>
      <c r="M48" s="23">
        <v>40.070999999999998</v>
      </c>
      <c r="N48" s="261">
        <f t="shared" si="1"/>
        <v>146760.03750000001</v>
      </c>
      <c r="O48" s="261">
        <f t="shared" ref="O48:O52" si="21">L48*1.22</f>
        <v>4468.25</v>
      </c>
      <c r="P48" s="259" t="s">
        <v>125</v>
      </c>
      <c r="Q48" s="262">
        <f t="shared" si="3"/>
        <v>0</v>
      </c>
      <c r="R48" s="262">
        <f t="shared" si="9"/>
        <v>0</v>
      </c>
      <c r="T48" s="22">
        <v>3662.5</v>
      </c>
    </row>
    <row r="49" spans="1:20" ht="13">
      <c r="A49" s="23">
        <v>7</v>
      </c>
      <c r="B49" s="260" t="s">
        <v>208</v>
      </c>
      <c r="C49" s="23" t="s">
        <v>122</v>
      </c>
      <c r="D49" s="83" t="s">
        <v>206</v>
      </c>
      <c r="E49" s="22"/>
      <c r="F49" s="22" t="s">
        <v>169</v>
      </c>
      <c r="G49" s="22"/>
      <c r="H49" s="43" t="s">
        <v>125</v>
      </c>
      <c r="I49" s="261">
        <f t="shared" si="19"/>
        <v>68500.188398400001</v>
      </c>
      <c r="J49" s="22" t="s">
        <v>125</v>
      </c>
      <c r="K49" s="261">
        <f t="shared" si="20"/>
        <v>0</v>
      </c>
      <c r="L49" s="22">
        <v>7770.32</v>
      </c>
      <c r="M49" s="23">
        <v>40.070999999999998</v>
      </c>
      <c r="N49" s="261">
        <f t="shared" si="1"/>
        <v>311364.49271999998</v>
      </c>
      <c r="O49" s="261">
        <f t="shared" si="21"/>
        <v>9479.7903999999999</v>
      </c>
      <c r="P49" s="259" t="s">
        <v>125</v>
      </c>
      <c r="Q49" s="262">
        <f t="shared" si="3"/>
        <v>0</v>
      </c>
      <c r="R49" s="262">
        <f t="shared" si="9"/>
        <v>0</v>
      </c>
      <c r="T49" s="22">
        <v>7770.32</v>
      </c>
    </row>
    <row r="50" spans="1:20" ht="13">
      <c r="A50" s="267" t="s">
        <v>209</v>
      </c>
      <c r="B50" s="268" t="s">
        <v>209</v>
      </c>
      <c r="C50" s="267" t="s">
        <v>133</v>
      </c>
      <c r="D50" s="269" t="s">
        <v>206</v>
      </c>
      <c r="E50" s="270"/>
      <c r="F50" s="270" t="s">
        <v>210</v>
      </c>
      <c r="G50" s="270"/>
      <c r="H50" s="270" t="s">
        <v>125</v>
      </c>
      <c r="I50" s="271">
        <f t="shared" si="19"/>
        <v>122977.89899999999</v>
      </c>
      <c r="J50" s="270" t="s">
        <v>125</v>
      </c>
      <c r="K50" s="271">
        <f t="shared" si="20"/>
        <v>0</v>
      </c>
      <c r="L50" s="270">
        <v>13950</v>
      </c>
      <c r="M50" s="267">
        <v>40.070999999999998</v>
      </c>
      <c r="N50" s="271">
        <f t="shared" si="1"/>
        <v>558990.44999999995</v>
      </c>
      <c r="O50" s="271">
        <f t="shared" si="21"/>
        <v>17019</v>
      </c>
      <c r="P50" s="272" t="s">
        <v>125</v>
      </c>
      <c r="Q50" s="273">
        <f t="shared" si="3"/>
        <v>0</v>
      </c>
      <c r="R50" s="273">
        <f t="shared" si="9"/>
        <v>0</v>
      </c>
      <c r="S50" s="267"/>
      <c r="T50" s="270"/>
    </row>
    <row r="51" spans="1:20" ht="13">
      <c r="A51" s="23" t="s">
        <v>211</v>
      </c>
      <c r="B51" s="260" t="s">
        <v>211</v>
      </c>
      <c r="C51" s="23" t="s">
        <v>133</v>
      </c>
      <c r="D51" s="83" t="s">
        <v>212</v>
      </c>
      <c r="E51" s="22" t="s">
        <v>159</v>
      </c>
      <c r="F51" s="22" t="s">
        <v>213</v>
      </c>
      <c r="G51" s="22"/>
      <c r="H51" s="22" t="s">
        <v>125</v>
      </c>
      <c r="I51" s="261">
        <f t="shared" si="19"/>
        <v>41438.495999999999</v>
      </c>
      <c r="J51" s="22" t="s">
        <v>125</v>
      </c>
      <c r="K51" s="261"/>
      <c r="L51" s="22">
        <v>4800</v>
      </c>
      <c r="M51" s="23">
        <v>39.241</v>
      </c>
      <c r="N51" s="261">
        <f t="shared" si="1"/>
        <v>188356.8</v>
      </c>
      <c r="O51" s="261">
        <f t="shared" si="21"/>
        <v>5856</v>
      </c>
      <c r="P51" s="259" t="s">
        <v>125</v>
      </c>
      <c r="Q51" s="262">
        <f t="shared" si="3"/>
        <v>0</v>
      </c>
      <c r="R51" s="262">
        <f t="shared" si="9"/>
        <v>0</v>
      </c>
      <c r="T51" s="22"/>
    </row>
    <row r="52" spans="1:20" ht="13">
      <c r="A52" s="23" t="s">
        <v>214</v>
      </c>
      <c r="B52" s="260" t="s">
        <v>214</v>
      </c>
      <c r="C52" s="23" t="s">
        <v>122</v>
      </c>
      <c r="D52" s="83" t="s">
        <v>60</v>
      </c>
      <c r="E52" s="22"/>
      <c r="F52" s="22"/>
      <c r="G52" s="22"/>
      <c r="H52" s="22" t="s">
        <v>125</v>
      </c>
      <c r="I52" s="261">
        <f t="shared" si="19"/>
        <v>38363.49</v>
      </c>
      <c r="J52" s="22" t="s">
        <v>125</v>
      </c>
      <c r="K52" s="261"/>
      <c r="L52" s="22">
        <v>4500</v>
      </c>
      <c r="M52" s="23">
        <v>38.750999999999998</v>
      </c>
      <c r="N52" s="261">
        <f t="shared" si="1"/>
        <v>174379.5</v>
      </c>
      <c r="O52" s="261">
        <f t="shared" si="21"/>
        <v>5490</v>
      </c>
      <c r="P52" s="259" t="s">
        <v>125</v>
      </c>
      <c r="Q52" s="262">
        <f t="shared" si="3"/>
        <v>0</v>
      </c>
      <c r="R52" s="262">
        <f t="shared" si="9"/>
        <v>0</v>
      </c>
      <c r="T52" s="22">
        <v>4500</v>
      </c>
    </row>
    <row r="53" spans="1:20" ht="13">
      <c r="A53" s="23" t="s">
        <v>215</v>
      </c>
      <c r="B53" s="260" t="s">
        <v>215</v>
      </c>
      <c r="C53" s="23" t="s">
        <v>181</v>
      </c>
      <c r="D53" s="83" t="s">
        <v>60</v>
      </c>
      <c r="E53" s="22"/>
      <c r="F53" s="22" t="s">
        <v>182</v>
      </c>
      <c r="G53" s="22"/>
      <c r="H53" s="22" t="s">
        <v>125</v>
      </c>
      <c r="I53" s="261">
        <v>0</v>
      </c>
      <c r="J53" s="22"/>
      <c r="K53" s="261"/>
      <c r="L53" s="22">
        <v>7500</v>
      </c>
      <c r="M53" s="23">
        <v>38.750999999999998</v>
      </c>
      <c r="N53" s="261">
        <f t="shared" si="1"/>
        <v>290632.5</v>
      </c>
      <c r="O53" s="261">
        <v>7500</v>
      </c>
      <c r="P53" s="259" t="s">
        <v>125</v>
      </c>
      <c r="Q53" s="262">
        <f t="shared" si="3"/>
        <v>0</v>
      </c>
      <c r="R53" s="262">
        <f t="shared" si="9"/>
        <v>0</v>
      </c>
      <c r="T53" s="22"/>
    </row>
    <row r="54" spans="1:20" ht="13">
      <c r="A54" s="23" t="s">
        <v>216</v>
      </c>
      <c r="B54" s="260" t="s">
        <v>216</v>
      </c>
      <c r="C54" s="23" t="s">
        <v>133</v>
      </c>
      <c r="D54" s="83" t="s">
        <v>217</v>
      </c>
      <c r="E54" s="22"/>
      <c r="F54" s="22" t="s">
        <v>218</v>
      </c>
      <c r="G54" s="22"/>
      <c r="H54" s="22" t="s">
        <v>125</v>
      </c>
      <c r="I54" s="261">
        <f t="shared" ref="I54:I55" si="22">N54*0.22</f>
        <v>40934.784</v>
      </c>
      <c r="J54" s="22" t="s">
        <v>125</v>
      </c>
      <c r="K54" s="261"/>
      <c r="L54" s="22">
        <v>4800</v>
      </c>
      <c r="M54" s="23">
        <v>38.764000000000003</v>
      </c>
      <c r="N54" s="261">
        <f t="shared" si="1"/>
        <v>186067.20000000001</v>
      </c>
      <c r="O54" s="261">
        <f t="shared" ref="O54:O55" si="23">L54*1.22</f>
        <v>5856</v>
      </c>
      <c r="P54" s="259" t="s">
        <v>125</v>
      </c>
      <c r="Q54" s="262">
        <f t="shared" si="3"/>
        <v>0</v>
      </c>
      <c r="R54" s="262">
        <f t="shared" si="9"/>
        <v>0</v>
      </c>
      <c r="T54" s="22"/>
    </row>
    <row r="55" spans="1:20" ht="13">
      <c r="A55" s="23" t="s">
        <v>219</v>
      </c>
      <c r="B55" s="260" t="s">
        <v>219</v>
      </c>
      <c r="C55" s="23" t="s">
        <v>122</v>
      </c>
      <c r="D55" s="83" t="s">
        <v>220</v>
      </c>
      <c r="E55" s="22"/>
      <c r="F55" s="22"/>
      <c r="G55" s="22"/>
      <c r="H55" s="22" t="s">
        <v>125</v>
      </c>
      <c r="I55" s="261">
        <f t="shared" si="22"/>
        <v>10305.768</v>
      </c>
      <c r="J55" s="22" t="s">
        <v>125</v>
      </c>
      <c r="K55" s="261"/>
      <c r="L55" s="22">
        <v>1200</v>
      </c>
      <c r="M55" s="23">
        <v>39.036999999999999</v>
      </c>
      <c r="N55" s="261">
        <f t="shared" si="1"/>
        <v>46844.4</v>
      </c>
      <c r="O55" s="261">
        <f t="shared" si="23"/>
        <v>1464</v>
      </c>
      <c r="P55" s="259" t="s">
        <v>125</v>
      </c>
      <c r="Q55" s="262">
        <f t="shared" si="3"/>
        <v>0</v>
      </c>
      <c r="R55" s="262">
        <f t="shared" si="9"/>
        <v>0</v>
      </c>
      <c r="T55" s="22">
        <v>1200</v>
      </c>
    </row>
    <row r="56" spans="1:20" ht="13">
      <c r="A56" s="23" t="s">
        <v>221</v>
      </c>
      <c r="B56" s="260" t="s">
        <v>221</v>
      </c>
      <c r="C56" s="23" t="s">
        <v>181</v>
      </c>
      <c r="D56" s="83" t="s">
        <v>220</v>
      </c>
      <c r="E56" s="22"/>
      <c r="F56" s="22" t="s">
        <v>182</v>
      </c>
      <c r="G56" s="22"/>
      <c r="H56" s="22" t="s">
        <v>125</v>
      </c>
      <c r="I56" s="261">
        <v>0</v>
      </c>
      <c r="J56" s="22"/>
      <c r="K56" s="261"/>
      <c r="L56" s="22">
        <v>1781.44</v>
      </c>
      <c r="M56" s="23">
        <v>39.036999999999999</v>
      </c>
      <c r="N56" s="261">
        <f t="shared" si="1"/>
        <v>69542.073279999997</v>
      </c>
      <c r="O56" s="261">
        <f>L56</f>
        <v>1781.44</v>
      </c>
      <c r="P56" s="259" t="s">
        <v>125</v>
      </c>
      <c r="Q56" s="262">
        <f t="shared" si="3"/>
        <v>0</v>
      </c>
      <c r="R56" s="262">
        <f t="shared" si="9"/>
        <v>0</v>
      </c>
      <c r="T56" s="22"/>
    </row>
    <row r="57" spans="1:20" ht="13">
      <c r="A57" s="23" t="s">
        <v>222</v>
      </c>
      <c r="B57" s="260" t="s">
        <v>222</v>
      </c>
      <c r="C57" s="23" t="s">
        <v>133</v>
      </c>
      <c r="D57" s="83" t="s">
        <v>223</v>
      </c>
      <c r="E57" s="22"/>
      <c r="F57" s="22" t="s">
        <v>224</v>
      </c>
      <c r="G57" s="22"/>
      <c r="H57" s="22" t="s">
        <v>125</v>
      </c>
      <c r="I57" s="261">
        <f t="shared" ref="I57:I58" si="24">N57*0.22</f>
        <v>41125.919999999998</v>
      </c>
      <c r="J57" s="22" t="s">
        <v>125</v>
      </c>
      <c r="K57" s="261"/>
      <c r="L57" s="22">
        <v>4800</v>
      </c>
      <c r="M57" s="23">
        <v>38.945</v>
      </c>
      <c r="N57" s="261">
        <f t="shared" si="1"/>
        <v>186936</v>
      </c>
      <c r="O57" s="261">
        <f t="shared" ref="O57:O58" si="25">L57*1.22</f>
        <v>5856</v>
      </c>
      <c r="P57" s="259" t="s">
        <v>125</v>
      </c>
      <c r="Q57" s="262">
        <f t="shared" si="3"/>
        <v>0</v>
      </c>
      <c r="R57" s="262">
        <f t="shared" si="9"/>
        <v>0</v>
      </c>
      <c r="T57" s="22"/>
    </row>
    <row r="58" spans="1:20" ht="13">
      <c r="A58" s="23" t="s">
        <v>225</v>
      </c>
      <c r="B58" s="260" t="s">
        <v>225</v>
      </c>
      <c r="C58" s="23" t="s">
        <v>122</v>
      </c>
      <c r="D58" s="83" t="s">
        <v>226</v>
      </c>
      <c r="E58" s="22"/>
      <c r="F58" s="22"/>
      <c r="G58" s="22"/>
      <c r="H58" s="22" t="s">
        <v>125</v>
      </c>
      <c r="I58" s="261">
        <f t="shared" si="24"/>
        <v>30330.134999999998</v>
      </c>
      <c r="J58" s="22" t="s">
        <v>125</v>
      </c>
      <c r="K58" s="261"/>
      <c r="L58" s="22">
        <v>3550</v>
      </c>
      <c r="M58" s="23">
        <v>38.835000000000001</v>
      </c>
      <c r="N58" s="261">
        <f t="shared" si="1"/>
        <v>137864.25</v>
      </c>
      <c r="O58" s="261">
        <f t="shared" si="25"/>
        <v>4331</v>
      </c>
      <c r="P58" s="259" t="s">
        <v>125</v>
      </c>
      <c r="Q58" s="262">
        <f t="shared" si="3"/>
        <v>0</v>
      </c>
      <c r="R58" s="262">
        <f t="shared" si="9"/>
        <v>0</v>
      </c>
      <c r="T58" s="22">
        <v>3550</v>
      </c>
    </row>
    <row r="59" spans="1:20" ht="13">
      <c r="A59" s="23" t="s">
        <v>227</v>
      </c>
      <c r="B59" s="260" t="s">
        <v>227</v>
      </c>
      <c r="C59" s="23" t="s">
        <v>181</v>
      </c>
      <c r="D59" s="83" t="s">
        <v>226</v>
      </c>
      <c r="E59" s="22"/>
      <c r="F59" s="22" t="s">
        <v>182</v>
      </c>
      <c r="G59" s="22"/>
      <c r="H59" s="22" t="s">
        <v>125</v>
      </c>
      <c r="I59" s="261">
        <f>N59*0</f>
        <v>0</v>
      </c>
      <c r="J59" s="22"/>
      <c r="K59" s="261"/>
      <c r="L59" s="22">
        <v>7500</v>
      </c>
      <c r="M59" s="23">
        <v>38.835000000000001</v>
      </c>
      <c r="N59" s="261">
        <f t="shared" si="1"/>
        <v>291262.5</v>
      </c>
      <c r="O59" s="261">
        <f>L59</f>
        <v>7500</v>
      </c>
      <c r="P59" s="259" t="s">
        <v>125</v>
      </c>
      <c r="Q59" s="262">
        <f t="shared" si="3"/>
        <v>0</v>
      </c>
      <c r="R59" s="262">
        <f t="shared" si="9"/>
        <v>0</v>
      </c>
      <c r="T59" s="22"/>
    </row>
    <row r="60" spans="1:20" ht="13">
      <c r="A60" s="23" t="s">
        <v>228</v>
      </c>
      <c r="B60" s="260" t="s">
        <v>228</v>
      </c>
      <c r="C60" s="23" t="s">
        <v>133</v>
      </c>
      <c r="D60" s="83" t="s">
        <v>229</v>
      </c>
      <c r="E60" s="22"/>
      <c r="F60" s="22" t="s">
        <v>230</v>
      </c>
      <c r="G60" s="22"/>
      <c r="H60" s="22" t="s">
        <v>125</v>
      </c>
      <c r="I60" s="261">
        <f t="shared" ref="I60:I61" si="26">N60*0.22</f>
        <v>41150.208000000006</v>
      </c>
      <c r="J60" s="22" t="s">
        <v>125</v>
      </c>
      <c r="K60" s="261"/>
      <c r="L60" s="22">
        <v>4800</v>
      </c>
      <c r="M60" s="23">
        <v>38.968000000000004</v>
      </c>
      <c r="N60" s="261">
        <f t="shared" si="1"/>
        <v>187046.40000000002</v>
      </c>
      <c r="O60" s="261">
        <f t="shared" ref="O60:O61" si="27">L60*1.22</f>
        <v>5856</v>
      </c>
      <c r="P60" s="259" t="s">
        <v>125</v>
      </c>
      <c r="Q60" s="262">
        <f t="shared" si="3"/>
        <v>0</v>
      </c>
      <c r="R60" s="262">
        <f t="shared" si="9"/>
        <v>0</v>
      </c>
      <c r="T60" s="22"/>
    </row>
    <row r="61" spans="1:20" ht="13">
      <c r="A61" s="23" t="s">
        <v>231</v>
      </c>
      <c r="B61" s="260" t="s">
        <v>231</v>
      </c>
      <c r="C61" s="23" t="s">
        <v>122</v>
      </c>
      <c r="D61" s="83" t="s">
        <v>232</v>
      </c>
      <c r="E61" s="22"/>
      <c r="F61" s="22"/>
      <c r="G61" s="22"/>
      <c r="H61" s="22" t="s">
        <v>125</v>
      </c>
      <c r="I61" s="261">
        <f t="shared" si="26"/>
        <v>30502.8295</v>
      </c>
      <c r="J61" s="22" t="s">
        <v>125</v>
      </c>
      <c r="K61" s="261"/>
      <c r="L61" s="22">
        <v>3575</v>
      </c>
      <c r="M61" s="23">
        <v>38.783000000000001</v>
      </c>
      <c r="N61" s="261">
        <f t="shared" si="1"/>
        <v>138649.22500000001</v>
      </c>
      <c r="O61" s="261">
        <f t="shared" si="27"/>
        <v>4361.5</v>
      </c>
      <c r="P61" s="259" t="s">
        <v>125</v>
      </c>
      <c r="Q61" s="262">
        <f t="shared" si="3"/>
        <v>0</v>
      </c>
      <c r="R61" s="262">
        <f t="shared" si="9"/>
        <v>0</v>
      </c>
      <c r="T61" s="22">
        <v>3575</v>
      </c>
    </row>
    <row r="62" spans="1:20" ht="13">
      <c r="A62" s="23" t="s">
        <v>233</v>
      </c>
      <c r="B62" s="260" t="s">
        <v>233</v>
      </c>
      <c r="C62" s="23" t="s">
        <v>181</v>
      </c>
      <c r="D62" s="83" t="s">
        <v>232</v>
      </c>
      <c r="E62" s="22"/>
      <c r="F62" s="22" t="s">
        <v>182</v>
      </c>
      <c r="G62" s="22"/>
      <c r="H62" s="22" t="s">
        <v>125</v>
      </c>
      <c r="I62" s="261">
        <f t="shared" ref="I62:I63" si="28">N62*0</f>
        <v>0</v>
      </c>
      <c r="J62" s="22"/>
      <c r="K62" s="261"/>
      <c r="L62" s="22">
        <v>7500</v>
      </c>
      <c r="M62" s="23">
        <v>38.783000000000001</v>
      </c>
      <c r="N62" s="261">
        <f t="shared" si="1"/>
        <v>290872.5</v>
      </c>
      <c r="O62" s="261">
        <f t="shared" ref="O62:O63" si="29">L62</f>
        <v>7500</v>
      </c>
      <c r="P62" s="259" t="s">
        <v>125</v>
      </c>
      <c r="Q62" s="262">
        <f t="shared" si="3"/>
        <v>0</v>
      </c>
      <c r="R62" s="262">
        <f t="shared" si="9"/>
        <v>0</v>
      </c>
      <c r="T62" s="22"/>
    </row>
    <row r="63" spans="1:20" ht="13">
      <c r="A63" s="23" t="s">
        <v>234</v>
      </c>
      <c r="B63" s="260" t="s">
        <v>234</v>
      </c>
      <c r="C63" s="23" t="s">
        <v>181</v>
      </c>
      <c r="D63" s="83" t="s">
        <v>235</v>
      </c>
      <c r="E63" s="22"/>
      <c r="F63" s="22" t="s">
        <v>182</v>
      </c>
      <c r="G63" s="22"/>
      <c r="H63" s="22" t="s">
        <v>125</v>
      </c>
      <c r="I63" s="261">
        <f t="shared" si="28"/>
        <v>0</v>
      </c>
      <c r="J63" s="22"/>
      <c r="K63" s="261"/>
      <c r="L63" s="22">
        <v>6094</v>
      </c>
      <c r="M63" s="23">
        <v>38.738999999999997</v>
      </c>
      <c r="N63" s="261">
        <f t="shared" si="1"/>
        <v>236075.46599999999</v>
      </c>
      <c r="O63" s="261">
        <f t="shared" si="29"/>
        <v>6094</v>
      </c>
      <c r="P63" s="259" t="s">
        <v>125</v>
      </c>
      <c r="Q63" s="262">
        <f t="shared" si="3"/>
        <v>0</v>
      </c>
      <c r="R63" s="262">
        <f t="shared" si="9"/>
        <v>0</v>
      </c>
      <c r="T63" s="22"/>
    </row>
    <row r="64" spans="1:20" ht="13">
      <c r="A64" s="23" t="s">
        <v>236</v>
      </c>
      <c r="B64" s="260" t="s">
        <v>236</v>
      </c>
      <c r="C64" s="23" t="s">
        <v>122</v>
      </c>
      <c r="D64" s="83" t="s">
        <v>235</v>
      </c>
      <c r="E64" s="22"/>
      <c r="F64" s="22" t="s">
        <v>142</v>
      </c>
      <c r="G64" s="22"/>
      <c r="H64" s="22" t="s">
        <v>125</v>
      </c>
      <c r="I64" s="261">
        <f t="shared" ref="I64:I65" si="30">N64*0.22</f>
        <v>31959.674999999999</v>
      </c>
      <c r="J64" s="22" t="s">
        <v>125</v>
      </c>
      <c r="K64" s="261"/>
      <c r="L64" s="22">
        <v>3750</v>
      </c>
      <c r="M64" s="23">
        <v>38.738999999999997</v>
      </c>
      <c r="N64" s="261">
        <f t="shared" si="1"/>
        <v>145271.25</v>
      </c>
      <c r="O64" s="261">
        <f t="shared" ref="O64:O65" si="31">L64*1.22</f>
        <v>4575</v>
      </c>
      <c r="P64" s="259" t="s">
        <v>125</v>
      </c>
      <c r="Q64" s="262">
        <f t="shared" si="3"/>
        <v>0</v>
      </c>
      <c r="R64" s="262">
        <f t="shared" si="9"/>
        <v>0</v>
      </c>
      <c r="T64" s="22">
        <v>3750</v>
      </c>
    </row>
    <row r="65" spans="1:20" ht="13">
      <c r="A65" s="23" t="s">
        <v>237</v>
      </c>
      <c r="B65" s="260" t="s">
        <v>237</v>
      </c>
      <c r="C65" s="23" t="s">
        <v>122</v>
      </c>
      <c r="D65" s="107">
        <v>45053</v>
      </c>
      <c r="E65" s="22"/>
      <c r="F65" s="22"/>
      <c r="G65" s="22"/>
      <c r="H65" s="22" t="s">
        <v>125</v>
      </c>
      <c r="I65" s="261">
        <f t="shared" si="30"/>
        <v>34231.109000000004</v>
      </c>
      <c r="J65" s="22" t="s">
        <v>125</v>
      </c>
      <c r="K65" s="261"/>
      <c r="L65" s="22">
        <v>4150</v>
      </c>
      <c r="M65" s="23">
        <v>37.493000000000002</v>
      </c>
      <c r="N65" s="261">
        <f t="shared" si="1"/>
        <v>155595.95000000001</v>
      </c>
      <c r="O65" s="261">
        <f t="shared" si="31"/>
        <v>5063</v>
      </c>
      <c r="P65" s="259" t="s">
        <v>125</v>
      </c>
      <c r="Q65" s="262">
        <f t="shared" si="3"/>
        <v>0</v>
      </c>
      <c r="R65" s="262">
        <f t="shared" si="9"/>
        <v>0</v>
      </c>
      <c r="T65" s="22">
        <v>4150</v>
      </c>
    </row>
    <row r="66" spans="1:20" ht="13">
      <c r="A66" s="23" t="s">
        <v>238</v>
      </c>
      <c r="B66" s="260" t="s">
        <v>238</v>
      </c>
      <c r="C66" s="23" t="s">
        <v>181</v>
      </c>
      <c r="D66" s="107">
        <v>45053</v>
      </c>
      <c r="E66" s="22"/>
      <c r="F66" s="22" t="s">
        <v>182</v>
      </c>
      <c r="G66" s="22"/>
      <c r="H66" s="22" t="s">
        <v>125</v>
      </c>
      <c r="I66" s="261">
        <v>0</v>
      </c>
      <c r="J66" s="22"/>
      <c r="K66" s="261"/>
      <c r="L66" s="22">
        <v>6844.48</v>
      </c>
      <c r="M66" s="23">
        <v>37.493000000000002</v>
      </c>
      <c r="N66" s="261">
        <f t="shared" si="1"/>
        <v>256620.08864</v>
      </c>
      <c r="O66" s="261">
        <f>L66</f>
        <v>6844.48</v>
      </c>
      <c r="P66" s="259" t="s">
        <v>125</v>
      </c>
      <c r="Q66" s="262">
        <f t="shared" si="3"/>
        <v>0</v>
      </c>
      <c r="R66" s="262">
        <f t="shared" si="9"/>
        <v>0</v>
      </c>
      <c r="T66" s="22"/>
    </row>
    <row r="67" spans="1:20" ht="13">
      <c r="A67" s="23" t="s">
        <v>239</v>
      </c>
      <c r="B67" s="260" t="s">
        <v>239</v>
      </c>
      <c r="C67" s="23" t="s">
        <v>122</v>
      </c>
      <c r="D67" s="83" t="s">
        <v>240</v>
      </c>
      <c r="E67" s="22"/>
      <c r="F67" s="22" t="s">
        <v>142</v>
      </c>
      <c r="G67" s="22"/>
      <c r="H67" s="22" t="s">
        <v>125</v>
      </c>
      <c r="I67" s="261">
        <f>N67*0.22</f>
        <v>28172.672000000002</v>
      </c>
      <c r="J67" s="22" t="s">
        <v>125</v>
      </c>
      <c r="K67" s="261"/>
      <c r="L67" s="22">
        <v>3400</v>
      </c>
      <c r="M67" s="23">
        <v>37.664000000000001</v>
      </c>
      <c r="N67" s="261">
        <f t="shared" si="1"/>
        <v>128057.60000000001</v>
      </c>
      <c r="O67" s="261">
        <f>L67*1.22</f>
        <v>4148</v>
      </c>
      <c r="P67" s="259" t="s">
        <v>125</v>
      </c>
      <c r="Q67" s="262">
        <f t="shared" si="3"/>
        <v>0</v>
      </c>
      <c r="R67" s="262">
        <f t="shared" si="9"/>
        <v>0</v>
      </c>
      <c r="T67" s="22">
        <v>3400</v>
      </c>
    </row>
    <row r="68" spans="1:20" ht="13">
      <c r="A68" s="23" t="s">
        <v>241</v>
      </c>
      <c r="B68" s="260" t="s">
        <v>241</v>
      </c>
      <c r="C68" s="23" t="s">
        <v>181</v>
      </c>
      <c r="D68" s="83" t="s">
        <v>240</v>
      </c>
      <c r="E68" s="22"/>
      <c r="F68" s="22" t="s">
        <v>182</v>
      </c>
      <c r="G68" s="22"/>
      <c r="H68" s="22" t="s">
        <v>125</v>
      </c>
      <c r="I68" s="261">
        <v>0</v>
      </c>
      <c r="J68" s="22"/>
      <c r="K68" s="261"/>
      <c r="L68" s="22">
        <v>7500</v>
      </c>
      <c r="M68" s="23">
        <v>37.664000000000001</v>
      </c>
      <c r="N68" s="261">
        <f t="shared" si="1"/>
        <v>282480</v>
      </c>
      <c r="O68" s="261">
        <f>L68</f>
        <v>7500</v>
      </c>
      <c r="P68" s="259" t="s">
        <v>125</v>
      </c>
      <c r="Q68" s="262">
        <f t="shared" si="3"/>
        <v>0</v>
      </c>
      <c r="R68" s="262">
        <f t="shared" si="9"/>
        <v>0</v>
      </c>
      <c r="T68" s="22"/>
    </row>
    <row r="69" spans="1:20" ht="13">
      <c r="A69" s="23" t="s">
        <v>242</v>
      </c>
      <c r="B69" s="260" t="s">
        <v>242</v>
      </c>
      <c r="C69" s="23" t="s">
        <v>122</v>
      </c>
      <c r="D69" s="83" t="s">
        <v>243</v>
      </c>
      <c r="E69" s="22"/>
      <c r="F69" s="22"/>
      <c r="G69" s="22"/>
      <c r="H69" s="22" t="s">
        <v>125</v>
      </c>
      <c r="I69" s="261">
        <f>N69*0.22</f>
        <v>33574.662000000004</v>
      </c>
      <c r="J69" s="22" t="s">
        <v>125</v>
      </c>
      <c r="K69" s="261"/>
      <c r="L69" s="22">
        <v>4050</v>
      </c>
      <c r="M69" s="23">
        <v>37.682000000000002</v>
      </c>
      <c r="N69" s="261">
        <f t="shared" si="1"/>
        <v>152612.1</v>
      </c>
      <c r="O69" s="261">
        <f>L69*1.22</f>
        <v>4941</v>
      </c>
      <c r="P69" s="259" t="s">
        <v>125</v>
      </c>
      <c r="Q69" s="262">
        <f t="shared" si="3"/>
        <v>0</v>
      </c>
      <c r="R69" s="262">
        <f t="shared" si="9"/>
        <v>0</v>
      </c>
      <c r="T69" s="22">
        <v>4050</v>
      </c>
    </row>
    <row r="70" spans="1:20" ht="13">
      <c r="A70" s="23" t="s">
        <v>143</v>
      </c>
      <c r="B70" s="260" t="s">
        <v>143</v>
      </c>
      <c r="C70" s="23" t="s">
        <v>181</v>
      </c>
      <c r="D70" s="83" t="s">
        <v>243</v>
      </c>
      <c r="E70" s="22"/>
      <c r="F70" s="22" t="s">
        <v>182</v>
      </c>
      <c r="G70" s="22"/>
      <c r="H70" s="22" t="s">
        <v>125</v>
      </c>
      <c r="I70" s="261">
        <v>0</v>
      </c>
      <c r="J70" s="22"/>
      <c r="K70" s="261"/>
      <c r="L70" s="22">
        <v>7500</v>
      </c>
      <c r="M70" s="23">
        <v>37.682000000000002</v>
      </c>
      <c r="N70" s="261">
        <f t="shared" si="1"/>
        <v>282615</v>
      </c>
      <c r="O70" s="261">
        <f>L70</f>
        <v>7500</v>
      </c>
      <c r="P70" s="259" t="s">
        <v>125</v>
      </c>
      <c r="Q70" s="262">
        <f t="shared" si="3"/>
        <v>0</v>
      </c>
      <c r="R70" s="262">
        <f t="shared" si="9"/>
        <v>0</v>
      </c>
      <c r="T70" s="22"/>
    </row>
    <row r="71" spans="1:20" ht="13">
      <c r="A71" s="23" t="s">
        <v>244</v>
      </c>
      <c r="B71" s="260" t="s">
        <v>244</v>
      </c>
      <c r="C71" s="23" t="s">
        <v>133</v>
      </c>
      <c r="D71" s="83" t="s">
        <v>245</v>
      </c>
      <c r="E71" s="22"/>
      <c r="F71" s="22" t="s">
        <v>159</v>
      </c>
      <c r="G71" s="22"/>
      <c r="H71" s="22" t="s">
        <v>125</v>
      </c>
      <c r="I71" s="261">
        <f t="shared" ref="I71:I72" si="32">N71*0.22</f>
        <v>80857.919999999984</v>
      </c>
      <c r="J71" s="22" t="s">
        <v>125</v>
      </c>
      <c r="K71" s="261"/>
      <c r="L71" s="22">
        <v>9600</v>
      </c>
      <c r="M71" s="23">
        <v>38.284999999999997</v>
      </c>
      <c r="N71" s="261">
        <f t="shared" si="1"/>
        <v>367535.99999999994</v>
      </c>
      <c r="O71" s="261">
        <f t="shared" ref="O71:O72" si="33">L71*1.22</f>
        <v>11712</v>
      </c>
      <c r="P71" s="259" t="s">
        <v>125</v>
      </c>
      <c r="Q71" s="262">
        <f t="shared" si="3"/>
        <v>0</v>
      </c>
      <c r="R71" s="262">
        <f t="shared" si="9"/>
        <v>0</v>
      </c>
      <c r="T71" s="22"/>
    </row>
    <row r="72" spans="1:20" ht="13">
      <c r="A72" s="23" t="s">
        <v>246</v>
      </c>
      <c r="B72" s="260" t="s">
        <v>246</v>
      </c>
      <c r="C72" s="23" t="s">
        <v>122</v>
      </c>
      <c r="D72" s="83" t="s">
        <v>247</v>
      </c>
      <c r="E72" s="22"/>
      <c r="F72" s="22" t="s">
        <v>142</v>
      </c>
      <c r="G72" s="22"/>
      <c r="H72" s="22" t="s">
        <v>125</v>
      </c>
      <c r="I72" s="261">
        <f t="shared" si="32"/>
        <v>35201.627999999997</v>
      </c>
      <c r="J72" s="22" t="s">
        <v>125</v>
      </c>
      <c r="K72" s="261"/>
      <c r="L72" s="22">
        <v>4150</v>
      </c>
      <c r="M72" s="23">
        <v>38.555999999999997</v>
      </c>
      <c r="N72" s="261">
        <f t="shared" si="1"/>
        <v>160007.4</v>
      </c>
      <c r="O72" s="261">
        <f t="shared" si="33"/>
        <v>5063</v>
      </c>
      <c r="P72" s="259" t="s">
        <v>125</v>
      </c>
      <c r="Q72" s="262">
        <f t="shared" si="3"/>
        <v>0</v>
      </c>
      <c r="R72" s="262">
        <f t="shared" si="9"/>
        <v>0</v>
      </c>
      <c r="T72" s="22">
        <v>4150</v>
      </c>
    </row>
    <row r="73" spans="1:20" ht="13">
      <c r="A73" s="23" t="s">
        <v>145</v>
      </c>
      <c r="B73" s="260" t="s">
        <v>145</v>
      </c>
      <c r="C73" s="23" t="s">
        <v>181</v>
      </c>
      <c r="D73" s="83" t="s">
        <v>247</v>
      </c>
      <c r="E73" s="22"/>
      <c r="F73" s="22" t="s">
        <v>182</v>
      </c>
      <c r="G73" s="22"/>
      <c r="H73" s="22" t="s">
        <v>125</v>
      </c>
      <c r="I73" s="261">
        <v>0</v>
      </c>
      <c r="J73" s="22"/>
      <c r="K73" s="261"/>
      <c r="L73" s="22">
        <v>10684.08</v>
      </c>
      <c r="M73" s="23">
        <v>38.555999999999997</v>
      </c>
      <c r="N73" s="261">
        <f t="shared" si="1"/>
        <v>411935.38847999997</v>
      </c>
      <c r="O73" s="261">
        <f>L73</f>
        <v>10684.08</v>
      </c>
      <c r="P73" s="259" t="s">
        <v>125</v>
      </c>
      <c r="Q73" s="262">
        <f t="shared" si="3"/>
        <v>0</v>
      </c>
      <c r="R73" s="262">
        <f t="shared" si="9"/>
        <v>0</v>
      </c>
      <c r="T73" s="22"/>
    </row>
    <row r="74" spans="1:20" ht="13">
      <c r="A74" s="23" t="s">
        <v>248</v>
      </c>
      <c r="B74" s="260" t="s">
        <v>248</v>
      </c>
      <c r="C74" s="23" t="s">
        <v>122</v>
      </c>
      <c r="D74" s="83" t="s">
        <v>249</v>
      </c>
      <c r="E74" s="22"/>
      <c r="F74" s="22"/>
      <c r="G74" s="22"/>
      <c r="H74" s="22" t="s">
        <v>125</v>
      </c>
      <c r="I74" s="261">
        <f>N74*0.22</f>
        <v>38673.536</v>
      </c>
      <c r="J74" s="22" t="s">
        <v>125</v>
      </c>
      <c r="K74" s="261"/>
      <c r="L74" s="22">
        <v>4400</v>
      </c>
      <c r="M74" s="23">
        <v>39.951999999999998</v>
      </c>
      <c r="N74" s="261">
        <f t="shared" si="1"/>
        <v>175788.79999999999</v>
      </c>
      <c r="O74" s="261">
        <f>L74*1.22</f>
        <v>5368</v>
      </c>
      <c r="P74" s="259" t="s">
        <v>125</v>
      </c>
      <c r="Q74" s="262">
        <f t="shared" si="3"/>
        <v>0</v>
      </c>
      <c r="R74" s="262">
        <f t="shared" si="9"/>
        <v>0</v>
      </c>
      <c r="T74" s="22">
        <v>4400</v>
      </c>
    </row>
    <row r="75" spans="1:20" ht="13">
      <c r="A75" s="23" t="s">
        <v>148</v>
      </c>
      <c r="B75" s="260" t="s">
        <v>148</v>
      </c>
      <c r="C75" s="23" t="s">
        <v>181</v>
      </c>
      <c r="D75" s="83" t="s">
        <v>249</v>
      </c>
      <c r="E75" s="22"/>
      <c r="F75" s="22" t="s">
        <v>182</v>
      </c>
      <c r="G75" s="22"/>
      <c r="H75" s="22" t="s">
        <v>125</v>
      </c>
      <c r="I75" s="261">
        <v>0</v>
      </c>
      <c r="J75" s="22"/>
      <c r="K75" s="261"/>
      <c r="L75" s="22">
        <v>13500</v>
      </c>
      <c r="M75" s="23">
        <v>39.951999999999998</v>
      </c>
      <c r="N75" s="261">
        <f t="shared" si="1"/>
        <v>539352</v>
      </c>
      <c r="O75" s="261">
        <f>L75</f>
        <v>13500</v>
      </c>
      <c r="P75" s="259" t="s">
        <v>125</v>
      </c>
      <c r="Q75" s="262">
        <f t="shared" si="3"/>
        <v>0</v>
      </c>
      <c r="R75" s="262">
        <f t="shared" si="9"/>
        <v>0</v>
      </c>
      <c r="T75" s="22"/>
    </row>
    <row r="76" spans="1:20" ht="13">
      <c r="A76" s="23" t="s">
        <v>250</v>
      </c>
      <c r="B76" s="260" t="s">
        <v>250</v>
      </c>
      <c r="C76" s="23" t="s">
        <v>122</v>
      </c>
      <c r="D76" s="83" t="s">
        <v>251</v>
      </c>
      <c r="E76" s="22"/>
      <c r="F76" s="22" t="s">
        <v>142</v>
      </c>
      <c r="G76" s="22"/>
      <c r="H76" s="22" t="s">
        <v>125</v>
      </c>
      <c r="I76" s="261">
        <f>N76*0.22</f>
        <v>35260.082000000002</v>
      </c>
      <c r="J76" s="22" t="s">
        <v>125</v>
      </c>
      <c r="K76" s="261"/>
      <c r="L76" s="22">
        <v>4100</v>
      </c>
      <c r="M76" s="23">
        <v>39.091000000000001</v>
      </c>
      <c r="N76" s="261">
        <f t="shared" si="1"/>
        <v>160273.1</v>
      </c>
      <c r="O76" s="261">
        <f t="shared" ref="O76:O77" si="34">L76*1.22</f>
        <v>5002</v>
      </c>
      <c r="P76" s="259" t="s">
        <v>125</v>
      </c>
      <c r="Q76" s="262">
        <f t="shared" si="3"/>
        <v>0</v>
      </c>
      <c r="R76" s="262">
        <f t="shared" si="9"/>
        <v>0</v>
      </c>
      <c r="T76" s="22">
        <v>4100</v>
      </c>
    </row>
    <row r="77" spans="1:20" ht="13">
      <c r="A77" s="23" t="s">
        <v>252</v>
      </c>
      <c r="B77" s="260" t="s">
        <v>252</v>
      </c>
      <c r="C77" s="23" t="s">
        <v>128</v>
      </c>
      <c r="D77" s="83" t="s">
        <v>251</v>
      </c>
      <c r="E77" s="22"/>
      <c r="F77" s="22" t="s">
        <v>253</v>
      </c>
      <c r="G77" s="22">
        <v>368334.64</v>
      </c>
      <c r="H77" s="22" t="s">
        <v>125</v>
      </c>
      <c r="I77" s="261">
        <f>G77*0.22</f>
        <v>81033.620800000004</v>
      </c>
      <c r="J77" s="22" t="s">
        <v>125</v>
      </c>
      <c r="K77" s="261">
        <f>G77*1.22</f>
        <v>449368.26079999999</v>
      </c>
      <c r="L77" s="22"/>
      <c r="M77" s="23">
        <v>39.091000000000001</v>
      </c>
      <c r="N77" s="261">
        <f t="shared" si="1"/>
        <v>0</v>
      </c>
      <c r="O77" s="261">
        <f t="shared" si="34"/>
        <v>0</v>
      </c>
      <c r="P77" s="259" t="s">
        <v>125</v>
      </c>
      <c r="Q77" s="262">
        <f t="shared" si="3"/>
        <v>0</v>
      </c>
      <c r="R77" s="262">
        <f t="shared" si="9"/>
        <v>0</v>
      </c>
      <c r="T77" s="22"/>
    </row>
    <row r="78" spans="1:20" ht="13">
      <c r="A78" s="23" t="s">
        <v>150</v>
      </c>
      <c r="B78" s="260" t="s">
        <v>150</v>
      </c>
      <c r="C78" s="23" t="s">
        <v>181</v>
      </c>
      <c r="D78" s="83" t="s">
        <v>251</v>
      </c>
      <c r="E78" s="22"/>
      <c r="F78" s="22" t="s">
        <v>182</v>
      </c>
      <c r="G78" s="22"/>
      <c r="H78" s="22" t="s">
        <v>125</v>
      </c>
      <c r="I78" s="261">
        <v>0</v>
      </c>
      <c r="J78" s="22"/>
      <c r="K78" s="261"/>
      <c r="L78" s="22">
        <v>13500</v>
      </c>
      <c r="M78" s="23">
        <v>39.091000000000001</v>
      </c>
      <c r="N78" s="261">
        <f t="shared" si="1"/>
        <v>527728.5</v>
      </c>
      <c r="O78" s="261">
        <f>L78</f>
        <v>13500</v>
      </c>
      <c r="P78" s="259" t="s">
        <v>125</v>
      </c>
      <c r="Q78" s="262">
        <f t="shared" si="3"/>
        <v>0</v>
      </c>
      <c r="R78" s="262">
        <f t="shared" si="9"/>
        <v>0</v>
      </c>
      <c r="T78" s="22"/>
    </row>
    <row r="79" spans="1:20" ht="13">
      <c r="A79" s="23" t="s">
        <v>254</v>
      </c>
      <c r="B79" s="260" t="s">
        <v>254</v>
      </c>
      <c r="C79" s="23" t="s">
        <v>133</v>
      </c>
      <c r="D79" s="274">
        <v>45242</v>
      </c>
      <c r="E79" s="22"/>
      <c r="F79" s="22" t="s">
        <v>255</v>
      </c>
      <c r="G79" s="22"/>
      <c r="H79" s="22" t="s">
        <v>125</v>
      </c>
      <c r="I79" s="261">
        <f t="shared" ref="I79:I80" si="35">N79*0.22</f>
        <v>83018.495999999999</v>
      </c>
      <c r="J79" s="22" t="s">
        <v>125</v>
      </c>
      <c r="K79" s="261"/>
      <c r="L79" s="22">
        <v>9600</v>
      </c>
      <c r="M79" s="23">
        <v>39.308</v>
      </c>
      <c r="N79" s="261">
        <f t="shared" si="1"/>
        <v>377356.79999999999</v>
      </c>
      <c r="O79" s="261">
        <f t="shared" ref="O79:O81" si="36">L79*1.22</f>
        <v>11712</v>
      </c>
      <c r="P79" s="259" t="s">
        <v>125</v>
      </c>
      <c r="Q79" s="262">
        <f t="shared" si="3"/>
        <v>0</v>
      </c>
      <c r="R79" s="262">
        <f t="shared" si="9"/>
        <v>0</v>
      </c>
      <c r="T79" s="22"/>
    </row>
    <row r="80" spans="1:20" ht="13">
      <c r="A80" s="23" t="s">
        <v>256</v>
      </c>
      <c r="B80" s="260" t="s">
        <v>256</v>
      </c>
      <c r="C80" s="23" t="s">
        <v>122</v>
      </c>
      <c r="D80" s="83" t="s">
        <v>57</v>
      </c>
      <c r="E80" s="22"/>
      <c r="F80" s="22" t="s">
        <v>142</v>
      </c>
      <c r="G80" s="22"/>
      <c r="H80" s="22" t="s">
        <v>125</v>
      </c>
      <c r="I80" s="261">
        <f t="shared" si="35"/>
        <v>33051.633999999998</v>
      </c>
      <c r="J80" s="22" t="s">
        <v>125</v>
      </c>
      <c r="K80" s="261"/>
      <c r="L80" s="22">
        <v>3850</v>
      </c>
      <c r="M80" s="23">
        <v>39.021999999999998</v>
      </c>
      <c r="N80" s="261">
        <f t="shared" si="1"/>
        <v>150234.69999999998</v>
      </c>
      <c r="O80" s="261">
        <f t="shared" si="36"/>
        <v>4697</v>
      </c>
      <c r="P80" s="259" t="s">
        <v>125</v>
      </c>
      <c r="Q80" s="262">
        <f t="shared" si="3"/>
        <v>0</v>
      </c>
      <c r="R80" s="262">
        <f t="shared" si="9"/>
        <v>0</v>
      </c>
      <c r="T80" s="22">
        <v>3850</v>
      </c>
    </row>
    <row r="81" spans="1:35" ht="13">
      <c r="A81" s="23" t="s">
        <v>257</v>
      </c>
      <c r="B81" s="260" t="s">
        <v>257</v>
      </c>
      <c r="C81" s="23" t="s">
        <v>128</v>
      </c>
      <c r="D81" s="83" t="s">
        <v>57</v>
      </c>
      <c r="E81" s="22"/>
      <c r="F81" s="22" t="s">
        <v>258</v>
      </c>
      <c r="G81" s="22">
        <v>241214.81</v>
      </c>
      <c r="H81" s="22" t="s">
        <v>125</v>
      </c>
      <c r="I81" s="261">
        <f>G81*0.22</f>
        <v>53067.258199999997</v>
      </c>
      <c r="J81" s="22" t="s">
        <v>125</v>
      </c>
      <c r="K81" s="261">
        <f>G81*1.22</f>
        <v>294282.06819999998</v>
      </c>
      <c r="L81" s="22"/>
      <c r="M81" s="23">
        <v>39.021999999999998</v>
      </c>
      <c r="N81" s="261">
        <f t="shared" si="1"/>
        <v>0</v>
      </c>
      <c r="O81" s="261">
        <f t="shared" si="36"/>
        <v>0</v>
      </c>
      <c r="P81" s="259" t="s">
        <v>125</v>
      </c>
      <c r="Q81" s="262">
        <f t="shared" si="3"/>
        <v>0</v>
      </c>
      <c r="R81" s="262">
        <f t="shared" si="9"/>
        <v>0</v>
      </c>
      <c r="T81" s="22"/>
    </row>
    <row r="82" spans="1:35" ht="13">
      <c r="A82" s="23" t="s">
        <v>152</v>
      </c>
      <c r="B82" s="260" t="s">
        <v>152</v>
      </c>
      <c r="C82" s="23" t="s">
        <v>181</v>
      </c>
      <c r="D82" s="83" t="s">
        <v>57</v>
      </c>
      <c r="E82" s="22"/>
      <c r="F82" s="22" t="s">
        <v>182</v>
      </c>
      <c r="G82" s="22"/>
      <c r="H82" s="22" t="s">
        <v>125</v>
      </c>
      <c r="I82" s="261">
        <v>0</v>
      </c>
      <c r="J82" s="22"/>
      <c r="K82" s="261"/>
      <c r="L82" s="22">
        <v>12450</v>
      </c>
      <c r="M82" s="23">
        <v>39.021999999999998</v>
      </c>
      <c r="N82" s="261">
        <f t="shared" si="1"/>
        <v>485823.89999999997</v>
      </c>
      <c r="O82" s="261">
        <f>L82</f>
        <v>12450</v>
      </c>
      <c r="P82" s="259" t="s">
        <v>125</v>
      </c>
      <c r="Q82" s="262">
        <f t="shared" si="3"/>
        <v>0</v>
      </c>
      <c r="R82" s="262">
        <f t="shared" si="9"/>
        <v>0</v>
      </c>
      <c r="T82" s="22"/>
    </row>
    <row r="83" spans="1:35" ht="13">
      <c r="A83" s="105" t="s">
        <v>259</v>
      </c>
      <c r="B83" s="275" t="s">
        <v>259</v>
      </c>
      <c r="C83" s="105" t="s">
        <v>128</v>
      </c>
      <c r="D83" s="276" t="s">
        <v>260</v>
      </c>
      <c r="E83" s="106"/>
      <c r="F83" s="106"/>
      <c r="G83" s="106">
        <v>248628.29</v>
      </c>
      <c r="H83" s="106" t="s">
        <v>125</v>
      </c>
      <c r="I83" s="277">
        <f>G83*0.22</f>
        <v>54698.2238</v>
      </c>
      <c r="J83" s="106" t="s">
        <v>125</v>
      </c>
      <c r="K83" s="277">
        <f>G83*1.22</f>
        <v>303326.51380000002</v>
      </c>
      <c r="L83" s="106"/>
      <c r="M83" s="105">
        <v>39.170999999999999</v>
      </c>
      <c r="N83" s="277">
        <f t="shared" si="1"/>
        <v>0</v>
      </c>
      <c r="O83" s="277">
        <f t="shared" ref="O83:O85" si="37">L83*1.22</f>
        <v>0</v>
      </c>
      <c r="P83" s="278" t="s">
        <v>125</v>
      </c>
      <c r="Q83" s="279">
        <f t="shared" si="3"/>
        <v>0</v>
      </c>
      <c r="R83" s="279">
        <f t="shared" si="9"/>
        <v>0</v>
      </c>
      <c r="S83" s="105"/>
      <c r="T83" s="106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</row>
    <row r="84" spans="1:35" ht="13">
      <c r="A84" s="23" t="s">
        <v>261</v>
      </c>
      <c r="B84" s="260" t="s">
        <v>261</v>
      </c>
      <c r="C84" s="23" t="s">
        <v>122</v>
      </c>
      <c r="D84" s="83" t="s">
        <v>260</v>
      </c>
      <c r="E84" s="22"/>
      <c r="F84" s="22"/>
      <c r="G84" s="22"/>
      <c r="H84" s="22" t="s">
        <v>125</v>
      </c>
      <c r="I84" s="261">
        <f t="shared" ref="I84:I85" si="38">N84*0.22</f>
        <v>34470.480000000003</v>
      </c>
      <c r="J84" s="22" t="s">
        <v>125</v>
      </c>
      <c r="K84" s="261"/>
      <c r="L84" s="22">
        <v>4000</v>
      </c>
      <c r="M84" s="23">
        <v>39.170999999999999</v>
      </c>
      <c r="N84" s="261">
        <f t="shared" si="1"/>
        <v>156684</v>
      </c>
      <c r="O84" s="261">
        <f t="shared" si="37"/>
        <v>4880</v>
      </c>
      <c r="P84" s="259" t="s">
        <v>125</v>
      </c>
      <c r="Q84" s="262">
        <f t="shared" si="3"/>
        <v>0</v>
      </c>
      <c r="R84" s="262">
        <f t="shared" si="9"/>
        <v>0</v>
      </c>
      <c r="T84" s="22"/>
    </row>
    <row r="85" spans="1:35" ht="13">
      <c r="A85" s="23" t="s">
        <v>262</v>
      </c>
      <c r="B85" s="260" t="s">
        <v>262</v>
      </c>
      <c r="C85" s="23" t="s">
        <v>133</v>
      </c>
      <c r="D85" s="83" t="s">
        <v>260</v>
      </c>
      <c r="E85" s="22"/>
      <c r="F85" s="22" t="s">
        <v>263</v>
      </c>
      <c r="G85" s="22"/>
      <c r="H85" s="22" t="s">
        <v>125</v>
      </c>
      <c r="I85" s="261">
        <f t="shared" si="38"/>
        <v>68940.960000000006</v>
      </c>
      <c r="J85" s="22" t="s">
        <v>125</v>
      </c>
      <c r="K85" s="261"/>
      <c r="L85" s="22">
        <v>8000</v>
      </c>
      <c r="M85" s="23">
        <v>39.170999999999999</v>
      </c>
      <c r="N85" s="261">
        <f t="shared" si="1"/>
        <v>313368</v>
      </c>
      <c r="O85" s="261">
        <f t="shared" si="37"/>
        <v>9760</v>
      </c>
      <c r="P85" s="259" t="s">
        <v>125</v>
      </c>
      <c r="Q85" s="262">
        <f t="shared" si="3"/>
        <v>0</v>
      </c>
      <c r="R85" s="262">
        <f t="shared" si="9"/>
        <v>0</v>
      </c>
      <c r="T85" s="22"/>
    </row>
    <row r="86" spans="1:35" ht="13">
      <c r="A86" s="23" t="s">
        <v>156</v>
      </c>
      <c r="B86" s="260" t="s">
        <v>156</v>
      </c>
      <c r="C86" s="23" t="s">
        <v>181</v>
      </c>
      <c r="D86" s="83" t="s">
        <v>260</v>
      </c>
      <c r="E86" s="22"/>
      <c r="F86" s="22" t="s">
        <v>182</v>
      </c>
      <c r="G86" s="22"/>
      <c r="H86" s="22" t="s">
        <v>125</v>
      </c>
      <c r="I86" s="261">
        <v>0</v>
      </c>
      <c r="J86" s="22"/>
      <c r="K86" s="261"/>
      <c r="L86" s="22">
        <v>11814</v>
      </c>
      <c r="M86" s="23">
        <v>39.170999999999999</v>
      </c>
      <c r="N86" s="261">
        <f t="shared" si="1"/>
        <v>462766.19400000002</v>
      </c>
      <c r="O86" s="261">
        <f>L86</f>
        <v>11814</v>
      </c>
      <c r="P86" s="259" t="s">
        <v>125</v>
      </c>
      <c r="Q86" s="262">
        <f t="shared" si="3"/>
        <v>0</v>
      </c>
      <c r="R86" s="262">
        <f t="shared" si="9"/>
        <v>0</v>
      </c>
      <c r="T86" s="22"/>
    </row>
    <row r="87" spans="1:35" ht="13">
      <c r="A87" s="23" t="s">
        <v>264</v>
      </c>
      <c r="B87" s="260" t="s">
        <v>264</v>
      </c>
      <c r="C87" s="23" t="s">
        <v>128</v>
      </c>
      <c r="D87" s="83" t="s">
        <v>265</v>
      </c>
      <c r="E87" s="22"/>
      <c r="F87" s="22" t="s">
        <v>266</v>
      </c>
      <c r="G87" s="22">
        <v>242966.97</v>
      </c>
      <c r="H87" s="23" t="s">
        <v>125</v>
      </c>
      <c r="I87" s="261">
        <f>G87*0.22</f>
        <v>53452.733399999997</v>
      </c>
      <c r="J87" s="22" t="s">
        <v>125</v>
      </c>
      <c r="K87" s="261">
        <f>G87*1.22</f>
        <v>296419.7034</v>
      </c>
      <c r="L87" s="22"/>
      <c r="M87" s="23">
        <v>39.128999999999998</v>
      </c>
      <c r="N87" s="261">
        <f t="shared" si="1"/>
        <v>0</v>
      </c>
      <c r="O87" s="261">
        <f t="shared" ref="O87:O88" si="39">L87*1.22</f>
        <v>0</v>
      </c>
      <c r="P87" s="259" t="s">
        <v>125</v>
      </c>
      <c r="Q87" s="262">
        <f t="shared" si="3"/>
        <v>0</v>
      </c>
      <c r="R87" s="262">
        <f>IF(AND(G87&lt;&gt;"S", L87 &gt; 0),O87-T87, 0)</f>
        <v>0</v>
      </c>
      <c r="T87" s="22"/>
    </row>
    <row r="88" spans="1:35" ht="13">
      <c r="A88" s="23" t="s">
        <v>267</v>
      </c>
      <c r="B88" s="260" t="s">
        <v>267</v>
      </c>
      <c r="C88" s="23" t="s">
        <v>122</v>
      </c>
      <c r="D88" s="83" t="s">
        <v>265</v>
      </c>
      <c r="E88" s="22"/>
      <c r="F88" s="22" t="s">
        <v>268</v>
      </c>
      <c r="G88" s="22"/>
      <c r="H88" s="22" t="s">
        <v>125</v>
      </c>
      <c r="I88" s="261">
        <f>N88*0.22</f>
        <v>13988.6175</v>
      </c>
      <c r="J88" s="22" t="s">
        <v>125</v>
      </c>
      <c r="K88" s="261"/>
      <c r="L88" s="22">
        <v>1625</v>
      </c>
      <c r="M88" s="23">
        <v>39.128999999999998</v>
      </c>
      <c r="N88" s="261">
        <f t="shared" si="1"/>
        <v>63584.625</v>
      </c>
      <c r="O88" s="261">
        <f t="shared" si="39"/>
        <v>1982.5</v>
      </c>
      <c r="P88" s="259" t="s">
        <v>125</v>
      </c>
      <c r="Q88" s="262">
        <f t="shared" si="3"/>
        <v>0</v>
      </c>
      <c r="R88" s="262">
        <f t="shared" ref="R88:R90" si="40">IF(AND(H88&lt;&gt;"S", L88 &gt; 0),O88-T88, 0)</f>
        <v>0</v>
      </c>
      <c r="T88" s="22"/>
    </row>
    <row r="89" spans="1:35" ht="13">
      <c r="A89" s="23" t="s">
        <v>157</v>
      </c>
      <c r="B89" s="260" t="s">
        <v>157</v>
      </c>
      <c r="C89" s="23" t="s">
        <v>181</v>
      </c>
      <c r="D89" s="83" t="s">
        <v>265</v>
      </c>
      <c r="E89" s="22"/>
      <c r="F89" s="22" t="s">
        <v>269</v>
      </c>
      <c r="G89" s="22"/>
      <c r="H89" s="22" t="s">
        <v>125</v>
      </c>
      <c r="I89" s="261">
        <v>0</v>
      </c>
      <c r="J89" s="22"/>
      <c r="K89" s="261"/>
      <c r="L89" s="22">
        <v>10100</v>
      </c>
      <c r="M89" s="23">
        <v>39.128999999999998</v>
      </c>
      <c r="N89" s="261">
        <f t="shared" si="1"/>
        <v>395202.89999999997</v>
      </c>
      <c r="O89" s="261">
        <f t="shared" ref="O89:O90" si="41">L89</f>
        <v>10100</v>
      </c>
      <c r="P89" s="259" t="s">
        <v>125</v>
      </c>
      <c r="Q89" s="262">
        <f t="shared" si="3"/>
        <v>0</v>
      </c>
      <c r="R89" s="262">
        <f t="shared" si="40"/>
        <v>0</v>
      </c>
      <c r="T89" s="22"/>
    </row>
    <row r="90" spans="1:35" ht="13">
      <c r="A90" s="23" t="s">
        <v>161</v>
      </c>
      <c r="B90" s="260" t="s">
        <v>161</v>
      </c>
      <c r="C90" s="23" t="s">
        <v>181</v>
      </c>
      <c r="D90" s="83" t="s">
        <v>270</v>
      </c>
      <c r="E90" s="22"/>
      <c r="F90" s="22"/>
      <c r="G90" s="22"/>
      <c r="H90" s="22" t="s">
        <v>125</v>
      </c>
      <c r="I90" s="261">
        <v>0</v>
      </c>
      <c r="J90" s="22"/>
      <c r="K90" s="261"/>
      <c r="L90" s="22">
        <v>10717.48</v>
      </c>
      <c r="M90" s="23">
        <v>37.552</v>
      </c>
      <c r="N90" s="261">
        <f t="shared" si="1"/>
        <v>402462.80895999999</v>
      </c>
      <c r="O90" s="261">
        <f t="shared" si="41"/>
        <v>10717.48</v>
      </c>
      <c r="P90" s="259" t="s">
        <v>125</v>
      </c>
      <c r="Q90" s="262">
        <f t="shared" si="3"/>
        <v>0</v>
      </c>
      <c r="R90" s="262">
        <f t="shared" si="40"/>
        <v>0</v>
      </c>
      <c r="T90" s="22"/>
    </row>
    <row r="91" spans="1:35" ht="13">
      <c r="A91" s="23" t="s">
        <v>271</v>
      </c>
      <c r="B91" s="260" t="s">
        <v>271</v>
      </c>
      <c r="C91" s="23" t="s">
        <v>128</v>
      </c>
      <c r="D91" s="83" t="s">
        <v>270</v>
      </c>
      <c r="E91" s="22"/>
      <c r="F91" s="22"/>
      <c r="G91" s="22">
        <v>358176.66</v>
      </c>
      <c r="H91" s="22" t="s">
        <v>125</v>
      </c>
      <c r="I91" s="261">
        <f>G91*0.22</f>
        <v>78798.8652</v>
      </c>
      <c r="J91" s="22" t="s">
        <v>125</v>
      </c>
      <c r="K91" s="261">
        <f>G91*1.22</f>
        <v>436975.52519999997</v>
      </c>
      <c r="L91" s="22"/>
      <c r="M91" s="23">
        <v>37.552</v>
      </c>
      <c r="N91" s="261">
        <f t="shared" si="1"/>
        <v>0</v>
      </c>
      <c r="O91" s="261">
        <f t="shared" ref="O91:O92" si="42">L91*1.22</f>
        <v>0</v>
      </c>
      <c r="P91" s="259" t="s">
        <v>125</v>
      </c>
      <c r="Q91" s="262">
        <f t="shared" si="3"/>
        <v>0</v>
      </c>
      <c r="R91" s="262"/>
      <c r="T91" s="22"/>
    </row>
    <row r="92" spans="1:35" ht="13">
      <c r="A92" s="23" t="s">
        <v>272</v>
      </c>
      <c r="B92" s="260" t="s">
        <v>272</v>
      </c>
      <c r="C92" s="23" t="s">
        <v>122</v>
      </c>
      <c r="D92" s="83" t="s">
        <v>270</v>
      </c>
      <c r="E92" s="22"/>
      <c r="F92" s="22"/>
      <c r="G92" s="22"/>
      <c r="H92" s="22" t="s">
        <v>125</v>
      </c>
      <c r="I92" s="261">
        <f>N92*0.22</f>
        <v>28398.7</v>
      </c>
      <c r="J92" s="22" t="s">
        <v>125</v>
      </c>
      <c r="K92" s="261"/>
      <c r="L92" s="22">
        <v>3437.5</v>
      </c>
      <c r="M92" s="23">
        <v>37.552</v>
      </c>
      <c r="N92" s="261">
        <f t="shared" si="1"/>
        <v>129085</v>
      </c>
      <c r="O92" s="261">
        <f t="shared" si="42"/>
        <v>4193.75</v>
      </c>
      <c r="P92" s="259" t="s">
        <v>125</v>
      </c>
      <c r="Q92" s="262">
        <f t="shared" si="3"/>
        <v>0</v>
      </c>
      <c r="R92" s="262">
        <f t="shared" ref="R92:R198" si="43">IF(AND(H92&lt;&gt;"S", L92 &gt; 0),O92-T92, 0)</f>
        <v>0</v>
      </c>
      <c r="T92" s="22"/>
    </row>
    <row r="93" spans="1:35" ht="13">
      <c r="A93" s="23" t="s">
        <v>163</v>
      </c>
      <c r="B93" s="260" t="s">
        <v>163</v>
      </c>
      <c r="C93" s="23" t="s">
        <v>181</v>
      </c>
      <c r="D93" s="83" t="s">
        <v>273</v>
      </c>
      <c r="E93" s="22"/>
      <c r="F93" s="22"/>
      <c r="G93" s="22"/>
      <c r="H93" s="22" t="s">
        <v>125</v>
      </c>
      <c r="I93" s="261">
        <v>0</v>
      </c>
      <c r="J93" s="22"/>
      <c r="K93" s="261"/>
      <c r="L93" s="22">
        <v>7032</v>
      </c>
      <c r="M93" s="23">
        <v>38.298000000000002</v>
      </c>
      <c r="N93" s="261">
        <f t="shared" si="1"/>
        <v>269311.53600000002</v>
      </c>
      <c r="O93" s="261">
        <f>L93</f>
        <v>7032</v>
      </c>
      <c r="P93" s="259" t="s">
        <v>125</v>
      </c>
      <c r="Q93" s="262">
        <f t="shared" si="3"/>
        <v>0</v>
      </c>
      <c r="R93" s="262">
        <f t="shared" si="43"/>
        <v>0</v>
      </c>
      <c r="T93" s="22"/>
    </row>
    <row r="94" spans="1:35" ht="13">
      <c r="A94" s="23" t="s">
        <v>274</v>
      </c>
      <c r="B94" s="260" t="s">
        <v>274</v>
      </c>
      <c r="C94" s="23" t="s">
        <v>122</v>
      </c>
      <c r="D94" s="83" t="s">
        <v>273</v>
      </c>
      <c r="E94" s="22"/>
      <c r="F94" s="22" t="s">
        <v>142</v>
      </c>
      <c r="G94" s="22"/>
      <c r="H94" s="22" t="s">
        <v>125</v>
      </c>
      <c r="I94" s="261">
        <f>N94*0.22</f>
        <v>32754.3645</v>
      </c>
      <c r="J94" s="22" t="s">
        <v>125</v>
      </c>
      <c r="K94" s="261"/>
      <c r="L94" s="22">
        <v>3887.5</v>
      </c>
      <c r="M94" s="23">
        <v>38.298000000000002</v>
      </c>
      <c r="N94" s="261">
        <f t="shared" si="1"/>
        <v>148883.47500000001</v>
      </c>
      <c r="O94" s="261">
        <f>L94*1.22</f>
        <v>4742.75</v>
      </c>
      <c r="P94" s="259" t="s">
        <v>125</v>
      </c>
      <c r="Q94" s="262">
        <f t="shared" si="3"/>
        <v>0</v>
      </c>
      <c r="R94" s="262">
        <f t="shared" si="43"/>
        <v>0</v>
      </c>
      <c r="T94" s="22"/>
    </row>
    <row r="95" spans="1:35" ht="13">
      <c r="A95" s="23" t="s">
        <v>275</v>
      </c>
      <c r="B95" s="260" t="s">
        <v>275</v>
      </c>
      <c r="C95" s="23" t="s">
        <v>128</v>
      </c>
      <c r="D95" s="83" t="s">
        <v>273</v>
      </c>
      <c r="E95" s="22"/>
      <c r="F95" s="22" t="s">
        <v>266</v>
      </c>
      <c r="G95" s="22">
        <v>320629.94</v>
      </c>
      <c r="H95" s="22" t="s">
        <v>125</v>
      </c>
      <c r="I95" s="261">
        <f t="shared" ref="I95:I96" si="44">G95*0.22</f>
        <v>70538.586800000005</v>
      </c>
      <c r="J95" s="22" t="s">
        <v>125</v>
      </c>
      <c r="K95" s="261">
        <f t="shared" ref="K95:K96" si="45">G95*1.22</f>
        <v>391168.52679999999</v>
      </c>
      <c r="L95" s="22"/>
      <c r="M95" s="23">
        <v>38.298000000000002</v>
      </c>
      <c r="N95" s="261">
        <f t="shared" si="1"/>
        <v>0</v>
      </c>
      <c r="O95" s="261">
        <f t="shared" ref="O95:O96" si="46">L95</f>
        <v>0</v>
      </c>
      <c r="P95" s="259" t="s">
        <v>125</v>
      </c>
      <c r="Q95" s="262">
        <f t="shared" si="3"/>
        <v>0</v>
      </c>
      <c r="R95" s="262">
        <f t="shared" si="43"/>
        <v>0</v>
      </c>
      <c r="T95" s="22"/>
    </row>
    <row r="96" spans="1:35" ht="13">
      <c r="A96" s="23" t="s">
        <v>276</v>
      </c>
      <c r="B96" s="260" t="s">
        <v>276</v>
      </c>
      <c r="C96" s="23" t="s">
        <v>128</v>
      </c>
      <c r="D96" s="83" t="s">
        <v>277</v>
      </c>
      <c r="E96" s="22"/>
      <c r="F96" s="22" t="s">
        <v>266</v>
      </c>
      <c r="G96" s="22">
        <v>354972.65</v>
      </c>
      <c r="H96" s="22" t="s">
        <v>125</v>
      </c>
      <c r="I96" s="261">
        <f t="shared" si="44"/>
        <v>78093.983000000007</v>
      </c>
      <c r="J96" s="22" t="s">
        <v>125</v>
      </c>
      <c r="K96" s="261">
        <f t="shared" si="45"/>
        <v>433066.63300000003</v>
      </c>
      <c r="L96" s="22"/>
      <c r="M96" s="23">
        <v>38.709000000000003</v>
      </c>
      <c r="N96" s="261">
        <f t="shared" si="1"/>
        <v>0</v>
      </c>
      <c r="O96" s="261">
        <f t="shared" si="46"/>
        <v>0</v>
      </c>
      <c r="P96" s="259" t="s">
        <v>125</v>
      </c>
      <c r="Q96" s="262">
        <f t="shared" si="3"/>
        <v>0</v>
      </c>
      <c r="R96" s="262">
        <f t="shared" si="43"/>
        <v>0</v>
      </c>
      <c r="T96" s="22"/>
    </row>
    <row r="97" spans="1:20" ht="13">
      <c r="A97" s="23" t="s">
        <v>278</v>
      </c>
      <c r="B97" s="260" t="s">
        <v>278</v>
      </c>
      <c r="C97" s="23" t="s">
        <v>122</v>
      </c>
      <c r="D97" s="83" t="s">
        <v>277</v>
      </c>
      <c r="E97" s="22"/>
      <c r="F97" s="22" t="s">
        <v>142</v>
      </c>
      <c r="G97" s="22"/>
      <c r="H97" s="22" t="s">
        <v>125</v>
      </c>
      <c r="I97" s="261">
        <f>N97*0.22</f>
        <v>28388.019330000003</v>
      </c>
      <c r="J97" s="22" t="s">
        <v>125</v>
      </c>
      <c r="K97" s="261"/>
      <c r="L97" s="22">
        <v>3333.5</v>
      </c>
      <c r="M97" s="23">
        <v>38.709000000000003</v>
      </c>
      <c r="N97" s="261">
        <f t="shared" si="1"/>
        <v>129036.45150000001</v>
      </c>
      <c r="O97" s="261">
        <f>L97*1.22</f>
        <v>4066.87</v>
      </c>
      <c r="P97" s="259" t="s">
        <v>125</v>
      </c>
      <c r="Q97" s="262">
        <f t="shared" si="3"/>
        <v>0</v>
      </c>
      <c r="R97" s="262">
        <f t="shared" si="43"/>
        <v>0</v>
      </c>
      <c r="T97" s="22"/>
    </row>
    <row r="98" spans="1:20" ht="13">
      <c r="A98" s="23" t="s">
        <v>164</v>
      </c>
      <c r="B98" s="260" t="s">
        <v>164</v>
      </c>
      <c r="C98" s="23" t="s">
        <v>181</v>
      </c>
      <c r="D98" s="83" t="s">
        <v>277</v>
      </c>
      <c r="E98" s="22"/>
      <c r="F98" s="22" t="s">
        <v>279</v>
      </c>
      <c r="G98" s="22"/>
      <c r="H98" s="22" t="s">
        <v>125</v>
      </c>
      <c r="I98" s="261">
        <v>0</v>
      </c>
      <c r="J98" s="22"/>
      <c r="K98" s="261"/>
      <c r="L98" s="22">
        <v>6094.4</v>
      </c>
      <c r="M98" s="23">
        <v>38.709000000000003</v>
      </c>
      <c r="N98" s="261">
        <f t="shared" si="1"/>
        <v>235908.12960000001</v>
      </c>
      <c r="O98" s="261">
        <f>L98</f>
        <v>6094.4</v>
      </c>
      <c r="P98" s="259" t="s">
        <v>125</v>
      </c>
      <c r="Q98" s="262">
        <f t="shared" si="3"/>
        <v>0</v>
      </c>
      <c r="R98" s="262">
        <f t="shared" si="43"/>
        <v>0</v>
      </c>
      <c r="T98" s="22"/>
    </row>
    <row r="99" spans="1:20" ht="13">
      <c r="A99" s="23" t="s">
        <v>280</v>
      </c>
      <c r="B99" s="260" t="s">
        <v>280</v>
      </c>
      <c r="C99" s="23" t="s">
        <v>133</v>
      </c>
      <c r="D99" s="107">
        <v>45418</v>
      </c>
      <c r="E99" s="22"/>
      <c r="F99" s="22" t="s">
        <v>281</v>
      </c>
      <c r="G99" s="22"/>
      <c r="H99" s="22" t="s">
        <v>125</v>
      </c>
      <c r="I99" s="261">
        <f t="shared" ref="I99:I101" si="47">N99*0.22</f>
        <v>82209.600000000006</v>
      </c>
      <c r="J99" s="22" t="s">
        <v>125</v>
      </c>
      <c r="K99" s="261"/>
      <c r="L99" s="22">
        <v>9600</v>
      </c>
      <c r="M99" s="23">
        <v>38.924999999999997</v>
      </c>
      <c r="N99" s="261">
        <f t="shared" si="1"/>
        <v>373680</v>
      </c>
      <c r="O99" s="261">
        <f t="shared" ref="O99:O101" si="48">L99*1.22</f>
        <v>11712</v>
      </c>
      <c r="P99" s="259" t="s">
        <v>125</v>
      </c>
      <c r="Q99" s="262">
        <f t="shared" si="3"/>
        <v>0</v>
      </c>
      <c r="R99" s="262">
        <f t="shared" si="43"/>
        <v>0</v>
      </c>
      <c r="T99" s="22"/>
    </row>
    <row r="100" spans="1:20" ht="13">
      <c r="A100" s="23" t="s">
        <v>282</v>
      </c>
      <c r="B100" s="260" t="s">
        <v>282</v>
      </c>
      <c r="C100" s="23" t="s">
        <v>133</v>
      </c>
      <c r="D100" s="83" t="s">
        <v>283</v>
      </c>
      <c r="E100" s="22"/>
      <c r="F100" s="22" t="s">
        <v>159</v>
      </c>
      <c r="G100" s="22"/>
      <c r="H100" s="22" t="s">
        <v>125</v>
      </c>
      <c r="I100" s="261">
        <f t="shared" si="47"/>
        <v>13877.248</v>
      </c>
      <c r="J100" s="22" t="s">
        <v>125</v>
      </c>
      <c r="K100" s="261"/>
      <c r="L100" s="22">
        <v>1600</v>
      </c>
      <c r="M100" s="23">
        <v>39.423999999999999</v>
      </c>
      <c r="N100" s="261">
        <f t="shared" si="1"/>
        <v>63078.400000000001</v>
      </c>
      <c r="O100" s="261">
        <f t="shared" si="48"/>
        <v>1952</v>
      </c>
      <c r="P100" s="259" t="s">
        <v>125</v>
      </c>
      <c r="Q100" s="262">
        <f t="shared" si="3"/>
        <v>0</v>
      </c>
      <c r="R100" s="262">
        <f t="shared" si="43"/>
        <v>0</v>
      </c>
      <c r="T100" s="22"/>
    </row>
    <row r="101" spans="1:20" ht="13">
      <c r="A101" s="23" t="s">
        <v>284</v>
      </c>
      <c r="B101" s="260" t="s">
        <v>284</v>
      </c>
      <c r="C101" s="23" t="s">
        <v>122</v>
      </c>
      <c r="D101" s="83" t="s">
        <v>283</v>
      </c>
      <c r="E101" s="22"/>
      <c r="F101" s="22" t="s">
        <v>142</v>
      </c>
      <c r="G101" s="22"/>
      <c r="H101" s="22" t="s">
        <v>125</v>
      </c>
      <c r="I101" s="261">
        <f t="shared" si="47"/>
        <v>27862.911999999997</v>
      </c>
      <c r="J101" s="22" t="s">
        <v>125</v>
      </c>
      <c r="K101" s="261"/>
      <c r="L101" s="22">
        <v>3212.5</v>
      </c>
      <c r="M101" s="23">
        <v>39.423999999999999</v>
      </c>
      <c r="N101" s="261">
        <f t="shared" si="1"/>
        <v>126649.59999999999</v>
      </c>
      <c r="O101" s="261">
        <f t="shared" si="48"/>
        <v>3919.25</v>
      </c>
      <c r="P101" s="259" t="s">
        <v>125</v>
      </c>
      <c r="Q101" s="262">
        <f t="shared" si="3"/>
        <v>0</v>
      </c>
      <c r="R101" s="262">
        <f t="shared" si="43"/>
        <v>0</v>
      </c>
      <c r="T101" s="22">
        <v>3212.5</v>
      </c>
    </row>
    <row r="102" spans="1:20" ht="13">
      <c r="A102" s="23" t="s">
        <v>285</v>
      </c>
      <c r="B102" s="260" t="s">
        <v>285</v>
      </c>
      <c r="C102" s="23" t="s">
        <v>128</v>
      </c>
      <c r="D102" s="83" t="s">
        <v>283</v>
      </c>
      <c r="E102" s="22"/>
      <c r="F102" s="22"/>
      <c r="G102" s="22">
        <v>269453.89</v>
      </c>
      <c r="H102" s="22" t="s">
        <v>125</v>
      </c>
      <c r="I102" s="261">
        <f>G102*0.22</f>
        <v>59279.855800000005</v>
      </c>
      <c r="J102" s="22" t="s">
        <v>125</v>
      </c>
      <c r="K102" s="261">
        <f>G102*1.22</f>
        <v>328733.74580000003</v>
      </c>
      <c r="L102" s="22">
        <v>3212.5</v>
      </c>
      <c r="M102" s="23">
        <v>39.423999999999999</v>
      </c>
      <c r="N102" s="261"/>
      <c r="O102" s="261"/>
      <c r="P102" s="259" t="s">
        <v>125</v>
      </c>
      <c r="Q102" s="262">
        <f t="shared" si="3"/>
        <v>0</v>
      </c>
      <c r="R102" s="262">
        <f t="shared" si="43"/>
        <v>0</v>
      </c>
      <c r="T102" s="22"/>
    </row>
    <row r="103" spans="1:20" ht="13">
      <c r="A103" s="23" t="s">
        <v>166</v>
      </c>
      <c r="B103" s="260" t="s">
        <v>166</v>
      </c>
      <c r="C103" s="23" t="s">
        <v>181</v>
      </c>
      <c r="D103" s="83" t="s">
        <v>283</v>
      </c>
      <c r="E103" s="22"/>
      <c r="F103" s="22" t="s">
        <v>279</v>
      </c>
      <c r="G103" s="22"/>
      <c r="H103" s="22" t="s">
        <v>125</v>
      </c>
      <c r="I103" s="261">
        <v>0</v>
      </c>
      <c r="J103" s="22" t="s">
        <v>125</v>
      </c>
      <c r="K103" s="261"/>
      <c r="L103" s="22">
        <v>6360</v>
      </c>
      <c r="M103" s="23">
        <v>39.423999999999999</v>
      </c>
      <c r="N103" s="261">
        <f t="shared" ref="N103:N107" si="49">L103*M103</f>
        <v>250736.63999999998</v>
      </c>
      <c r="O103" s="261">
        <f>L103</f>
        <v>6360</v>
      </c>
      <c r="P103" s="259" t="s">
        <v>125</v>
      </c>
      <c r="Q103" s="262">
        <f t="shared" si="3"/>
        <v>0</v>
      </c>
      <c r="R103" s="262">
        <f t="shared" si="43"/>
        <v>0</v>
      </c>
      <c r="T103" s="22"/>
    </row>
    <row r="104" spans="1:20" ht="13">
      <c r="A104" s="23" t="s">
        <v>286</v>
      </c>
      <c r="B104" s="260" t="s">
        <v>286</v>
      </c>
      <c r="C104" s="23" t="s">
        <v>133</v>
      </c>
      <c r="D104" s="83" t="s">
        <v>287</v>
      </c>
      <c r="E104" s="22"/>
      <c r="F104" s="22" t="s">
        <v>288</v>
      </c>
      <c r="G104" s="22"/>
      <c r="H104" s="22" t="s">
        <v>125</v>
      </c>
      <c r="I104" s="261">
        <f t="shared" ref="I104:I107" si="50">N104*0.22</f>
        <v>10557.096</v>
      </c>
      <c r="J104" s="22" t="s">
        <v>125</v>
      </c>
      <c r="K104" s="261"/>
      <c r="L104" s="22">
        <v>1200</v>
      </c>
      <c r="M104" s="23">
        <v>39.988999999999997</v>
      </c>
      <c r="N104" s="261">
        <f t="shared" si="49"/>
        <v>47986.799999999996</v>
      </c>
      <c r="O104" s="261">
        <f t="shared" ref="O104:O107" si="51">L104*1.22</f>
        <v>1464</v>
      </c>
      <c r="P104" s="259" t="s">
        <v>125</v>
      </c>
      <c r="Q104" s="262">
        <f t="shared" si="3"/>
        <v>0</v>
      </c>
      <c r="R104" s="262">
        <f t="shared" si="43"/>
        <v>0</v>
      </c>
      <c r="T104" s="22"/>
    </row>
    <row r="105" spans="1:20" ht="13">
      <c r="A105" s="23" t="s">
        <v>289</v>
      </c>
      <c r="B105" s="260" t="s">
        <v>289</v>
      </c>
      <c r="C105" s="23" t="s">
        <v>133</v>
      </c>
      <c r="D105" s="83" t="s">
        <v>290</v>
      </c>
      <c r="E105" s="22"/>
      <c r="F105" s="22"/>
      <c r="G105" s="22"/>
      <c r="H105" s="22" t="s">
        <v>125</v>
      </c>
      <c r="I105" s="261">
        <f t="shared" si="50"/>
        <v>14179.263999999999</v>
      </c>
      <c r="J105" s="22" t="s">
        <v>125</v>
      </c>
      <c r="K105" s="261"/>
      <c r="L105" s="22">
        <v>1600</v>
      </c>
      <c r="M105" s="23">
        <v>40.281999999999996</v>
      </c>
      <c r="N105" s="261">
        <f t="shared" si="49"/>
        <v>64451.199999999997</v>
      </c>
      <c r="O105" s="261">
        <f t="shared" si="51"/>
        <v>1952</v>
      </c>
      <c r="P105" s="259" t="s">
        <v>125</v>
      </c>
      <c r="Q105" s="262">
        <f t="shared" si="3"/>
        <v>0</v>
      </c>
      <c r="R105" s="262">
        <f t="shared" si="43"/>
        <v>0</v>
      </c>
      <c r="T105" s="22"/>
    </row>
    <row r="106" spans="1:20" ht="13">
      <c r="A106" s="23" t="s">
        <v>291</v>
      </c>
      <c r="B106" s="260" t="s">
        <v>291</v>
      </c>
      <c r="C106" s="23" t="s">
        <v>133</v>
      </c>
      <c r="D106" s="83" t="s">
        <v>290</v>
      </c>
      <c r="E106" s="22"/>
      <c r="F106" s="22"/>
      <c r="G106" s="22"/>
      <c r="H106" s="22" t="s">
        <v>125</v>
      </c>
      <c r="I106" s="261">
        <f t="shared" si="50"/>
        <v>8161.9388399999989</v>
      </c>
      <c r="J106" s="22" t="s">
        <v>125</v>
      </c>
      <c r="K106" s="261"/>
      <c r="L106" s="22">
        <v>921</v>
      </c>
      <c r="M106" s="23">
        <v>40.281999999999996</v>
      </c>
      <c r="N106" s="261">
        <f t="shared" si="49"/>
        <v>37099.721999999994</v>
      </c>
      <c r="O106" s="261">
        <f t="shared" si="51"/>
        <v>1123.6199999999999</v>
      </c>
      <c r="P106" s="259" t="s">
        <v>125</v>
      </c>
      <c r="Q106" s="262">
        <f t="shared" si="3"/>
        <v>0</v>
      </c>
      <c r="R106" s="262">
        <f t="shared" si="43"/>
        <v>0</v>
      </c>
      <c r="T106" s="22"/>
    </row>
    <row r="107" spans="1:20" ht="13">
      <c r="A107" s="23" t="s">
        <v>292</v>
      </c>
      <c r="B107" s="260" t="s">
        <v>292</v>
      </c>
      <c r="C107" s="23" t="s">
        <v>122</v>
      </c>
      <c r="D107" s="83" t="s">
        <v>290</v>
      </c>
      <c r="E107" s="22"/>
      <c r="F107" s="22"/>
      <c r="G107" s="22"/>
      <c r="H107" s="22" t="s">
        <v>125</v>
      </c>
      <c r="I107" s="261">
        <f t="shared" si="50"/>
        <v>38992.975999999995</v>
      </c>
      <c r="J107" s="22" t="s">
        <v>125</v>
      </c>
      <c r="K107" s="261"/>
      <c r="L107" s="22">
        <v>4400</v>
      </c>
      <c r="M107" s="23">
        <v>40.281999999999996</v>
      </c>
      <c r="N107" s="261">
        <f t="shared" si="49"/>
        <v>177240.8</v>
      </c>
      <c r="O107" s="261">
        <f t="shared" si="51"/>
        <v>5368</v>
      </c>
      <c r="P107" s="259" t="s">
        <v>125</v>
      </c>
      <c r="Q107" s="262">
        <f t="shared" si="3"/>
        <v>0</v>
      </c>
      <c r="R107" s="262">
        <f t="shared" si="43"/>
        <v>0</v>
      </c>
      <c r="T107" s="22"/>
    </row>
    <row r="108" spans="1:20" ht="13">
      <c r="A108" s="23" t="s">
        <v>293</v>
      </c>
      <c r="B108" s="260" t="s">
        <v>293</v>
      </c>
      <c r="C108" s="23" t="s">
        <v>128</v>
      </c>
      <c r="D108" s="83" t="s">
        <v>290</v>
      </c>
      <c r="E108" s="22"/>
      <c r="F108" s="22"/>
      <c r="G108" s="22">
        <v>274870.75</v>
      </c>
      <c r="H108" s="22" t="s">
        <v>125</v>
      </c>
      <c r="I108" s="261">
        <f>G108*0.22</f>
        <v>60471.565000000002</v>
      </c>
      <c r="J108" s="22" t="s">
        <v>125</v>
      </c>
      <c r="K108" s="261">
        <f>G108*1.22</f>
        <v>335342.315</v>
      </c>
      <c r="L108" s="22"/>
      <c r="M108" s="23">
        <v>40.281999999999996</v>
      </c>
      <c r="N108" s="261"/>
      <c r="O108" s="261"/>
      <c r="P108" s="259" t="s">
        <v>125</v>
      </c>
      <c r="Q108" s="262">
        <f t="shared" si="3"/>
        <v>0</v>
      </c>
      <c r="R108" s="262">
        <f t="shared" si="43"/>
        <v>0</v>
      </c>
      <c r="T108" s="22"/>
    </row>
    <row r="109" spans="1:20" ht="13">
      <c r="A109" s="23" t="s">
        <v>167</v>
      </c>
      <c r="B109" s="260" t="s">
        <v>167</v>
      </c>
      <c r="C109" s="23" t="s">
        <v>181</v>
      </c>
      <c r="D109" s="83" t="s">
        <v>290</v>
      </c>
      <c r="E109" s="22"/>
      <c r="F109" s="22"/>
      <c r="G109" s="22"/>
      <c r="H109" s="22" t="s">
        <v>125</v>
      </c>
      <c r="I109" s="261">
        <v>0</v>
      </c>
      <c r="J109" s="22"/>
      <c r="K109" s="261"/>
      <c r="L109" s="22">
        <v>4240</v>
      </c>
      <c r="M109" s="23">
        <v>40.281999999999996</v>
      </c>
      <c r="N109" s="261">
        <f t="shared" ref="N109:N114" si="52">L109*M109</f>
        <v>170795.68</v>
      </c>
      <c r="O109" s="261">
        <f t="shared" ref="O109:O110" si="53">L109</f>
        <v>4240</v>
      </c>
      <c r="P109" s="259" t="s">
        <v>125</v>
      </c>
      <c r="Q109" s="262">
        <f t="shared" si="3"/>
        <v>0</v>
      </c>
      <c r="R109" s="262">
        <f t="shared" si="43"/>
        <v>0</v>
      </c>
      <c r="T109" s="22"/>
    </row>
    <row r="110" spans="1:20" ht="13">
      <c r="A110" s="23" t="s">
        <v>170</v>
      </c>
      <c r="B110" s="260" t="s">
        <v>170</v>
      </c>
      <c r="C110" s="23" t="s">
        <v>181</v>
      </c>
      <c r="D110" s="83" t="s">
        <v>294</v>
      </c>
      <c r="E110" s="22"/>
      <c r="F110" s="22"/>
      <c r="G110" s="22"/>
      <c r="H110" s="22" t="s">
        <v>125</v>
      </c>
      <c r="I110" s="261">
        <v>0</v>
      </c>
      <c r="J110" s="22"/>
      <c r="K110" s="261"/>
      <c r="L110" s="22">
        <v>6360</v>
      </c>
      <c r="M110" s="23">
        <v>40.335000000000001</v>
      </c>
      <c r="N110" s="261">
        <f t="shared" si="52"/>
        <v>256530.6</v>
      </c>
      <c r="O110" s="261">
        <f t="shared" si="53"/>
        <v>6360</v>
      </c>
      <c r="P110" s="259" t="s">
        <v>125</v>
      </c>
      <c r="Q110" s="262">
        <f t="shared" si="3"/>
        <v>0</v>
      </c>
      <c r="R110" s="262">
        <f t="shared" si="43"/>
        <v>0</v>
      </c>
      <c r="T110" s="22"/>
    </row>
    <row r="111" spans="1:20" ht="13">
      <c r="A111" s="23" t="s">
        <v>295</v>
      </c>
      <c r="B111" s="260" t="s">
        <v>295</v>
      </c>
      <c r="C111" s="23" t="s">
        <v>122</v>
      </c>
      <c r="D111" s="83" t="s">
        <v>294</v>
      </c>
      <c r="E111" s="22"/>
      <c r="F111" s="22" t="s">
        <v>142</v>
      </c>
      <c r="G111" s="22"/>
      <c r="H111" s="22" t="s">
        <v>125</v>
      </c>
      <c r="I111" s="261">
        <f t="shared" ref="I111:I114" si="54">N111*0.22</f>
        <v>33720.06</v>
      </c>
      <c r="J111" s="22" t="s">
        <v>125</v>
      </c>
      <c r="K111" s="261"/>
      <c r="L111" s="22">
        <v>3800</v>
      </c>
      <c r="M111" s="23">
        <v>40.335000000000001</v>
      </c>
      <c r="N111" s="261">
        <f t="shared" si="52"/>
        <v>153273</v>
      </c>
      <c r="O111" s="261">
        <f t="shared" ref="O111:O114" si="55">L111*1.22</f>
        <v>4636</v>
      </c>
      <c r="P111" s="259" t="s">
        <v>125</v>
      </c>
      <c r="Q111" s="262">
        <f t="shared" si="3"/>
        <v>0</v>
      </c>
      <c r="R111" s="262">
        <f t="shared" si="43"/>
        <v>0</v>
      </c>
      <c r="T111" s="22"/>
    </row>
    <row r="112" spans="1:20" ht="13">
      <c r="A112" s="23" t="s">
        <v>296</v>
      </c>
      <c r="B112" s="260" t="s">
        <v>296</v>
      </c>
      <c r="C112" s="23" t="s">
        <v>133</v>
      </c>
      <c r="D112" s="83" t="s">
        <v>294</v>
      </c>
      <c r="E112" s="22"/>
      <c r="F112" s="22" t="s">
        <v>159</v>
      </c>
      <c r="G112" s="22"/>
      <c r="H112" s="22" t="s">
        <v>125</v>
      </c>
      <c r="I112" s="261">
        <f t="shared" si="54"/>
        <v>14197.92</v>
      </c>
      <c r="J112" s="22" t="s">
        <v>125</v>
      </c>
      <c r="K112" s="261"/>
      <c r="L112" s="22">
        <v>1600</v>
      </c>
      <c r="M112" s="23">
        <v>40.335000000000001</v>
      </c>
      <c r="N112" s="261">
        <f t="shared" si="52"/>
        <v>64536</v>
      </c>
      <c r="O112" s="261">
        <f t="shared" si="55"/>
        <v>1952</v>
      </c>
      <c r="P112" s="259" t="s">
        <v>125</v>
      </c>
      <c r="Q112" s="262">
        <f t="shared" si="3"/>
        <v>0</v>
      </c>
      <c r="R112" s="262">
        <f t="shared" si="43"/>
        <v>0</v>
      </c>
      <c r="T112" s="22"/>
    </row>
    <row r="113" spans="1:20" ht="13">
      <c r="A113" s="23" t="s">
        <v>297</v>
      </c>
      <c r="B113" s="260" t="s">
        <v>297</v>
      </c>
      <c r="C113" s="23" t="s">
        <v>133</v>
      </c>
      <c r="D113" s="83" t="s">
        <v>294</v>
      </c>
      <c r="E113" s="22"/>
      <c r="F113" s="22" t="s">
        <v>298</v>
      </c>
      <c r="G113" s="22"/>
      <c r="H113" s="22" t="s">
        <v>125</v>
      </c>
      <c r="I113" s="261">
        <f t="shared" si="54"/>
        <v>5026.9510499999997</v>
      </c>
      <c r="J113" s="22" t="s">
        <v>125</v>
      </c>
      <c r="K113" s="261"/>
      <c r="L113" s="22">
        <v>566.5</v>
      </c>
      <c r="M113" s="23">
        <v>40.335000000000001</v>
      </c>
      <c r="N113" s="261">
        <f t="shared" si="52"/>
        <v>22849.7775</v>
      </c>
      <c r="O113" s="261">
        <f t="shared" si="55"/>
        <v>691.13</v>
      </c>
      <c r="P113" s="259" t="s">
        <v>125</v>
      </c>
      <c r="Q113" s="262">
        <f t="shared" si="3"/>
        <v>0</v>
      </c>
      <c r="R113" s="262">
        <f t="shared" si="43"/>
        <v>0</v>
      </c>
      <c r="T113" s="22"/>
    </row>
    <row r="114" spans="1:20" ht="13">
      <c r="A114" s="23" t="s">
        <v>299</v>
      </c>
      <c r="B114" s="260" t="s">
        <v>299</v>
      </c>
      <c r="C114" s="23" t="s">
        <v>133</v>
      </c>
      <c r="D114" s="83" t="s">
        <v>294</v>
      </c>
      <c r="E114" s="22"/>
      <c r="F114" s="22" t="s">
        <v>300</v>
      </c>
      <c r="G114" s="22"/>
      <c r="H114" s="22" t="s">
        <v>125</v>
      </c>
      <c r="I114" s="261">
        <f t="shared" si="54"/>
        <v>2883.9524999999999</v>
      </c>
      <c r="J114" s="22" t="s">
        <v>125</v>
      </c>
      <c r="K114" s="261"/>
      <c r="L114" s="22">
        <v>325</v>
      </c>
      <c r="M114" s="23">
        <v>40.335000000000001</v>
      </c>
      <c r="N114" s="261">
        <f t="shared" si="52"/>
        <v>13108.875</v>
      </c>
      <c r="O114" s="261">
        <f t="shared" si="55"/>
        <v>396.5</v>
      </c>
      <c r="P114" s="259" t="s">
        <v>125</v>
      </c>
      <c r="Q114" s="262">
        <f t="shared" si="3"/>
        <v>0</v>
      </c>
      <c r="R114" s="262">
        <f t="shared" si="43"/>
        <v>0</v>
      </c>
      <c r="T114" s="22"/>
    </row>
    <row r="115" spans="1:20" ht="13">
      <c r="A115" s="23" t="s">
        <v>301</v>
      </c>
      <c r="B115" s="260" t="s">
        <v>301</v>
      </c>
      <c r="C115" s="23" t="s">
        <v>128</v>
      </c>
      <c r="D115" s="83" t="s">
        <v>294</v>
      </c>
      <c r="E115" s="22"/>
      <c r="F115" s="22"/>
      <c r="G115" s="22">
        <v>273320.90999999997</v>
      </c>
      <c r="H115" s="22" t="s">
        <v>125</v>
      </c>
      <c r="I115" s="261">
        <f>G115*0.22</f>
        <v>60130.600199999993</v>
      </c>
      <c r="J115" s="22"/>
      <c r="K115" s="261">
        <f>G115*1.22</f>
        <v>333451.51019999996</v>
      </c>
      <c r="L115" s="22"/>
      <c r="M115" s="23">
        <v>40.335000000000001</v>
      </c>
      <c r="N115" s="261"/>
      <c r="O115" s="261"/>
      <c r="P115" s="259" t="s">
        <v>125</v>
      </c>
      <c r="Q115" s="262">
        <f t="shared" si="3"/>
        <v>0</v>
      </c>
      <c r="R115" s="262">
        <f t="shared" si="43"/>
        <v>0</v>
      </c>
      <c r="T115" s="22"/>
    </row>
    <row r="116" spans="1:20" ht="13">
      <c r="A116" s="23" t="s">
        <v>259</v>
      </c>
      <c r="B116" s="260" t="s">
        <v>259</v>
      </c>
      <c r="C116" s="23" t="s">
        <v>133</v>
      </c>
      <c r="D116" s="83" t="s">
        <v>294</v>
      </c>
      <c r="E116" s="22" t="s">
        <v>302</v>
      </c>
      <c r="F116" s="22" t="s">
        <v>297</v>
      </c>
      <c r="G116" s="22"/>
      <c r="H116" s="22" t="s">
        <v>125</v>
      </c>
      <c r="I116" s="261">
        <f t="shared" ref="I116:I119" si="56">N116*0.22</f>
        <v>-1180.2021</v>
      </c>
      <c r="J116" s="22" t="s">
        <v>125</v>
      </c>
      <c r="K116" s="261"/>
      <c r="L116" s="22">
        <v>-133</v>
      </c>
      <c r="M116" s="23">
        <v>40.335000000000001</v>
      </c>
      <c r="N116" s="261">
        <f t="shared" ref="N116:N123" si="57">L116*M116</f>
        <v>-5364.5550000000003</v>
      </c>
      <c r="O116" s="261">
        <f t="shared" ref="O116:O120" si="58">L116*1.22</f>
        <v>-162.26</v>
      </c>
      <c r="P116" s="259" t="s">
        <v>125</v>
      </c>
      <c r="Q116" s="262">
        <f t="shared" si="3"/>
        <v>0</v>
      </c>
      <c r="R116" s="262">
        <f t="shared" si="43"/>
        <v>0</v>
      </c>
      <c r="T116" s="22"/>
    </row>
    <row r="117" spans="1:20" ht="13">
      <c r="A117" s="23" t="s">
        <v>303</v>
      </c>
      <c r="B117" s="260" t="s">
        <v>303</v>
      </c>
      <c r="C117" s="23" t="s">
        <v>122</v>
      </c>
      <c r="D117" s="83" t="s">
        <v>304</v>
      </c>
      <c r="E117" s="22"/>
      <c r="F117" s="22"/>
      <c r="G117" s="22"/>
      <c r="H117" s="22" t="s">
        <v>125</v>
      </c>
      <c r="I117" s="261">
        <f t="shared" si="56"/>
        <v>26968.546000000002</v>
      </c>
      <c r="J117" s="22" t="s">
        <v>125</v>
      </c>
      <c r="K117" s="261"/>
      <c r="L117" s="22">
        <v>2950</v>
      </c>
      <c r="M117" s="23">
        <v>41.554000000000002</v>
      </c>
      <c r="N117" s="261">
        <f t="shared" si="57"/>
        <v>122584.3</v>
      </c>
      <c r="O117" s="261">
        <f t="shared" si="58"/>
        <v>3599</v>
      </c>
      <c r="P117" s="259" t="s">
        <v>125</v>
      </c>
      <c r="Q117" s="262">
        <f t="shared" si="3"/>
        <v>0</v>
      </c>
      <c r="R117" s="262">
        <f t="shared" si="43"/>
        <v>0</v>
      </c>
      <c r="T117" s="22"/>
    </row>
    <row r="118" spans="1:20" ht="13">
      <c r="A118" s="23" t="s">
        <v>305</v>
      </c>
      <c r="B118" s="260" t="s">
        <v>305</v>
      </c>
      <c r="C118" s="23" t="s">
        <v>133</v>
      </c>
      <c r="D118" s="83" t="s">
        <v>304</v>
      </c>
      <c r="E118" s="22"/>
      <c r="F118" s="22"/>
      <c r="G118" s="22"/>
      <c r="H118" s="22" t="s">
        <v>125</v>
      </c>
      <c r="I118" s="261">
        <f t="shared" si="56"/>
        <v>2971.1110000000003</v>
      </c>
      <c r="J118" s="22" t="s">
        <v>125</v>
      </c>
      <c r="K118" s="261"/>
      <c r="L118" s="22">
        <v>325</v>
      </c>
      <c r="M118" s="23">
        <v>41.554000000000002</v>
      </c>
      <c r="N118" s="261">
        <f t="shared" si="57"/>
        <v>13505.050000000001</v>
      </c>
      <c r="O118" s="261">
        <f t="shared" si="58"/>
        <v>396.5</v>
      </c>
      <c r="P118" s="259" t="s">
        <v>125</v>
      </c>
      <c r="Q118" s="262">
        <f t="shared" si="3"/>
        <v>0</v>
      </c>
      <c r="R118" s="262">
        <f t="shared" si="43"/>
        <v>0</v>
      </c>
      <c r="T118" s="22"/>
    </row>
    <row r="119" spans="1:20" ht="13">
      <c r="A119" s="23" t="s">
        <v>306</v>
      </c>
      <c r="B119" s="260" t="s">
        <v>306</v>
      </c>
      <c r="C119" s="23" t="s">
        <v>133</v>
      </c>
      <c r="D119" s="83" t="s">
        <v>304</v>
      </c>
      <c r="E119" s="22"/>
      <c r="F119" s="22"/>
      <c r="G119" s="22"/>
      <c r="H119" s="22" t="s">
        <v>125</v>
      </c>
      <c r="I119" s="261">
        <f t="shared" si="56"/>
        <v>14627.008000000002</v>
      </c>
      <c r="J119" s="22" t="s">
        <v>125</v>
      </c>
      <c r="K119" s="261"/>
      <c r="L119" s="22">
        <v>1600</v>
      </c>
      <c r="M119" s="23">
        <v>41.554000000000002</v>
      </c>
      <c r="N119" s="261">
        <f t="shared" si="57"/>
        <v>66486.400000000009</v>
      </c>
      <c r="O119" s="261">
        <f t="shared" si="58"/>
        <v>1952</v>
      </c>
      <c r="P119" s="259" t="s">
        <v>125</v>
      </c>
      <c r="Q119" s="262">
        <f t="shared" si="3"/>
        <v>0</v>
      </c>
      <c r="R119" s="262">
        <f t="shared" si="43"/>
        <v>0</v>
      </c>
      <c r="T119" s="22"/>
    </row>
    <row r="120" spans="1:20" ht="13">
      <c r="A120" s="23" t="s">
        <v>307</v>
      </c>
      <c r="B120" s="260" t="s">
        <v>307</v>
      </c>
      <c r="C120" s="23" t="s">
        <v>128</v>
      </c>
      <c r="D120" s="83" t="s">
        <v>304</v>
      </c>
      <c r="E120" s="22"/>
      <c r="F120" s="22"/>
      <c r="G120" s="22">
        <v>344687.63</v>
      </c>
      <c r="H120" s="22" t="s">
        <v>125</v>
      </c>
      <c r="I120" s="261">
        <f>G120*0.22</f>
        <v>75831.278600000005</v>
      </c>
      <c r="J120" s="22" t="s">
        <v>125</v>
      </c>
      <c r="K120" s="261">
        <f>G120*1.22</f>
        <v>420518.90860000002</v>
      </c>
      <c r="L120" s="22"/>
      <c r="M120" s="23">
        <v>41.554000000000002</v>
      </c>
      <c r="N120" s="261">
        <f t="shared" si="57"/>
        <v>0</v>
      </c>
      <c r="O120" s="261">
        <f t="shared" si="58"/>
        <v>0</v>
      </c>
      <c r="P120" s="259" t="s">
        <v>125</v>
      </c>
      <c r="Q120" s="262">
        <f t="shared" si="3"/>
        <v>0</v>
      </c>
      <c r="R120" s="262">
        <f t="shared" si="43"/>
        <v>0</v>
      </c>
      <c r="T120" s="22"/>
    </row>
    <row r="121" spans="1:20" ht="13">
      <c r="A121" s="23" t="s">
        <v>308</v>
      </c>
      <c r="B121" s="260" t="s">
        <v>308</v>
      </c>
      <c r="C121" s="23" t="s">
        <v>181</v>
      </c>
      <c r="D121" s="83" t="s">
        <v>304</v>
      </c>
      <c r="E121" s="22"/>
      <c r="F121" s="22"/>
      <c r="G121" s="22"/>
      <c r="H121" s="22" t="s">
        <v>125</v>
      </c>
      <c r="I121" s="261">
        <v>0</v>
      </c>
      <c r="J121" s="22"/>
      <c r="K121" s="261"/>
      <c r="L121" s="22">
        <v>6360</v>
      </c>
      <c r="M121" s="23">
        <v>41.554000000000002</v>
      </c>
      <c r="N121" s="261">
        <f t="shared" si="57"/>
        <v>264283.44</v>
      </c>
      <c r="O121" s="261">
        <f>L121</f>
        <v>6360</v>
      </c>
      <c r="P121" s="259" t="s">
        <v>125</v>
      </c>
      <c r="Q121" s="262">
        <f t="shared" si="3"/>
        <v>0</v>
      </c>
      <c r="R121" s="262">
        <f t="shared" si="43"/>
        <v>0</v>
      </c>
      <c r="T121" s="22"/>
    </row>
    <row r="122" spans="1:20" ht="13">
      <c r="A122" s="23" t="s">
        <v>309</v>
      </c>
      <c r="B122" s="260" t="s">
        <v>309</v>
      </c>
      <c r="C122" s="23" t="s">
        <v>133</v>
      </c>
      <c r="D122" s="83" t="s">
        <v>310</v>
      </c>
      <c r="E122" s="22"/>
      <c r="F122" s="22" t="s">
        <v>311</v>
      </c>
      <c r="G122" s="22"/>
      <c r="H122" s="22" t="s">
        <v>125</v>
      </c>
      <c r="I122" s="261">
        <f t="shared" ref="I122:I123" si="59">N122*0.22</f>
        <v>3756.1391999999992</v>
      </c>
      <c r="J122" s="22" t="s">
        <v>125</v>
      </c>
      <c r="K122" s="261"/>
      <c r="L122" s="22">
        <v>412.4</v>
      </c>
      <c r="M122" s="280">
        <v>41.4</v>
      </c>
      <c r="N122" s="261">
        <f t="shared" si="57"/>
        <v>17073.359999999997</v>
      </c>
      <c r="O122" s="261">
        <f t="shared" ref="O122:O123" si="60">L122*1.22</f>
        <v>503.12799999999999</v>
      </c>
      <c r="P122" s="259" t="s">
        <v>125</v>
      </c>
      <c r="Q122" s="262">
        <f t="shared" si="3"/>
        <v>0</v>
      </c>
      <c r="R122" s="262">
        <f t="shared" si="43"/>
        <v>0</v>
      </c>
      <c r="T122" s="22"/>
    </row>
    <row r="123" spans="1:20" ht="13">
      <c r="A123" s="23" t="s">
        <v>312</v>
      </c>
      <c r="B123" s="260" t="s">
        <v>312</v>
      </c>
      <c r="C123" s="23" t="s">
        <v>122</v>
      </c>
      <c r="D123" s="83" t="s">
        <v>310</v>
      </c>
      <c r="E123" s="22"/>
      <c r="F123" s="22" t="s">
        <v>313</v>
      </c>
      <c r="G123" s="22"/>
      <c r="H123" s="22" t="s">
        <v>125</v>
      </c>
      <c r="I123" s="261">
        <f t="shared" si="59"/>
        <v>40075.199999999997</v>
      </c>
      <c r="J123" s="22" t="s">
        <v>125</v>
      </c>
      <c r="K123" s="261"/>
      <c r="L123" s="22">
        <v>4400</v>
      </c>
      <c r="M123" s="280">
        <v>41.4</v>
      </c>
      <c r="N123" s="261">
        <f t="shared" si="57"/>
        <v>182160</v>
      </c>
      <c r="O123" s="261">
        <f t="shared" si="60"/>
        <v>5368</v>
      </c>
      <c r="P123" s="259" t="s">
        <v>125</v>
      </c>
      <c r="Q123" s="262">
        <f t="shared" si="3"/>
        <v>0</v>
      </c>
      <c r="R123" s="262">
        <f t="shared" si="43"/>
        <v>0</v>
      </c>
      <c r="T123" s="22"/>
    </row>
    <row r="124" spans="1:20" ht="13">
      <c r="A124" s="23" t="s">
        <v>314</v>
      </c>
      <c r="B124" s="260" t="s">
        <v>314</v>
      </c>
      <c r="C124" s="23" t="s">
        <v>128</v>
      </c>
      <c r="D124" s="83" t="s">
        <v>310</v>
      </c>
      <c r="E124" s="22"/>
      <c r="F124" s="22"/>
      <c r="G124" s="22">
        <v>453298.95</v>
      </c>
      <c r="H124" s="22" t="s">
        <v>125</v>
      </c>
      <c r="I124" s="261">
        <f>G124*0.22</f>
        <v>99725.769</v>
      </c>
      <c r="J124" s="22" t="s">
        <v>125</v>
      </c>
      <c r="K124" s="261">
        <f>G124*1.22</f>
        <v>553024.71900000004</v>
      </c>
      <c r="L124" s="22"/>
      <c r="M124" s="280">
        <v>41.4</v>
      </c>
      <c r="N124" s="261">
        <v>0</v>
      </c>
      <c r="O124" s="261">
        <v>0</v>
      </c>
      <c r="P124" s="259" t="s">
        <v>125</v>
      </c>
      <c r="Q124" s="262">
        <f t="shared" si="3"/>
        <v>0</v>
      </c>
      <c r="R124" s="262">
        <f t="shared" si="43"/>
        <v>0</v>
      </c>
      <c r="T124" s="22"/>
    </row>
    <row r="125" spans="1:20" ht="13">
      <c r="A125" s="23" t="s">
        <v>315</v>
      </c>
      <c r="B125" s="260" t="s">
        <v>315</v>
      </c>
      <c r="C125" s="23" t="s">
        <v>181</v>
      </c>
      <c r="D125" s="83" t="s">
        <v>310</v>
      </c>
      <c r="E125" s="22"/>
      <c r="F125" s="22" t="s">
        <v>279</v>
      </c>
      <c r="G125" s="22"/>
      <c r="H125" s="22" t="s">
        <v>125</v>
      </c>
      <c r="I125" s="261">
        <v>0</v>
      </c>
      <c r="J125" s="22"/>
      <c r="K125" s="261"/>
      <c r="L125" s="22">
        <v>6890</v>
      </c>
      <c r="M125" s="280">
        <v>41.4</v>
      </c>
      <c r="N125" s="261">
        <f t="shared" ref="N125:N198" si="61">L125*M125</f>
        <v>285246</v>
      </c>
      <c r="O125" s="261">
        <f>L125</f>
        <v>6890</v>
      </c>
      <c r="P125" s="259" t="s">
        <v>125</v>
      </c>
      <c r="Q125" s="262">
        <f t="shared" si="3"/>
        <v>0</v>
      </c>
      <c r="R125" s="262">
        <f t="shared" si="43"/>
        <v>0</v>
      </c>
      <c r="T125" s="22"/>
    </row>
    <row r="126" spans="1:20" ht="13">
      <c r="A126" s="23" t="s">
        <v>316</v>
      </c>
      <c r="B126" s="260" t="s">
        <v>316</v>
      </c>
      <c r="C126" s="23" t="s">
        <v>133</v>
      </c>
      <c r="D126" s="83" t="s">
        <v>310</v>
      </c>
      <c r="E126" s="22"/>
      <c r="F126" s="22"/>
      <c r="G126" s="22"/>
      <c r="H126" s="22" t="s">
        <v>125</v>
      </c>
      <c r="I126" s="261">
        <f t="shared" ref="I126:I128" si="62">N126*0.22</f>
        <v>14572.8</v>
      </c>
      <c r="J126" s="22" t="s">
        <v>125</v>
      </c>
      <c r="K126" s="261"/>
      <c r="L126" s="22">
        <v>1600</v>
      </c>
      <c r="M126" s="280">
        <v>41.4</v>
      </c>
      <c r="N126" s="261">
        <f t="shared" si="61"/>
        <v>66240</v>
      </c>
      <c r="O126" s="261">
        <f t="shared" ref="O126:O128" si="63">L126*1.22</f>
        <v>1952</v>
      </c>
      <c r="P126" s="259" t="s">
        <v>125</v>
      </c>
      <c r="Q126" s="262">
        <f t="shared" si="3"/>
        <v>0</v>
      </c>
      <c r="R126" s="262">
        <f t="shared" si="43"/>
        <v>0</v>
      </c>
      <c r="T126" s="22"/>
    </row>
    <row r="127" spans="1:20" ht="13">
      <c r="A127" s="23" t="s">
        <v>317</v>
      </c>
      <c r="B127" s="260" t="s">
        <v>317</v>
      </c>
      <c r="C127" s="23" t="s">
        <v>133</v>
      </c>
      <c r="D127" s="83" t="s">
        <v>318</v>
      </c>
      <c r="E127" s="22"/>
      <c r="F127" s="22" t="s">
        <v>319</v>
      </c>
      <c r="G127" s="22"/>
      <c r="H127" s="22" t="s">
        <v>125</v>
      </c>
      <c r="I127" s="261">
        <f t="shared" si="62"/>
        <v>50552.303999999996</v>
      </c>
      <c r="J127" s="22" t="s">
        <v>125</v>
      </c>
      <c r="K127" s="261"/>
      <c r="L127" s="22">
        <v>5360</v>
      </c>
      <c r="M127" s="281">
        <v>42.87</v>
      </c>
      <c r="N127" s="261">
        <f t="shared" si="61"/>
        <v>229783.19999999998</v>
      </c>
      <c r="O127" s="261">
        <f t="shared" si="63"/>
        <v>6539.2</v>
      </c>
      <c r="P127" s="259" t="s">
        <v>125</v>
      </c>
      <c r="Q127" s="262">
        <f t="shared" si="3"/>
        <v>0</v>
      </c>
      <c r="R127" s="262">
        <f t="shared" si="43"/>
        <v>0</v>
      </c>
      <c r="T127" s="22"/>
    </row>
    <row r="128" spans="1:20" ht="13">
      <c r="A128" s="23" t="s">
        <v>320</v>
      </c>
      <c r="B128" s="260" t="s">
        <v>320</v>
      </c>
      <c r="C128" s="23" t="s">
        <v>122</v>
      </c>
      <c r="D128" s="83" t="s">
        <v>321</v>
      </c>
      <c r="E128" s="22"/>
      <c r="F128" s="22" t="s">
        <v>313</v>
      </c>
      <c r="G128" s="22"/>
      <c r="H128" s="22" t="s">
        <v>125</v>
      </c>
      <c r="I128" s="261">
        <f t="shared" si="62"/>
        <v>39877.991999999998</v>
      </c>
      <c r="J128" s="22" t="s">
        <v>125</v>
      </c>
      <c r="K128" s="261"/>
      <c r="L128" s="22">
        <v>4200</v>
      </c>
      <c r="M128" s="23">
        <v>43.158000000000001</v>
      </c>
      <c r="N128" s="261">
        <f t="shared" si="61"/>
        <v>181263.6</v>
      </c>
      <c r="O128" s="261">
        <f t="shared" si="63"/>
        <v>5124</v>
      </c>
      <c r="P128" s="259" t="s">
        <v>125</v>
      </c>
      <c r="Q128" s="262">
        <f t="shared" si="3"/>
        <v>0</v>
      </c>
      <c r="R128" s="262">
        <f t="shared" si="43"/>
        <v>0</v>
      </c>
      <c r="T128" s="22"/>
    </row>
    <row r="129" spans="1:35" ht="13">
      <c r="A129" s="23" t="s">
        <v>322</v>
      </c>
      <c r="B129" s="260" t="s">
        <v>322</v>
      </c>
      <c r="C129" s="23" t="s">
        <v>181</v>
      </c>
      <c r="D129" s="83" t="s">
        <v>321</v>
      </c>
      <c r="E129" s="22"/>
      <c r="F129" s="22" t="s">
        <v>279</v>
      </c>
      <c r="G129" s="22"/>
      <c r="H129" s="22" t="s">
        <v>125</v>
      </c>
      <c r="I129" s="261">
        <v>0</v>
      </c>
      <c r="J129" s="22"/>
      <c r="K129" s="261"/>
      <c r="L129" s="22">
        <v>6360</v>
      </c>
      <c r="M129" s="23">
        <v>43.158000000000001</v>
      </c>
      <c r="N129" s="261">
        <f t="shared" si="61"/>
        <v>274484.88</v>
      </c>
      <c r="O129" s="261">
        <f>L129</f>
        <v>6360</v>
      </c>
      <c r="P129" s="259" t="s">
        <v>125</v>
      </c>
      <c r="Q129" s="262">
        <f t="shared" si="3"/>
        <v>0</v>
      </c>
      <c r="R129" s="262">
        <f t="shared" si="43"/>
        <v>0</v>
      </c>
      <c r="T129" s="22"/>
    </row>
    <row r="130" spans="1:35" ht="13">
      <c r="A130" s="23" t="s">
        <v>323</v>
      </c>
      <c r="B130" s="260" t="s">
        <v>323</v>
      </c>
      <c r="C130" s="23" t="s">
        <v>128</v>
      </c>
      <c r="D130" s="83" t="s">
        <v>321</v>
      </c>
      <c r="E130" s="22"/>
      <c r="F130" s="22"/>
      <c r="G130" s="22">
        <v>228068.18</v>
      </c>
      <c r="H130" s="22" t="s">
        <v>125</v>
      </c>
      <c r="I130" s="261">
        <f>G130*0.22</f>
        <v>50174.999599999996</v>
      </c>
      <c r="J130" s="22" t="s">
        <v>125</v>
      </c>
      <c r="K130" s="261">
        <f>G130*1.22</f>
        <v>278243.17959999997</v>
      </c>
      <c r="L130" s="22"/>
      <c r="M130" s="23">
        <v>43.158000000000001</v>
      </c>
      <c r="N130" s="261">
        <f t="shared" si="61"/>
        <v>0</v>
      </c>
      <c r="O130" s="261">
        <f t="shared" ref="O130:O137" si="64">L130*1.22</f>
        <v>0</v>
      </c>
      <c r="P130" s="259" t="s">
        <v>125</v>
      </c>
      <c r="Q130" s="262">
        <f t="shared" si="3"/>
        <v>0</v>
      </c>
      <c r="R130" s="262">
        <f t="shared" si="43"/>
        <v>0</v>
      </c>
      <c r="T130" s="22"/>
    </row>
    <row r="131" spans="1:35" ht="13">
      <c r="A131" s="23" t="s">
        <v>324</v>
      </c>
      <c r="B131" s="260" t="s">
        <v>324</v>
      </c>
      <c r="C131" s="23" t="s">
        <v>133</v>
      </c>
      <c r="D131" s="83" t="s">
        <v>321</v>
      </c>
      <c r="E131" s="22"/>
      <c r="F131" s="22" t="s">
        <v>300</v>
      </c>
      <c r="G131" s="22"/>
      <c r="H131" s="22" t="s">
        <v>125</v>
      </c>
      <c r="I131" s="261">
        <f t="shared" ref="I131:I133" si="65">N131*0.22</f>
        <v>16615.830000000002</v>
      </c>
      <c r="J131" s="22" t="s">
        <v>125</v>
      </c>
      <c r="K131" s="261"/>
      <c r="L131" s="22">
        <v>1750</v>
      </c>
      <c r="M131" s="23">
        <v>43.158000000000001</v>
      </c>
      <c r="N131" s="261">
        <f t="shared" si="61"/>
        <v>75526.5</v>
      </c>
      <c r="O131" s="261">
        <f t="shared" si="64"/>
        <v>2135</v>
      </c>
      <c r="P131" s="259" t="s">
        <v>125</v>
      </c>
      <c r="Q131" s="262">
        <f t="shared" si="3"/>
        <v>0</v>
      </c>
      <c r="R131" s="262">
        <f t="shared" si="43"/>
        <v>0</v>
      </c>
      <c r="T131" s="22"/>
    </row>
    <row r="132" spans="1:35" ht="13">
      <c r="A132" s="23" t="s">
        <v>325</v>
      </c>
      <c r="B132" s="260" t="s">
        <v>325</v>
      </c>
      <c r="C132" s="23" t="s">
        <v>133</v>
      </c>
      <c r="D132" s="83" t="s">
        <v>321</v>
      </c>
      <c r="E132" s="22"/>
      <c r="F132" s="22" t="s">
        <v>298</v>
      </c>
      <c r="G132" s="22"/>
      <c r="H132" s="22" t="s">
        <v>125</v>
      </c>
      <c r="I132" s="261">
        <f t="shared" si="65"/>
        <v>16853.199000000001</v>
      </c>
      <c r="J132" s="22" t="s">
        <v>125</v>
      </c>
      <c r="K132" s="261"/>
      <c r="L132" s="22">
        <v>1775</v>
      </c>
      <c r="M132" s="23">
        <v>43.158000000000001</v>
      </c>
      <c r="N132" s="261">
        <f t="shared" si="61"/>
        <v>76605.45</v>
      </c>
      <c r="O132" s="261">
        <f t="shared" si="64"/>
        <v>2165.5</v>
      </c>
      <c r="P132" s="259" t="s">
        <v>125</v>
      </c>
      <c r="Q132" s="262">
        <f t="shared" si="3"/>
        <v>0</v>
      </c>
      <c r="R132" s="262">
        <f t="shared" si="43"/>
        <v>0</v>
      </c>
      <c r="T132" s="22"/>
    </row>
    <row r="133" spans="1:35" ht="13">
      <c r="A133" s="23" t="s">
        <v>326</v>
      </c>
      <c r="B133" s="260" t="s">
        <v>326</v>
      </c>
      <c r="C133" s="23" t="s">
        <v>133</v>
      </c>
      <c r="D133" s="83" t="s">
        <v>321</v>
      </c>
      <c r="E133" s="22"/>
      <c r="F133" s="22" t="s">
        <v>159</v>
      </c>
      <c r="G133" s="22"/>
      <c r="H133" s="22" t="s">
        <v>125</v>
      </c>
      <c r="I133" s="261">
        <f t="shared" si="65"/>
        <v>15191.616</v>
      </c>
      <c r="J133" s="22" t="s">
        <v>125</v>
      </c>
      <c r="K133" s="261"/>
      <c r="L133" s="22">
        <v>1600</v>
      </c>
      <c r="M133" s="23">
        <v>43.158000000000001</v>
      </c>
      <c r="N133" s="261">
        <f t="shared" si="61"/>
        <v>69052.800000000003</v>
      </c>
      <c r="O133" s="261">
        <f t="shared" si="64"/>
        <v>1952</v>
      </c>
      <c r="P133" s="259" t="s">
        <v>125</v>
      </c>
      <c r="Q133" s="262">
        <f t="shared" si="3"/>
        <v>0</v>
      </c>
      <c r="R133" s="262">
        <f t="shared" si="43"/>
        <v>0</v>
      </c>
      <c r="T133" s="22"/>
    </row>
    <row r="134" spans="1:35" ht="13">
      <c r="A134" s="23" t="s">
        <v>327</v>
      </c>
      <c r="B134" s="260" t="s">
        <v>327</v>
      </c>
      <c r="C134" s="23" t="s">
        <v>128</v>
      </c>
      <c r="D134" s="83" t="s">
        <v>328</v>
      </c>
      <c r="E134" s="22"/>
      <c r="F134" s="22" t="s">
        <v>329</v>
      </c>
      <c r="G134" s="22">
        <v>207313.47</v>
      </c>
      <c r="H134" s="22" t="s">
        <v>125</v>
      </c>
      <c r="I134" s="261">
        <f>G134*0.22</f>
        <v>45608.963400000001</v>
      </c>
      <c r="J134" s="22" t="s">
        <v>125</v>
      </c>
      <c r="K134" s="261">
        <f>G134*1.22</f>
        <v>252922.43340000001</v>
      </c>
      <c r="L134" s="22"/>
      <c r="M134" s="23">
        <v>43.661000000000001</v>
      </c>
      <c r="N134" s="261">
        <f t="shared" si="61"/>
        <v>0</v>
      </c>
      <c r="O134" s="261">
        <f t="shared" si="64"/>
        <v>0</v>
      </c>
      <c r="P134" s="259" t="s">
        <v>125</v>
      </c>
      <c r="Q134" s="262">
        <f t="shared" si="3"/>
        <v>0</v>
      </c>
      <c r="R134" s="262">
        <f t="shared" si="43"/>
        <v>0</v>
      </c>
      <c r="T134" s="22"/>
    </row>
    <row r="135" spans="1:35" ht="13">
      <c r="A135" s="23" t="s">
        <v>330</v>
      </c>
      <c r="B135" s="260" t="s">
        <v>330</v>
      </c>
      <c r="C135" s="23" t="s">
        <v>133</v>
      </c>
      <c r="D135" s="83" t="s">
        <v>328</v>
      </c>
      <c r="E135" s="22"/>
      <c r="F135" s="22" t="s">
        <v>331</v>
      </c>
      <c r="G135" s="22"/>
      <c r="H135" s="22" t="s">
        <v>125</v>
      </c>
      <c r="I135" s="261">
        <f t="shared" ref="I135:I137" si="66">N135*0.22</f>
        <v>15368.672</v>
      </c>
      <c r="J135" s="22" t="s">
        <v>125</v>
      </c>
      <c r="K135" s="261"/>
      <c r="L135" s="22">
        <v>1600</v>
      </c>
      <c r="M135" s="23">
        <v>43.661000000000001</v>
      </c>
      <c r="N135" s="261">
        <f t="shared" si="61"/>
        <v>69857.600000000006</v>
      </c>
      <c r="O135" s="261">
        <f t="shared" si="64"/>
        <v>1952</v>
      </c>
      <c r="P135" s="259" t="s">
        <v>125</v>
      </c>
      <c r="Q135" s="262">
        <f t="shared" si="3"/>
        <v>0</v>
      </c>
      <c r="R135" s="262">
        <f t="shared" si="43"/>
        <v>0</v>
      </c>
      <c r="T135" s="22"/>
    </row>
    <row r="136" spans="1:35" ht="13">
      <c r="A136" s="23" t="s">
        <v>332</v>
      </c>
      <c r="B136" s="260" t="s">
        <v>332</v>
      </c>
      <c r="C136" s="23" t="s">
        <v>133</v>
      </c>
      <c r="D136" s="83" t="s">
        <v>328</v>
      </c>
      <c r="E136" s="22"/>
      <c r="F136" s="22" t="s">
        <v>300</v>
      </c>
      <c r="G136" s="22"/>
      <c r="H136" s="22" t="s">
        <v>125</v>
      </c>
      <c r="I136" s="261">
        <f t="shared" si="66"/>
        <v>12967.316999999999</v>
      </c>
      <c r="J136" s="22" t="s">
        <v>125</v>
      </c>
      <c r="K136" s="261"/>
      <c r="L136" s="22">
        <v>1350</v>
      </c>
      <c r="M136" s="23">
        <v>43.661000000000001</v>
      </c>
      <c r="N136" s="261">
        <f t="shared" si="61"/>
        <v>58942.35</v>
      </c>
      <c r="O136" s="261">
        <f t="shared" si="64"/>
        <v>1647</v>
      </c>
      <c r="P136" s="259" t="s">
        <v>125</v>
      </c>
      <c r="Q136" s="262">
        <f t="shared" si="3"/>
        <v>0</v>
      </c>
      <c r="R136" s="262">
        <f t="shared" si="43"/>
        <v>0</v>
      </c>
      <c r="T136" s="22"/>
    </row>
    <row r="137" spans="1:35" ht="13">
      <c r="A137" s="23" t="s">
        <v>333</v>
      </c>
      <c r="B137" s="260" t="s">
        <v>333</v>
      </c>
      <c r="C137" s="23" t="s">
        <v>122</v>
      </c>
      <c r="D137" s="83" t="s">
        <v>328</v>
      </c>
      <c r="E137" s="22"/>
      <c r="F137" s="22" t="s">
        <v>142</v>
      </c>
      <c r="G137" s="22"/>
      <c r="H137" s="22" t="s">
        <v>125</v>
      </c>
      <c r="I137" s="261">
        <f t="shared" si="66"/>
        <v>36500.596000000005</v>
      </c>
      <c r="J137" s="22" t="s">
        <v>125</v>
      </c>
      <c r="K137" s="261"/>
      <c r="L137" s="22">
        <v>3800</v>
      </c>
      <c r="M137" s="23">
        <v>43.661000000000001</v>
      </c>
      <c r="N137" s="261">
        <f t="shared" si="61"/>
        <v>165911.80000000002</v>
      </c>
      <c r="O137" s="261">
        <f t="shared" si="64"/>
        <v>4636</v>
      </c>
      <c r="P137" s="259" t="s">
        <v>125</v>
      </c>
      <c r="Q137" s="262">
        <f t="shared" si="3"/>
        <v>0</v>
      </c>
      <c r="R137" s="262">
        <f t="shared" si="43"/>
        <v>0</v>
      </c>
      <c r="T137" s="22"/>
    </row>
    <row r="138" spans="1:35" ht="13">
      <c r="A138" s="23" t="s">
        <v>259</v>
      </c>
      <c r="B138" s="260" t="s">
        <v>259</v>
      </c>
      <c r="C138" s="23" t="s">
        <v>181</v>
      </c>
      <c r="D138" s="83" t="s">
        <v>328</v>
      </c>
      <c r="E138" s="22"/>
      <c r="F138" s="22" t="s">
        <v>334</v>
      </c>
      <c r="G138" s="22"/>
      <c r="H138" s="22" t="s">
        <v>125</v>
      </c>
      <c r="I138" s="261">
        <v>0</v>
      </c>
      <c r="J138" s="22"/>
      <c r="K138" s="261"/>
      <c r="L138" s="22">
        <v>5512</v>
      </c>
      <c r="M138" s="23">
        <v>43.661000000000001</v>
      </c>
      <c r="N138" s="261">
        <f t="shared" si="61"/>
        <v>240659.432</v>
      </c>
      <c r="O138" s="261">
        <f t="shared" ref="O138:O139" si="67">L138</f>
        <v>5512</v>
      </c>
      <c r="P138" s="259" t="s">
        <v>125</v>
      </c>
      <c r="Q138" s="262">
        <f t="shared" si="3"/>
        <v>0</v>
      </c>
      <c r="R138" s="262">
        <f t="shared" si="43"/>
        <v>0</v>
      </c>
      <c r="T138" s="22"/>
    </row>
    <row r="139" spans="1:35" ht="13">
      <c r="A139" s="105" t="s">
        <v>261</v>
      </c>
      <c r="B139" s="275" t="s">
        <v>261</v>
      </c>
      <c r="C139" s="105" t="s">
        <v>181</v>
      </c>
      <c r="D139" s="276" t="s">
        <v>335</v>
      </c>
      <c r="E139" s="106"/>
      <c r="F139" s="106"/>
      <c r="G139" s="106"/>
      <c r="H139" s="106" t="s">
        <v>125</v>
      </c>
      <c r="I139" s="277">
        <v>0</v>
      </c>
      <c r="J139" s="106"/>
      <c r="K139" s="277"/>
      <c r="L139" s="106">
        <v>5300</v>
      </c>
      <c r="M139" s="282">
        <v>43.33</v>
      </c>
      <c r="N139" s="277">
        <f t="shared" si="61"/>
        <v>229649</v>
      </c>
      <c r="O139" s="277">
        <f t="shared" si="67"/>
        <v>5300</v>
      </c>
      <c r="P139" s="278" t="s">
        <v>125</v>
      </c>
      <c r="Q139" s="279">
        <f t="shared" si="3"/>
        <v>0</v>
      </c>
      <c r="R139" s="279">
        <f t="shared" si="43"/>
        <v>0</v>
      </c>
      <c r="S139" s="105"/>
      <c r="T139" s="106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</row>
    <row r="140" spans="1:35" ht="13">
      <c r="A140" s="23" t="s">
        <v>336</v>
      </c>
      <c r="B140" s="260" t="s">
        <v>336</v>
      </c>
      <c r="C140" s="23" t="s">
        <v>122</v>
      </c>
      <c r="D140" s="83" t="s">
        <v>335</v>
      </c>
      <c r="E140" s="22"/>
      <c r="F140" s="22" t="s">
        <v>142</v>
      </c>
      <c r="G140" s="22"/>
      <c r="H140" s="22" t="s">
        <v>125</v>
      </c>
      <c r="I140" s="261">
        <f t="shared" ref="I140:I144" si="68">N140*0.22</f>
        <v>40632.707499999997</v>
      </c>
      <c r="J140" s="22" t="s">
        <v>125</v>
      </c>
      <c r="K140" s="261"/>
      <c r="L140" s="22">
        <v>4262.5</v>
      </c>
      <c r="M140" s="281">
        <v>43.33</v>
      </c>
      <c r="N140" s="261">
        <f t="shared" si="61"/>
        <v>184694.125</v>
      </c>
      <c r="O140" s="261">
        <f t="shared" ref="O140:O150" si="69">L140*1.22</f>
        <v>5200.25</v>
      </c>
      <c r="P140" s="259" t="s">
        <v>125</v>
      </c>
      <c r="Q140" s="262">
        <f t="shared" si="3"/>
        <v>0</v>
      </c>
      <c r="R140" s="262">
        <f t="shared" si="43"/>
        <v>0</v>
      </c>
      <c r="T140" s="22"/>
    </row>
    <row r="141" spans="1:35" ht="13">
      <c r="A141" s="23" t="s">
        <v>337</v>
      </c>
      <c r="B141" s="260" t="s">
        <v>337</v>
      </c>
      <c r="C141" s="23" t="s">
        <v>133</v>
      </c>
      <c r="D141" s="83" t="s">
        <v>335</v>
      </c>
      <c r="E141" s="22"/>
      <c r="F141" s="22" t="s">
        <v>338</v>
      </c>
      <c r="G141" s="22"/>
      <c r="H141" s="22" t="s">
        <v>125</v>
      </c>
      <c r="I141" s="261">
        <f t="shared" si="68"/>
        <v>142035.74</v>
      </c>
      <c r="J141" s="22" t="s">
        <v>125</v>
      </c>
      <c r="K141" s="261"/>
      <c r="L141" s="22">
        <v>14900</v>
      </c>
      <c r="M141" s="281">
        <v>43.33</v>
      </c>
      <c r="N141" s="261">
        <f t="shared" si="61"/>
        <v>645617</v>
      </c>
      <c r="O141" s="261">
        <f t="shared" si="69"/>
        <v>18178</v>
      </c>
      <c r="P141" s="259" t="s">
        <v>125</v>
      </c>
      <c r="Q141" s="262">
        <f t="shared" si="3"/>
        <v>0</v>
      </c>
      <c r="R141" s="262">
        <f t="shared" si="43"/>
        <v>0</v>
      </c>
      <c r="T141" s="22"/>
    </row>
    <row r="142" spans="1:35" ht="13">
      <c r="A142" s="23" t="s">
        <v>339</v>
      </c>
      <c r="B142" s="260" t="s">
        <v>339</v>
      </c>
      <c r="C142" s="23" t="s">
        <v>133</v>
      </c>
      <c r="D142" s="83" t="s">
        <v>335</v>
      </c>
      <c r="E142" s="22"/>
      <c r="F142" s="22" t="s">
        <v>159</v>
      </c>
      <c r="G142" s="22"/>
      <c r="H142" s="22" t="s">
        <v>125</v>
      </c>
      <c r="I142" s="261">
        <f t="shared" si="68"/>
        <v>15252.16</v>
      </c>
      <c r="J142" s="22" t="s">
        <v>125</v>
      </c>
      <c r="K142" s="261"/>
      <c r="L142" s="22">
        <v>1600</v>
      </c>
      <c r="M142" s="281">
        <v>43.33</v>
      </c>
      <c r="N142" s="261">
        <f t="shared" si="61"/>
        <v>69328</v>
      </c>
      <c r="O142" s="261">
        <f t="shared" si="69"/>
        <v>1952</v>
      </c>
      <c r="P142" s="259" t="s">
        <v>125</v>
      </c>
      <c r="Q142" s="262">
        <f t="shared" si="3"/>
        <v>0</v>
      </c>
      <c r="R142" s="262">
        <f t="shared" si="43"/>
        <v>0</v>
      </c>
      <c r="T142" s="22"/>
    </row>
    <row r="143" spans="1:35" ht="13">
      <c r="A143" s="23" t="s">
        <v>340</v>
      </c>
      <c r="B143" s="260" t="s">
        <v>340</v>
      </c>
      <c r="C143" s="23" t="s">
        <v>133</v>
      </c>
      <c r="D143" s="83" t="s">
        <v>335</v>
      </c>
      <c r="E143" s="22"/>
      <c r="F143" s="22" t="s">
        <v>300</v>
      </c>
      <c r="G143" s="22"/>
      <c r="H143" s="22" t="s">
        <v>125</v>
      </c>
      <c r="I143" s="261">
        <f t="shared" si="68"/>
        <v>27406.224999999999</v>
      </c>
      <c r="J143" s="22" t="s">
        <v>125</v>
      </c>
      <c r="K143" s="261"/>
      <c r="L143" s="22">
        <v>2875</v>
      </c>
      <c r="M143" s="281">
        <v>43.33</v>
      </c>
      <c r="N143" s="261">
        <f t="shared" si="61"/>
        <v>124573.75</v>
      </c>
      <c r="O143" s="261">
        <f t="shared" si="69"/>
        <v>3507.5</v>
      </c>
      <c r="P143" s="259" t="s">
        <v>125</v>
      </c>
      <c r="Q143" s="262">
        <f t="shared" si="3"/>
        <v>0</v>
      </c>
      <c r="R143" s="262">
        <f t="shared" si="43"/>
        <v>0</v>
      </c>
      <c r="T143" s="22"/>
    </row>
    <row r="144" spans="1:35" ht="13">
      <c r="A144" s="23" t="s">
        <v>341</v>
      </c>
      <c r="B144" s="260" t="s">
        <v>341</v>
      </c>
      <c r="C144" s="23" t="s">
        <v>133</v>
      </c>
      <c r="D144" s="83" t="s">
        <v>335</v>
      </c>
      <c r="E144" s="22"/>
      <c r="F144" s="22" t="s">
        <v>342</v>
      </c>
      <c r="G144" s="22"/>
      <c r="H144" s="22" t="s">
        <v>125</v>
      </c>
      <c r="I144" s="261">
        <f t="shared" si="68"/>
        <v>41347.652500000004</v>
      </c>
      <c r="J144" s="22" t="s">
        <v>125</v>
      </c>
      <c r="K144" s="261"/>
      <c r="L144" s="22">
        <v>4337.5</v>
      </c>
      <c r="M144" s="281">
        <v>43.33</v>
      </c>
      <c r="N144" s="261">
        <f t="shared" si="61"/>
        <v>187943.875</v>
      </c>
      <c r="O144" s="261">
        <f t="shared" si="69"/>
        <v>5291.75</v>
      </c>
      <c r="P144" s="259" t="s">
        <v>125</v>
      </c>
      <c r="Q144" s="262">
        <f t="shared" si="3"/>
        <v>0</v>
      </c>
      <c r="R144" s="262">
        <f t="shared" si="43"/>
        <v>0</v>
      </c>
      <c r="T144" s="22"/>
    </row>
    <row r="145" spans="1:20" ht="13">
      <c r="A145" s="23" t="s">
        <v>343</v>
      </c>
      <c r="B145" s="260" t="s">
        <v>343</v>
      </c>
      <c r="C145" s="23" t="s">
        <v>128</v>
      </c>
      <c r="D145" s="83" t="s">
        <v>335</v>
      </c>
      <c r="E145" s="22"/>
      <c r="F145" s="22" t="s">
        <v>266</v>
      </c>
      <c r="G145" s="22">
        <v>126972.88</v>
      </c>
      <c r="H145" s="22" t="s">
        <v>125</v>
      </c>
      <c r="I145" s="261">
        <f>G145*0.22</f>
        <v>27934.033600000002</v>
      </c>
      <c r="J145" s="22" t="s">
        <v>125</v>
      </c>
      <c r="K145" s="261">
        <f>G145*1.22</f>
        <v>154906.9136</v>
      </c>
      <c r="L145" s="22"/>
      <c r="M145" s="281">
        <v>43.33</v>
      </c>
      <c r="N145" s="261">
        <f t="shared" si="61"/>
        <v>0</v>
      </c>
      <c r="O145" s="261">
        <f t="shared" si="69"/>
        <v>0</v>
      </c>
      <c r="P145" s="259" t="s">
        <v>125</v>
      </c>
      <c r="Q145" s="262">
        <f t="shared" si="3"/>
        <v>0</v>
      </c>
      <c r="R145" s="262">
        <f t="shared" si="43"/>
        <v>0</v>
      </c>
      <c r="T145" s="22"/>
    </row>
    <row r="146" spans="1:20" ht="13">
      <c r="A146" s="23" t="s">
        <v>344</v>
      </c>
      <c r="B146" s="260" t="s">
        <v>344</v>
      </c>
      <c r="C146" s="23" t="s">
        <v>122</v>
      </c>
      <c r="D146" s="83" t="s">
        <v>345</v>
      </c>
      <c r="E146" s="22"/>
      <c r="F146" s="22"/>
      <c r="G146" s="22"/>
      <c r="H146" s="22" t="s">
        <v>125</v>
      </c>
      <c r="I146" s="261">
        <f t="shared" ref="I146:I149" si="70">N146*0.22</f>
        <v>18188.312999999998</v>
      </c>
      <c r="J146" s="22" t="s">
        <v>125</v>
      </c>
      <c r="K146" s="261"/>
      <c r="L146" s="22">
        <v>1950</v>
      </c>
      <c r="M146" s="281">
        <v>42.396999999999998</v>
      </c>
      <c r="N146" s="261">
        <f t="shared" si="61"/>
        <v>82674.149999999994</v>
      </c>
      <c r="O146" s="261">
        <f t="shared" si="69"/>
        <v>2379</v>
      </c>
      <c r="P146" s="259" t="s">
        <v>125</v>
      </c>
      <c r="Q146" s="262">
        <f t="shared" si="3"/>
        <v>0</v>
      </c>
      <c r="R146" s="262">
        <f t="shared" si="43"/>
        <v>0</v>
      </c>
      <c r="T146" s="22"/>
    </row>
    <row r="147" spans="1:20" ht="13">
      <c r="A147" s="23" t="s">
        <v>346</v>
      </c>
      <c r="B147" s="260" t="s">
        <v>346</v>
      </c>
      <c r="C147" s="23" t="s">
        <v>133</v>
      </c>
      <c r="D147" s="83" t="s">
        <v>345</v>
      </c>
      <c r="E147" s="22"/>
      <c r="F147" s="22" t="s">
        <v>298</v>
      </c>
      <c r="G147" s="22"/>
      <c r="H147" s="22" t="s">
        <v>125</v>
      </c>
      <c r="I147" s="261">
        <f t="shared" si="70"/>
        <v>1865.4679999999998</v>
      </c>
      <c r="J147" s="22" t="s">
        <v>125</v>
      </c>
      <c r="K147" s="261"/>
      <c r="L147" s="22">
        <v>200</v>
      </c>
      <c r="M147" s="281">
        <v>42.396999999999998</v>
      </c>
      <c r="N147" s="261">
        <f t="shared" si="61"/>
        <v>8479.4</v>
      </c>
      <c r="O147" s="261">
        <f t="shared" si="69"/>
        <v>244</v>
      </c>
      <c r="P147" s="259" t="s">
        <v>125</v>
      </c>
      <c r="Q147" s="262">
        <f t="shared" si="3"/>
        <v>0</v>
      </c>
      <c r="R147" s="262">
        <f t="shared" si="43"/>
        <v>0</v>
      </c>
      <c r="T147" s="22"/>
    </row>
    <row r="148" spans="1:20" ht="13">
      <c r="A148" s="23" t="s">
        <v>347</v>
      </c>
      <c r="B148" s="260" t="s">
        <v>347</v>
      </c>
      <c r="C148" s="23" t="s">
        <v>133</v>
      </c>
      <c r="D148" s="83" t="s">
        <v>345</v>
      </c>
      <c r="E148" s="22"/>
      <c r="F148" s="22" t="s">
        <v>300</v>
      </c>
      <c r="G148" s="22"/>
      <c r="H148" s="22" t="s">
        <v>125</v>
      </c>
      <c r="I148" s="261">
        <f t="shared" si="70"/>
        <v>4197.3029999999999</v>
      </c>
      <c r="J148" s="22" t="s">
        <v>125</v>
      </c>
      <c r="K148" s="261"/>
      <c r="L148" s="22">
        <v>450</v>
      </c>
      <c r="M148" s="281">
        <v>42.396999999999998</v>
      </c>
      <c r="N148" s="261">
        <f t="shared" si="61"/>
        <v>19078.649999999998</v>
      </c>
      <c r="O148" s="261">
        <f t="shared" si="69"/>
        <v>549</v>
      </c>
      <c r="P148" s="259" t="s">
        <v>125</v>
      </c>
      <c r="Q148" s="262">
        <f t="shared" si="3"/>
        <v>0</v>
      </c>
      <c r="R148" s="262">
        <f t="shared" si="43"/>
        <v>0</v>
      </c>
      <c r="T148" s="22"/>
    </row>
    <row r="149" spans="1:20" ht="13">
      <c r="A149" s="23" t="s">
        <v>348</v>
      </c>
      <c r="B149" s="260" t="s">
        <v>348</v>
      </c>
      <c r="C149" s="23" t="s">
        <v>133</v>
      </c>
      <c r="D149" s="83" t="s">
        <v>345</v>
      </c>
      <c r="E149" s="22"/>
      <c r="F149" s="22" t="s">
        <v>159</v>
      </c>
      <c r="G149" s="22"/>
      <c r="H149" s="22" t="s">
        <v>125</v>
      </c>
      <c r="I149" s="261">
        <f t="shared" si="70"/>
        <v>14923.743999999999</v>
      </c>
      <c r="J149" s="22" t="s">
        <v>125</v>
      </c>
      <c r="K149" s="261"/>
      <c r="L149" s="22">
        <v>1600</v>
      </c>
      <c r="M149" s="281">
        <v>42.396999999999998</v>
      </c>
      <c r="N149" s="261">
        <f t="shared" si="61"/>
        <v>67835.199999999997</v>
      </c>
      <c r="O149" s="261">
        <f t="shared" si="69"/>
        <v>1952</v>
      </c>
      <c r="P149" s="259" t="s">
        <v>125</v>
      </c>
      <c r="Q149" s="262">
        <f t="shared" si="3"/>
        <v>0</v>
      </c>
      <c r="R149" s="262">
        <f t="shared" si="43"/>
        <v>0</v>
      </c>
      <c r="T149" s="22"/>
    </row>
    <row r="150" spans="1:20" ht="13">
      <c r="A150" s="23" t="s">
        <v>349</v>
      </c>
      <c r="B150" s="260" t="s">
        <v>349</v>
      </c>
      <c r="C150" s="23" t="s">
        <v>128</v>
      </c>
      <c r="D150" s="83" t="s">
        <v>345</v>
      </c>
      <c r="E150" s="22"/>
      <c r="F150" s="22" t="s">
        <v>350</v>
      </c>
      <c r="G150" s="22">
        <v>271186</v>
      </c>
      <c r="H150" s="22" t="s">
        <v>125</v>
      </c>
      <c r="I150" s="261">
        <f>G150*0.22</f>
        <v>59660.92</v>
      </c>
      <c r="J150" s="22" t="s">
        <v>125</v>
      </c>
      <c r="K150" s="261">
        <f>G150*1.22</f>
        <v>330846.92</v>
      </c>
      <c r="L150" s="22"/>
      <c r="M150" s="281">
        <v>42.396999999999998</v>
      </c>
      <c r="N150" s="261">
        <f t="shared" si="61"/>
        <v>0</v>
      </c>
      <c r="O150" s="261">
        <f t="shared" si="69"/>
        <v>0</v>
      </c>
      <c r="P150" s="259" t="s">
        <v>125</v>
      </c>
      <c r="Q150" s="262">
        <f t="shared" si="3"/>
        <v>0</v>
      </c>
      <c r="R150" s="262">
        <f t="shared" si="43"/>
        <v>0</v>
      </c>
      <c r="T150" s="22"/>
    </row>
    <row r="151" spans="1:20" ht="13">
      <c r="A151" s="23" t="s">
        <v>262</v>
      </c>
      <c r="B151" s="260" t="s">
        <v>262</v>
      </c>
      <c r="C151" s="23" t="s">
        <v>181</v>
      </c>
      <c r="D151" s="83" t="s">
        <v>345</v>
      </c>
      <c r="E151" s="22"/>
      <c r="F151" s="22" t="s">
        <v>334</v>
      </c>
      <c r="G151" s="22"/>
      <c r="H151" s="22" t="s">
        <v>125</v>
      </c>
      <c r="I151" s="261">
        <v>0</v>
      </c>
      <c r="J151" s="22"/>
      <c r="K151" s="261"/>
      <c r="L151" s="22">
        <v>6523.24</v>
      </c>
      <c r="M151" s="281">
        <v>42.396999999999998</v>
      </c>
      <c r="N151" s="261">
        <f t="shared" si="61"/>
        <v>276565.80627999996</v>
      </c>
      <c r="O151" s="261">
        <f t="shared" ref="O151:O152" si="71">L151</f>
        <v>6523.24</v>
      </c>
      <c r="P151" s="259" t="s">
        <v>125</v>
      </c>
      <c r="Q151" s="262">
        <f t="shared" si="3"/>
        <v>0</v>
      </c>
      <c r="R151" s="262">
        <f t="shared" si="43"/>
        <v>0</v>
      </c>
      <c r="T151" s="22"/>
    </row>
    <row r="152" spans="1:20" ht="13">
      <c r="A152" s="23" t="s">
        <v>264</v>
      </c>
      <c r="B152" s="260" t="s">
        <v>264</v>
      </c>
      <c r="C152" s="23" t="s">
        <v>181</v>
      </c>
      <c r="D152" s="83" t="s">
        <v>351</v>
      </c>
      <c r="E152" s="22"/>
      <c r="F152" s="22" t="s">
        <v>334</v>
      </c>
      <c r="G152" s="22"/>
      <c r="H152" s="22" t="s">
        <v>125</v>
      </c>
      <c r="I152" s="261">
        <v>0</v>
      </c>
      <c r="J152" s="22"/>
      <c r="K152" s="261"/>
      <c r="L152" s="22">
        <v>5936</v>
      </c>
      <c r="M152" s="281">
        <v>42.110999999999997</v>
      </c>
      <c r="N152" s="261">
        <f t="shared" si="61"/>
        <v>249970.89599999998</v>
      </c>
      <c r="O152" s="261">
        <f t="shared" si="71"/>
        <v>5936</v>
      </c>
      <c r="P152" s="259" t="s">
        <v>125</v>
      </c>
      <c r="Q152" s="262">
        <f t="shared" si="3"/>
        <v>0</v>
      </c>
      <c r="R152" s="262">
        <f t="shared" si="43"/>
        <v>0</v>
      </c>
      <c r="T152" s="22"/>
    </row>
    <row r="153" spans="1:20" ht="13">
      <c r="A153" s="23" t="s">
        <v>352</v>
      </c>
      <c r="B153" s="260" t="s">
        <v>352</v>
      </c>
      <c r="C153" s="23" t="s">
        <v>122</v>
      </c>
      <c r="D153" s="83" t="s">
        <v>351</v>
      </c>
      <c r="E153" s="22"/>
      <c r="F153" s="22" t="s">
        <v>142</v>
      </c>
      <c r="G153" s="22"/>
      <c r="H153" s="22" t="s">
        <v>125</v>
      </c>
      <c r="I153" s="261">
        <f>N153*0.22</f>
        <v>34278.353999999999</v>
      </c>
      <c r="J153" s="22" t="s">
        <v>125</v>
      </c>
      <c r="K153" s="261"/>
      <c r="L153" s="22">
        <v>3700</v>
      </c>
      <c r="M153" s="281">
        <v>42.110999999999997</v>
      </c>
      <c r="N153" s="261">
        <f t="shared" si="61"/>
        <v>155810.69999999998</v>
      </c>
      <c r="O153" s="261">
        <f t="shared" ref="O153:O159" si="72">L153*1.22</f>
        <v>4514</v>
      </c>
      <c r="P153" s="259" t="s">
        <v>125</v>
      </c>
      <c r="Q153" s="262">
        <f t="shared" si="3"/>
        <v>0</v>
      </c>
      <c r="R153" s="262">
        <f t="shared" si="43"/>
        <v>0</v>
      </c>
      <c r="T153" s="22"/>
    </row>
    <row r="154" spans="1:20" ht="13">
      <c r="A154" s="23" t="s">
        <v>353</v>
      </c>
      <c r="B154" s="260" t="s">
        <v>353</v>
      </c>
      <c r="C154" s="23" t="s">
        <v>128</v>
      </c>
      <c r="D154" s="83" t="s">
        <v>351</v>
      </c>
      <c r="E154" s="22"/>
      <c r="F154" s="22"/>
      <c r="G154" s="22">
        <v>184460.64</v>
      </c>
      <c r="H154" s="22" t="s">
        <v>125</v>
      </c>
      <c r="I154" s="261">
        <f>G154*0.22</f>
        <v>40581.340800000005</v>
      </c>
      <c r="J154" s="22" t="s">
        <v>125</v>
      </c>
      <c r="K154" s="261">
        <f>G154*1.22</f>
        <v>225041.98080000002</v>
      </c>
      <c r="L154" s="22"/>
      <c r="M154" s="281">
        <v>42.110999999999997</v>
      </c>
      <c r="N154" s="261">
        <f t="shared" si="61"/>
        <v>0</v>
      </c>
      <c r="O154" s="261">
        <f t="shared" si="72"/>
        <v>0</v>
      </c>
      <c r="P154" s="259" t="s">
        <v>125</v>
      </c>
      <c r="Q154" s="262">
        <f t="shared" si="3"/>
        <v>0</v>
      </c>
      <c r="R154" s="262">
        <f t="shared" si="43"/>
        <v>0</v>
      </c>
      <c r="T154" s="22"/>
    </row>
    <row r="155" spans="1:20" ht="13">
      <c r="A155" s="23" t="s">
        <v>354</v>
      </c>
      <c r="B155" s="260" t="s">
        <v>354</v>
      </c>
      <c r="C155" s="23" t="s">
        <v>133</v>
      </c>
      <c r="D155" s="83" t="s">
        <v>351</v>
      </c>
      <c r="E155" s="22"/>
      <c r="F155" s="22"/>
      <c r="G155" s="22"/>
      <c r="H155" s="22" t="s">
        <v>125</v>
      </c>
      <c r="I155" s="261">
        <f t="shared" ref="I155:I158" si="73">N155*0.22</f>
        <v>1389.663</v>
      </c>
      <c r="J155" s="22" t="s">
        <v>125</v>
      </c>
      <c r="K155" s="261"/>
      <c r="L155" s="22">
        <v>150</v>
      </c>
      <c r="M155" s="281">
        <v>42.110999999999997</v>
      </c>
      <c r="N155" s="261">
        <f t="shared" si="61"/>
        <v>6316.65</v>
      </c>
      <c r="O155" s="261">
        <f t="shared" si="72"/>
        <v>183</v>
      </c>
      <c r="P155" s="259" t="s">
        <v>125</v>
      </c>
      <c r="Q155" s="262">
        <f t="shared" si="3"/>
        <v>0</v>
      </c>
      <c r="R155" s="262">
        <f t="shared" si="43"/>
        <v>0</v>
      </c>
      <c r="T155" s="22"/>
    </row>
    <row r="156" spans="1:20" ht="13">
      <c r="A156" s="23" t="s">
        <v>355</v>
      </c>
      <c r="B156" s="260" t="s">
        <v>355</v>
      </c>
      <c r="C156" s="23" t="s">
        <v>133</v>
      </c>
      <c r="D156" s="83" t="s">
        <v>351</v>
      </c>
      <c r="E156" s="22"/>
      <c r="F156" s="22"/>
      <c r="G156" s="22"/>
      <c r="H156" s="22" t="s">
        <v>125</v>
      </c>
      <c r="I156" s="261">
        <f t="shared" si="73"/>
        <v>14823.071999999998</v>
      </c>
      <c r="J156" s="22" t="s">
        <v>125</v>
      </c>
      <c r="K156" s="261"/>
      <c r="L156" s="22">
        <v>1600</v>
      </c>
      <c r="M156" s="281">
        <v>42.110999999999997</v>
      </c>
      <c r="N156" s="261">
        <f t="shared" si="61"/>
        <v>67377.599999999991</v>
      </c>
      <c r="O156" s="261">
        <f t="shared" si="72"/>
        <v>1952</v>
      </c>
      <c r="P156" s="259" t="s">
        <v>125</v>
      </c>
      <c r="Q156" s="262">
        <f t="shared" si="3"/>
        <v>0</v>
      </c>
      <c r="R156" s="262">
        <f t="shared" si="43"/>
        <v>0</v>
      </c>
      <c r="T156" s="22"/>
    </row>
    <row r="157" spans="1:20" ht="13">
      <c r="A157" s="23" t="s">
        <v>356</v>
      </c>
      <c r="B157" s="260" t="s">
        <v>356</v>
      </c>
      <c r="C157" s="23" t="s">
        <v>122</v>
      </c>
      <c r="D157" s="83" t="s">
        <v>357</v>
      </c>
      <c r="E157" s="22"/>
      <c r="F157" s="22" t="s">
        <v>142</v>
      </c>
      <c r="G157" s="22"/>
      <c r="H157" s="22" t="s">
        <v>125</v>
      </c>
      <c r="I157" s="261">
        <f t="shared" si="73"/>
        <v>27719.34</v>
      </c>
      <c r="J157" s="22" t="s">
        <v>125</v>
      </c>
      <c r="K157" s="261"/>
      <c r="L157" s="22">
        <v>3000</v>
      </c>
      <c r="M157" s="281">
        <v>41.999000000000002</v>
      </c>
      <c r="N157" s="261">
        <f t="shared" si="61"/>
        <v>125997</v>
      </c>
      <c r="O157" s="261">
        <f t="shared" si="72"/>
        <v>3660</v>
      </c>
      <c r="P157" s="259" t="s">
        <v>125</v>
      </c>
      <c r="Q157" s="262">
        <f t="shared" si="3"/>
        <v>0</v>
      </c>
      <c r="R157" s="262">
        <f t="shared" si="43"/>
        <v>0</v>
      </c>
      <c r="T157" s="22"/>
    </row>
    <row r="158" spans="1:20" ht="13">
      <c r="A158" s="23" t="s">
        <v>358</v>
      </c>
      <c r="B158" s="260" t="s">
        <v>358</v>
      </c>
      <c r="C158" s="23" t="s">
        <v>133</v>
      </c>
      <c r="D158" s="83" t="s">
        <v>357</v>
      </c>
      <c r="E158" s="22"/>
      <c r="F158" s="22" t="s">
        <v>359</v>
      </c>
      <c r="G158" s="22"/>
      <c r="H158" s="22" t="s">
        <v>125</v>
      </c>
      <c r="I158" s="261">
        <f t="shared" si="73"/>
        <v>14783.648000000003</v>
      </c>
      <c r="J158" s="22" t="s">
        <v>125</v>
      </c>
      <c r="K158" s="261"/>
      <c r="L158" s="22">
        <v>1600</v>
      </c>
      <c r="M158" s="281">
        <v>41.999000000000002</v>
      </c>
      <c r="N158" s="261">
        <f t="shared" si="61"/>
        <v>67198.400000000009</v>
      </c>
      <c r="O158" s="261">
        <f t="shared" si="72"/>
        <v>1952</v>
      </c>
      <c r="P158" s="259" t="s">
        <v>125</v>
      </c>
      <c r="Q158" s="262">
        <f t="shared" si="3"/>
        <v>0</v>
      </c>
      <c r="R158" s="262">
        <f t="shared" si="43"/>
        <v>0</v>
      </c>
      <c r="T158" s="22"/>
    </row>
    <row r="159" spans="1:20" ht="13">
      <c r="A159" s="23" t="s">
        <v>360</v>
      </c>
      <c r="B159" s="260" t="s">
        <v>360</v>
      </c>
      <c r="C159" s="23" t="s">
        <v>128</v>
      </c>
      <c r="D159" s="83" t="s">
        <v>357</v>
      </c>
      <c r="E159" s="22"/>
      <c r="F159" s="22"/>
      <c r="G159" s="22">
        <v>256756.23</v>
      </c>
      <c r="H159" s="22" t="s">
        <v>125</v>
      </c>
      <c r="I159" s="261">
        <f>G159*0.22</f>
        <v>56486.370600000002</v>
      </c>
      <c r="J159" s="22" t="s">
        <v>125</v>
      </c>
      <c r="K159" s="261">
        <f>G159*1.22</f>
        <v>313242.60060000001</v>
      </c>
      <c r="L159" s="22"/>
      <c r="M159" s="281">
        <v>41.999000000000002</v>
      </c>
      <c r="N159" s="261">
        <f t="shared" si="61"/>
        <v>0</v>
      </c>
      <c r="O159" s="261">
        <f t="shared" si="72"/>
        <v>0</v>
      </c>
      <c r="P159" s="259" t="s">
        <v>125</v>
      </c>
      <c r="Q159" s="262">
        <f t="shared" si="3"/>
        <v>0</v>
      </c>
      <c r="R159" s="262">
        <f t="shared" si="43"/>
        <v>0</v>
      </c>
      <c r="T159" s="22"/>
    </row>
    <row r="160" spans="1:20" ht="13">
      <c r="A160" s="23" t="s">
        <v>267</v>
      </c>
      <c r="B160" s="260" t="s">
        <v>267</v>
      </c>
      <c r="C160" s="23" t="s">
        <v>181</v>
      </c>
      <c r="D160" s="83" t="s">
        <v>357</v>
      </c>
      <c r="E160" s="22"/>
      <c r="F160" s="22"/>
      <c r="G160" s="22"/>
      <c r="H160" s="22" t="s">
        <v>125</v>
      </c>
      <c r="I160" s="261">
        <v>0</v>
      </c>
      <c r="J160" s="22"/>
      <c r="K160" s="261"/>
      <c r="L160" s="22">
        <v>6678</v>
      </c>
      <c r="M160" s="281">
        <v>41.999000000000002</v>
      </c>
      <c r="N160" s="261">
        <f t="shared" si="61"/>
        <v>280469.32200000004</v>
      </c>
      <c r="O160" s="261">
        <f>L160</f>
        <v>6678</v>
      </c>
      <c r="P160" s="259" t="s">
        <v>125</v>
      </c>
      <c r="Q160" s="262">
        <f t="shared" si="3"/>
        <v>0</v>
      </c>
      <c r="R160" s="262">
        <f t="shared" si="43"/>
        <v>0</v>
      </c>
      <c r="T160" s="22"/>
    </row>
    <row r="161" spans="1:20" ht="13">
      <c r="A161" s="23" t="s">
        <v>361</v>
      </c>
      <c r="B161" s="260" t="s">
        <v>361</v>
      </c>
      <c r="C161" s="23" t="s">
        <v>362</v>
      </c>
      <c r="D161" s="83" t="s">
        <v>357</v>
      </c>
      <c r="E161" s="75"/>
      <c r="F161" s="22"/>
      <c r="G161" s="22"/>
      <c r="H161" s="22" t="s">
        <v>125</v>
      </c>
      <c r="I161" s="261">
        <f t="shared" ref="I161:I162" si="74">N161*0.22</f>
        <v>18109.968800000002</v>
      </c>
      <c r="J161" s="22" t="s">
        <v>125</v>
      </c>
      <c r="K161" s="261"/>
      <c r="L161" s="22">
        <v>1960</v>
      </c>
      <c r="M161" s="281">
        <v>41.999000000000002</v>
      </c>
      <c r="N161" s="261">
        <f t="shared" si="61"/>
        <v>82318.040000000008</v>
      </c>
      <c r="O161" s="261">
        <f t="shared" ref="O161:O162" si="75">L161*1.22</f>
        <v>2391.1999999999998</v>
      </c>
      <c r="P161" s="259" t="s">
        <v>125</v>
      </c>
      <c r="Q161" s="262">
        <f t="shared" si="3"/>
        <v>0</v>
      </c>
      <c r="R161" s="262">
        <f t="shared" si="43"/>
        <v>0</v>
      </c>
      <c r="T161" s="22"/>
    </row>
    <row r="162" spans="1:20" ht="13">
      <c r="A162" s="23" t="s">
        <v>363</v>
      </c>
      <c r="B162" s="260" t="s">
        <v>363</v>
      </c>
      <c r="C162" s="23" t="s">
        <v>122</v>
      </c>
      <c r="D162" s="83" t="s">
        <v>364</v>
      </c>
      <c r="E162" s="75"/>
      <c r="F162" s="22" t="s">
        <v>142</v>
      </c>
      <c r="G162" s="22"/>
      <c r="H162" s="22" t="s">
        <v>125</v>
      </c>
      <c r="I162" s="261">
        <f t="shared" si="74"/>
        <v>38510.471999999994</v>
      </c>
      <c r="J162" s="22" t="s">
        <v>125</v>
      </c>
      <c r="K162" s="261"/>
      <c r="L162" s="22">
        <v>4200</v>
      </c>
      <c r="M162" s="281">
        <v>41.677999999999997</v>
      </c>
      <c r="N162" s="261">
        <f t="shared" si="61"/>
        <v>175047.59999999998</v>
      </c>
      <c r="O162" s="261">
        <f t="shared" si="75"/>
        <v>5124</v>
      </c>
      <c r="P162" s="259" t="s">
        <v>125</v>
      </c>
      <c r="Q162" s="262">
        <f t="shared" si="3"/>
        <v>0</v>
      </c>
      <c r="R162" s="262">
        <f t="shared" si="43"/>
        <v>0</v>
      </c>
      <c r="T162" s="22"/>
    </row>
    <row r="163" spans="1:20" ht="13">
      <c r="A163" s="23" t="s">
        <v>271</v>
      </c>
      <c r="B163" s="260" t="s">
        <v>271</v>
      </c>
      <c r="C163" s="23" t="s">
        <v>181</v>
      </c>
      <c r="D163" s="83" t="s">
        <v>364</v>
      </c>
      <c r="E163" s="75"/>
      <c r="F163" s="22" t="s">
        <v>334</v>
      </c>
      <c r="G163" s="22"/>
      <c r="H163" s="22" t="s">
        <v>125</v>
      </c>
      <c r="I163" s="261">
        <v>0</v>
      </c>
      <c r="J163" s="22"/>
      <c r="K163" s="261"/>
      <c r="L163" s="22">
        <v>6572</v>
      </c>
      <c r="M163" s="281">
        <v>41.677999999999997</v>
      </c>
      <c r="N163" s="261">
        <f t="shared" si="61"/>
        <v>273907.81599999999</v>
      </c>
      <c r="O163" s="261">
        <f>L163</f>
        <v>6572</v>
      </c>
      <c r="P163" s="259" t="s">
        <v>125</v>
      </c>
      <c r="Q163" s="262">
        <f t="shared" si="3"/>
        <v>0</v>
      </c>
      <c r="R163" s="262">
        <f t="shared" si="43"/>
        <v>0</v>
      </c>
      <c r="T163" s="22"/>
    </row>
    <row r="164" spans="1:20" ht="13">
      <c r="A164" s="23" t="s">
        <v>365</v>
      </c>
      <c r="B164" s="260" t="s">
        <v>365</v>
      </c>
      <c r="C164" s="23" t="s">
        <v>128</v>
      </c>
      <c r="D164" s="83" t="s">
        <v>364</v>
      </c>
      <c r="E164" s="75"/>
      <c r="F164" s="22"/>
      <c r="G164" s="22">
        <v>279445.64</v>
      </c>
      <c r="H164" s="22" t="s">
        <v>125</v>
      </c>
      <c r="I164" s="261">
        <f>G164*0.22</f>
        <v>61478.040800000002</v>
      </c>
      <c r="J164" s="22" t="s">
        <v>125</v>
      </c>
      <c r="K164" s="261">
        <f>G164*1.22</f>
        <v>340923.68080000003</v>
      </c>
      <c r="L164" s="22"/>
      <c r="M164" s="281">
        <v>41.677999999999997</v>
      </c>
      <c r="N164" s="261">
        <f t="shared" si="61"/>
        <v>0</v>
      </c>
      <c r="O164" s="261">
        <f t="shared" ref="O164:O170" si="76">L164*1.22</f>
        <v>0</v>
      </c>
      <c r="P164" s="259" t="s">
        <v>125</v>
      </c>
      <c r="Q164" s="262">
        <f t="shared" si="3"/>
        <v>0</v>
      </c>
      <c r="R164" s="262">
        <f t="shared" si="43"/>
        <v>0</v>
      </c>
      <c r="T164" s="22"/>
    </row>
    <row r="165" spans="1:20" ht="13">
      <c r="A165" s="23" t="s">
        <v>366</v>
      </c>
      <c r="B165" s="260" t="s">
        <v>366</v>
      </c>
      <c r="C165" s="23" t="s">
        <v>362</v>
      </c>
      <c r="D165" s="83" t="s">
        <v>364</v>
      </c>
      <c r="E165" s="75"/>
      <c r="F165" s="22" t="s">
        <v>367</v>
      </c>
      <c r="G165" s="22"/>
      <c r="H165" s="22" t="s">
        <v>125</v>
      </c>
      <c r="I165" s="261">
        <f t="shared" ref="I165:I168" si="77">N165*0.22</f>
        <v>51347.295999999995</v>
      </c>
      <c r="J165" s="22" t="s">
        <v>125</v>
      </c>
      <c r="K165" s="261"/>
      <c r="L165" s="22">
        <v>5600</v>
      </c>
      <c r="M165" s="281">
        <v>41.677999999999997</v>
      </c>
      <c r="N165" s="261">
        <f t="shared" si="61"/>
        <v>233396.8</v>
      </c>
      <c r="O165" s="261">
        <f t="shared" si="76"/>
        <v>6832</v>
      </c>
      <c r="P165" s="259" t="s">
        <v>125</v>
      </c>
      <c r="Q165" s="262">
        <f t="shared" si="3"/>
        <v>0</v>
      </c>
      <c r="R165" s="262">
        <f t="shared" si="43"/>
        <v>0</v>
      </c>
      <c r="T165" s="22"/>
    </row>
    <row r="166" spans="1:20" ht="13">
      <c r="A166" s="23" t="s">
        <v>368</v>
      </c>
      <c r="B166" s="260" t="s">
        <v>368</v>
      </c>
      <c r="C166" s="23" t="s">
        <v>133</v>
      </c>
      <c r="D166" s="83" t="s">
        <v>364</v>
      </c>
      <c r="E166" s="75"/>
      <c r="F166" s="22" t="s">
        <v>159</v>
      </c>
      <c r="G166" s="22"/>
      <c r="H166" s="22" t="s">
        <v>125</v>
      </c>
      <c r="I166" s="261">
        <f t="shared" si="77"/>
        <v>14670.655999999997</v>
      </c>
      <c r="J166" s="22" t="s">
        <v>125</v>
      </c>
      <c r="K166" s="261"/>
      <c r="L166" s="22">
        <v>1600</v>
      </c>
      <c r="M166" s="281">
        <v>41.677999999999997</v>
      </c>
      <c r="N166" s="261">
        <f t="shared" si="61"/>
        <v>66684.799999999988</v>
      </c>
      <c r="O166" s="261">
        <f t="shared" si="76"/>
        <v>1952</v>
      </c>
      <c r="P166" s="259" t="s">
        <v>125</v>
      </c>
      <c r="Q166" s="262">
        <f t="shared" si="3"/>
        <v>0</v>
      </c>
      <c r="R166" s="262">
        <f t="shared" si="43"/>
        <v>0</v>
      </c>
      <c r="T166" s="22"/>
    </row>
    <row r="167" spans="1:20" ht="13">
      <c r="A167" s="23" t="s">
        <v>369</v>
      </c>
      <c r="B167" s="260" t="s">
        <v>369</v>
      </c>
      <c r="C167" s="23" t="s">
        <v>133</v>
      </c>
      <c r="D167" s="83" t="s">
        <v>364</v>
      </c>
      <c r="E167" s="75"/>
      <c r="F167" s="22" t="s">
        <v>300</v>
      </c>
      <c r="G167" s="22"/>
      <c r="H167" s="22" t="s">
        <v>125</v>
      </c>
      <c r="I167" s="261">
        <f t="shared" si="77"/>
        <v>12378.366</v>
      </c>
      <c r="J167" s="22" t="s">
        <v>125</v>
      </c>
      <c r="K167" s="261"/>
      <c r="L167" s="22">
        <v>1350</v>
      </c>
      <c r="M167" s="281">
        <v>41.677999999999997</v>
      </c>
      <c r="N167" s="261">
        <f t="shared" si="61"/>
        <v>56265.299999999996</v>
      </c>
      <c r="O167" s="261">
        <f t="shared" si="76"/>
        <v>1647</v>
      </c>
      <c r="P167" s="259" t="s">
        <v>125</v>
      </c>
      <c r="Q167" s="262">
        <f t="shared" si="3"/>
        <v>0</v>
      </c>
      <c r="R167" s="262">
        <f t="shared" si="43"/>
        <v>0</v>
      </c>
      <c r="T167" s="22"/>
    </row>
    <row r="168" spans="1:20" ht="13">
      <c r="A168" s="23" t="s">
        <v>370</v>
      </c>
      <c r="B168" s="260" t="s">
        <v>370</v>
      </c>
      <c r="C168" s="23" t="s">
        <v>133</v>
      </c>
      <c r="D168" s="83" t="s">
        <v>364</v>
      </c>
      <c r="E168" s="75"/>
      <c r="F168" s="22" t="s">
        <v>371</v>
      </c>
      <c r="G168" s="22"/>
      <c r="H168" s="22" t="s">
        <v>125</v>
      </c>
      <c r="I168" s="261">
        <f t="shared" si="77"/>
        <v>73720.046400000007</v>
      </c>
      <c r="J168" s="22" t="s">
        <v>125</v>
      </c>
      <c r="K168" s="261"/>
      <c r="L168" s="22">
        <v>8040</v>
      </c>
      <c r="M168" s="281">
        <v>41.677999999999997</v>
      </c>
      <c r="N168" s="261">
        <f t="shared" si="61"/>
        <v>335091.12</v>
      </c>
      <c r="O168" s="261">
        <f t="shared" si="76"/>
        <v>9808.7999999999993</v>
      </c>
      <c r="P168" s="259" t="s">
        <v>125</v>
      </c>
      <c r="Q168" s="262">
        <f t="shared" si="3"/>
        <v>0</v>
      </c>
      <c r="R168" s="262">
        <f t="shared" si="43"/>
        <v>0</v>
      </c>
      <c r="T168" s="22"/>
    </row>
    <row r="169" spans="1:20" ht="13">
      <c r="A169" s="23" t="s">
        <v>372</v>
      </c>
      <c r="B169" s="260" t="s">
        <v>372</v>
      </c>
      <c r="C169" s="23" t="s">
        <v>128</v>
      </c>
      <c r="D169" s="83" t="s">
        <v>373</v>
      </c>
      <c r="E169" s="75"/>
      <c r="F169" s="22"/>
      <c r="G169" s="22">
        <v>186626.77</v>
      </c>
      <c r="H169" s="22" t="s">
        <v>125</v>
      </c>
      <c r="I169" s="261">
        <f>G169*0.22</f>
        <v>41057.8894</v>
      </c>
      <c r="J169" s="22" t="s">
        <v>125</v>
      </c>
      <c r="K169" s="261">
        <f>G169*1.22</f>
        <v>227684.65939999997</v>
      </c>
      <c r="L169" s="22"/>
      <c r="M169" s="281">
        <v>39.936</v>
      </c>
      <c r="N169" s="261">
        <f t="shared" si="61"/>
        <v>0</v>
      </c>
      <c r="O169" s="261">
        <f t="shared" si="76"/>
        <v>0</v>
      </c>
      <c r="P169" s="259" t="s">
        <v>125</v>
      </c>
      <c r="Q169" s="262">
        <f t="shared" si="3"/>
        <v>0</v>
      </c>
      <c r="R169" s="262">
        <f t="shared" si="43"/>
        <v>0</v>
      </c>
      <c r="T169" s="22"/>
    </row>
    <row r="170" spans="1:20" ht="13">
      <c r="A170" s="23" t="s">
        <v>374</v>
      </c>
      <c r="B170" s="260" t="s">
        <v>374</v>
      </c>
      <c r="C170" s="23" t="s">
        <v>122</v>
      </c>
      <c r="D170" s="83" t="s">
        <v>373</v>
      </c>
      <c r="E170" s="75"/>
      <c r="F170" s="22"/>
      <c r="G170" s="22"/>
      <c r="H170" s="22" t="s">
        <v>125</v>
      </c>
      <c r="I170" s="261">
        <f>N170*0.22</f>
        <v>36900.864000000001</v>
      </c>
      <c r="J170" s="22" t="s">
        <v>125</v>
      </c>
      <c r="K170" s="261"/>
      <c r="L170" s="22">
        <v>4200</v>
      </c>
      <c r="M170" s="281">
        <v>39.936</v>
      </c>
      <c r="N170" s="261">
        <f t="shared" si="61"/>
        <v>167731.20000000001</v>
      </c>
      <c r="O170" s="261">
        <f t="shared" si="76"/>
        <v>5124</v>
      </c>
      <c r="P170" s="259" t="s">
        <v>125</v>
      </c>
      <c r="Q170" s="262">
        <f t="shared" si="3"/>
        <v>0</v>
      </c>
      <c r="R170" s="262">
        <f t="shared" si="43"/>
        <v>0</v>
      </c>
      <c r="T170" s="22">
        <v>4200</v>
      </c>
    </row>
    <row r="171" spans="1:20" ht="13">
      <c r="A171" s="23" t="s">
        <v>272</v>
      </c>
      <c r="B171" s="260" t="s">
        <v>272</v>
      </c>
      <c r="C171" s="23" t="s">
        <v>181</v>
      </c>
      <c r="D171" s="83" t="s">
        <v>373</v>
      </c>
      <c r="E171" s="75"/>
      <c r="F171" s="22"/>
      <c r="G171" s="22"/>
      <c r="H171" s="22" t="s">
        <v>125</v>
      </c>
      <c r="I171" s="261">
        <v>0</v>
      </c>
      <c r="J171" s="22"/>
      <c r="K171" s="261"/>
      <c r="L171" s="22">
        <v>2120</v>
      </c>
      <c r="M171" s="281">
        <v>39.936</v>
      </c>
      <c r="N171" s="261">
        <f t="shared" si="61"/>
        <v>84664.320000000007</v>
      </c>
      <c r="O171" s="261">
        <f>L171</f>
        <v>2120</v>
      </c>
      <c r="P171" s="259" t="s">
        <v>125</v>
      </c>
      <c r="Q171" s="262">
        <f t="shared" si="3"/>
        <v>0</v>
      </c>
      <c r="R171" s="262">
        <f t="shared" si="43"/>
        <v>0</v>
      </c>
      <c r="T171" s="22"/>
    </row>
    <row r="172" spans="1:20" ht="13">
      <c r="A172" s="23" t="s">
        <v>375</v>
      </c>
      <c r="B172" s="260" t="s">
        <v>375</v>
      </c>
      <c r="C172" s="23" t="s">
        <v>133</v>
      </c>
      <c r="D172" s="83" t="s">
        <v>373</v>
      </c>
      <c r="E172" s="75"/>
      <c r="F172" s="22" t="s">
        <v>300</v>
      </c>
      <c r="G172" s="22"/>
      <c r="H172" s="22" t="s">
        <v>125</v>
      </c>
      <c r="I172" s="261">
        <f t="shared" ref="I172:I179" si="78">N172*0.22</f>
        <v>2196.48</v>
      </c>
      <c r="J172" s="22" t="s">
        <v>125</v>
      </c>
      <c r="K172" s="261"/>
      <c r="L172" s="22">
        <v>250</v>
      </c>
      <c r="M172" s="281">
        <v>39.936</v>
      </c>
      <c r="N172" s="261">
        <f t="shared" si="61"/>
        <v>9984</v>
      </c>
      <c r="O172" s="261">
        <f t="shared" ref="O172:O180" si="79">L172*1.22</f>
        <v>305</v>
      </c>
      <c r="P172" s="259" t="s">
        <v>125</v>
      </c>
      <c r="Q172" s="262">
        <f t="shared" si="3"/>
        <v>0</v>
      </c>
      <c r="R172" s="262">
        <f t="shared" si="43"/>
        <v>0</v>
      </c>
      <c r="T172" s="22"/>
    </row>
    <row r="173" spans="1:20" ht="13">
      <c r="A173" s="23" t="s">
        <v>376</v>
      </c>
      <c r="B173" s="260" t="s">
        <v>376</v>
      </c>
      <c r="C173" s="23" t="s">
        <v>133</v>
      </c>
      <c r="D173" s="83" t="s">
        <v>373</v>
      </c>
      <c r="E173" s="75"/>
      <c r="F173" s="22" t="s">
        <v>159</v>
      </c>
      <c r="G173" s="22"/>
      <c r="H173" s="22" t="s">
        <v>125</v>
      </c>
      <c r="I173" s="261">
        <f t="shared" si="78"/>
        <v>14057.472</v>
      </c>
      <c r="J173" s="22" t="s">
        <v>125</v>
      </c>
      <c r="K173" s="261"/>
      <c r="L173" s="22">
        <v>1600</v>
      </c>
      <c r="M173" s="281">
        <v>39.936</v>
      </c>
      <c r="N173" s="261">
        <f t="shared" si="61"/>
        <v>63897.599999999999</v>
      </c>
      <c r="O173" s="261">
        <f t="shared" si="79"/>
        <v>1952</v>
      </c>
      <c r="P173" s="259" t="s">
        <v>125</v>
      </c>
      <c r="Q173" s="262">
        <f t="shared" si="3"/>
        <v>0</v>
      </c>
      <c r="R173" s="262">
        <f t="shared" si="43"/>
        <v>0</v>
      </c>
      <c r="T173" s="22"/>
    </row>
    <row r="174" spans="1:20" ht="13">
      <c r="A174" s="23" t="s">
        <v>377</v>
      </c>
      <c r="B174" s="260" t="s">
        <v>377</v>
      </c>
      <c r="C174" s="23" t="s">
        <v>362</v>
      </c>
      <c r="D174" s="83" t="s">
        <v>373</v>
      </c>
      <c r="E174" s="75"/>
      <c r="F174" s="22" t="s">
        <v>367</v>
      </c>
      <c r="G174" s="22"/>
      <c r="H174" s="22" t="s">
        <v>125</v>
      </c>
      <c r="I174" s="261">
        <f t="shared" si="78"/>
        <v>34440.806400000001</v>
      </c>
      <c r="J174" s="22" t="s">
        <v>125</v>
      </c>
      <c r="K174" s="261"/>
      <c r="L174" s="22">
        <v>3920</v>
      </c>
      <c r="M174" s="281">
        <v>39.936</v>
      </c>
      <c r="N174" s="261">
        <f t="shared" si="61"/>
        <v>156549.12</v>
      </c>
      <c r="O174" s="261">
        <f t="shared" si="79"/>
        <v>4782.3999999999996</v>
      </c>
      <c r="P174" s="259" t="s">
        <v>125</v>
      </c>
      <c r="Q174" s="262">
        <f t="shared" si="3"/>
        <v>0</v>
      </c>
      <c r="R174" s="262">
        <f t="shared" si="43"/>
        <v>0</v>
      </c>
      <c r="T174" s="22"/>
    </row>
    <row r="175" spans="1:20" ht="13">
      <c r="A175" s="23" t="s">
        <v>378</v>
      </c>
      <c r="B175" s="260" t="s">
        <v>378</v>
      </c>
      <c r="C175" s="23" t="s">
        <v>362</v>
      </c>
      <c r="D175" s="83" t="s">
        <v>373</v>
      </c>
      <c r="E175" s="75"/>
      <c r="F175" s="22"/>
      <c r="G175" s="22"/>
      <c r="H175" s="22" t="s">
        <v>125</v>
      </c>
      <c r="I175" s="261">
        <f t="shared" si="78"/>
        <v>46741.094399999994</v>
      </c>
      <c r="J175" s="22" t="s">
        <v>125</v>
      </c>
      <c r="K175" s="261"/>
      <c r="L175" s="22">
        <v>5320</v>
      </c>
      <c r="M175" s="281">
        <v>39.936</v>
      </c>
      <c r="N175" s="261">
        <f t="shared" si="61"/>
        <v>212459.51999999999</v>
      </c>
      <c r="O175" s="261">
        <f t="shared" si="79"/>
        <v>6490.4</v>
      </c>
      <c r="P175" s="259" t="s">
        <v>125</v>
      </c>
      <c r="Q175" s="262">
        <f t="shared" si="3"/>
        <v>0</v>
      </c>
      <c r="R175" s="262">
        <f t="shared" si="43"/>
        <v>0</v>
      </c>
      <c r="T175" s="22"/>
    </row>
    <row r="176" spans="1:20" ht="13">
      <c r="A176" s="23" t="s">
        <v>379</v>
      </c>
      <c r="B176" s="260" t="s">
        <v>379</v>
      </c>
      <c r="C176" s="23" t="s">
        <v>122</v>
      </c>
      <c r="D176" s="83" t="s">
        <v>67</v>
      </c>
      <c r="E176" s="75"/>
      <c r="F176" s="22" t="s">
        <v>142</v>
      </c>
      <c r="G176" s="22"/>
      <c r="H176" s="22" t="s">
        <v>125</v>
      </c>
      <c r="I176" s="261">
        <f t="shared" si="78"/>
        <v>31808.303999999996</v>
      </c>
      <c r="J176" s="22" t="s">
        <v>125</v>
      </c>
      <c r="K176" s="261"/>
      <c r="L176" s="22">
        <v>3600</v>
      </c>
      <c r="M176" s="281">
        <v>40.161999999999999</v>
      </c>
      <c r="N176" s="261">
        <f t="shared" si="61"/>
        <v>144583.19999999998</v>
      </c>
      <c r="O176" s="261">
        <f t="shared" si="79"/>
        <v>4392</v>
      </c>
      <c r="P176" s="259" t="s">
        <v>125</v>
      </c>
      <c r="Q176" s="262">
        <f t="shared" si="3"/>
        <v>0</v>
      </c>
      <c r="R176" s="262">
        <f t="shared" si="43"/>
        <v>0</v>
      </c>
      <c r="T176" s="22">
        <v>3600</v>
      </c>
    </row>
    <row r="177" spans="1:20" ht="13">
      <c r="A177" s="23" t="s">
        <v>380</v>
      </c>
      <c r="B177" s="260" t="s">
        <v>380</v>
      </c>
      <c r="C177" s="23" t="s">
        <v>133</v>
      </c>
      <c r="D177" s="83" t="s">
        <v>67</v>
      </c>
      <c r="E177" s="75"/>
      <c r="F177" s="22" t="s">
        <v>381</v>
      </c>
      <c r="G177" s="22"/>
      <c r="H177" s="22" t="s">
        <v>125</v>
      </c>
      <c r="I177" s="261">
        <f t="shared" si="78"/>
        <v>1104.4549999999999</v>
      </c>
      <c r="J177" s="22" t="s">
        <v>125</v>
      </c>
      <c r="K177" s="261"/>
      <c r="L177" s="22">
        <v>125</v>
      </c>
      <c r="M177" s="281">
        <v>40.161999999999999</v>
      </c>
      <c r="N177" s="261">
        <f t="shared" si="61"/>
        <v>5020.25</v>
      </c>
      <c r="O177" s="261">
        <f t="shared" si="79"/>
        <v>152.5</v>
      </c>
      <c r="P177" s="259" t="s">
        <v>125</v>
      </c>
      <c r="Q177" s="262">
        <f t="shared" si="3"/>
        <v>0</v>
      </c>
      <c r="R177" s="262">
        <f t="shared" si="43"/>
        <v>0</v>
      </c>
      <c r="T177" s="22"/>
    </row>
    <row r="178" spans="1:20" ht="13">
      <c r="A178" s="23" t="s">
        <v>382</v>
      </c>
      <c r="B178" s="260" t="s">
        <v>382</v>
      </c>
      <c r="C178" s="23" t="s">
        <v>133</v>
      </c>
      <c r="D178" s="83" t="s">
        <v>67</v>
      </c>
      <c r="E178" s="75"/>
      <c r="F178" s="22" t="s">
        <v>159</v>
      </c>
      <c r="G178" s="22"/>
      <c r="H178" s="22" t="s">
        <v>125</v>
      </c>
      <c r="I178" s="261">
        <f t="shared" si="78"/>
        <v>14137.023999999999</v>
      </c>
      <c r="J178" s="22" t="s">
        <v>125</v>
      </c>
      <c r="K178" s="261"/>
      <c r="L178" s="22">
        <v>1600</v>
      </c>
      <c r="M178" s="281">
        <v>40.161999999999999</v>
      </c>
      <c r="N178" s="261">
        <f t="shared" si="61"/>
        <v>64259.199999999997</v>
      </c>
      <c r="O178" s="261">
        <f t="shared" si="79"/>
        <v>1952</v>
      </c>
      <c r="P178" s="259" t="s">
        <v>125</v>
      </c>
      <c r="Q178" s="262">
        <f t="shared" si="3"/>
        <v>0</v>
      </c>
      <c r="R178" s="262">
        <f t="shared" si="43"/>
        <v>0</v>
      </c>
      <c r="T178" s="22"/>
    </row>
    <row r="179" spans="1:20" ht="13">
      <c r="A179" s="23" t="s">
        <v>383</v>
      </c>
      <c r="B179" s="260" t="s">
        <v>383</v>
      </c>
      <c r="C179" s="23" t="s">
        <v>133</v>
      </c>
      <c r="D179" s="83" t="s">
        <v>67</v>
      </c>
      <c r="E179" s="75"/>
      <c r="F179" s="22" t="s">
        <v>300</v>
      </c>
      <c r="G179" s="22"/>
      <c r="H179" s="22" t="s">
        <v>125</v>
      </c>
      <c r="I179" s="261">
        <f t="shared" si="78"/>
        <v>13916.133</v>
      </c>
      <c r="J179" s="22" t="s">
        <v>125</v>
      </c>
      <c r="K179" s="261"/>
      <c r="L179" s="22">
        <v>1575</v>
      </c>
      <c r="M179" s="281">
        <v>40.161999999999999</v>
      </c>
      <c r="N179" s="261">
        <f t="shared" si="61"/>
        <v>63255.15</v>
      </c>
      <c r="O179" s="261">
        <f t="shared" si="79"/>
        <v>1921.5</v>
      </c>
      <c r="P179" s="259" t="s">
        <v>125</v>
      </c>
      <c r="Q179" s="262">
        <f t="shared" si="3"/>
        <v>0</v>
      </c>
      <c r="R179" s="262">
        <f t="shared" si="43"/>
        <v>0</v>
      </c>
      <c r="T179" s="22"/>
    </row>
    <row r="180" spans="1:20" ht="13">
      <c r="A180" s="23" t="s">
        <v>384</v>
      </c>
      <c r="B180" s="260" t="s">
        <v>384</v>
      </c>
      <c r="C180" s="23" t="s">
        <v>128</v>
      </c>
      <c r="D180" s="83" t="s">
        <v>67</v>
      </c>
      <c r="E180" s="75"/>
      <c r="F180" s="22" t="s">
        <v>385</v>
      </c>
      <c r="G180" s="22">
        <v>262483.90999999997</v>
      </c>
      <c r="H180" s="22" t="s">
        <v>125</v>
      </c>
      <c r="I180" s="261">
        <f>G180*0.22</f>
        <v>57746.460199999994</v>
      </c>
      <c r="J180" s="22" t="s">
        <v>125</v>
      </c>
      <c r="K180" s="261">
        <f>G180*1.22</f>
        <v>320230.37019999995</v>
      </c>
      <c r="L180" s="22"/>
      <c r="M180" s="281">
        <v>40.161999999999999</v>
      </c>
      <c r="N180" s="261">
        <f t="shared" si="61"/>
        <v>0</v>
      </c>
      <c r="O180" s="261">
        <f t="shared" si="79"/>
        <v>0</v>
      </c>
      <c r="P180" s="259" t="s">
        <v>125</v>
      </c>
      <c r="Q180" s="262">
        <f t="shared" si="3"/>
        <v>0</v>
      </c>
      <c r="R180" s="262">
        <f t="shared" si="43"/>
        <v>0</v>
      </c>
      <c r="T180" s="22"/>
    </row>
    <row r="181" spans="1:20" ht="13">
      <c r="A181" s="23" t="s">
        <v>274</v>
      </c>
      <c r="B181" s="260" t="s">
        <v>274</v>
      </c>
      <c r="C181" s="23" t="s">
        <v>181</v>
      </c>
      <c r="D181" s="83" t="s">
        <v>67</v>
      </c>
      <c r="E181" s="75"/>
      <c r="F181" s="22" t="s">
        <v>334</v>
      </c>
      <c r="G181" s="22"/>
      <c r="H181" s="22" t="s">
        <v>125</v>
      </c>
      <c r="I181" s="261">
        <v>0</v>
      </c>
      <c r="J181" s="22" t="s">
        <v>125</v>
      </c>
      <c r="K181" s="261"/>
      <c r="L181" s="22">
        <v>2120</v>
      </c>
      <c r="M181" s="281">
        <v>40.161999999999999</v>
      </c>
      <c r="N181" s="261">
        <f t="shared" si="61"/>
        <v>85143.44</v>
      </c>
      <c r="O181" s="261">
        <f>L181</f>
        <v>2120</v>
      </c>
      <c r="P181" s="259" t="s">
        <v>125</v>
      </c>
      <c r="Q181" s="262">
        <f t="shared" si="3"/>
        <v>0</v>
      </c>
      <c r="R181" s="262">
        <f t="shared" si="43"/>
        <v>0</v>
      </c>
      <c r="T181" s="22"/>
    </row>
    <row r="182" spans="1:20" ht="13">
      <c r="A182" s="23" t="s">
        <v>386</v>
      </c>
      <c r="B182" s="260" t="s">
        <v>386</v>
      </c>
      <c r="C182" s="23" t="s">
        <v>362</v>
      </c>
      <c r="D182" s="83" t="s">
        <v>67</v>
      </c>
      <c r="E182" s="75"/>
      <c r="F182" s="22" t="s">
        <v>387</v>
      </c>
      <c r="G182" s="22"/>
      <c r="H182" s="22" t="s">
        <v>125</v>
      </c>
      <c r="I182" s="261">
        <f t="shared" ref="I182:I184" si="80">N182*0.22</f>
        <v>108855.0848</v>
      </c>
      <c r="J182" s="22" t="s">
        <v>125</v>
      </c>
      <c r="K182" s="261"/>
      <c r="L182" s="22">
        <v>12320</v>
      </c>
      <c r="M182" s="281">
        <v>40.161999999999999</v>
      </c>
      <c r="N182" s="261">
        <f t="shared" si="61"/>
        <v>494795.83999999997</v>
      </c>
      <c r="O182" s="261">
        <f t="shared" ref="O182:O188" si="81">L182*1.22</f>
        <v>15030.4</v>
      </c>
      <c r="P182" s="259" t="s">
        <v>125</v>
      </c>
      <c r="Q182" s="262">
        <f t="shared" si="3"/>
        <v>0</v>
      </c>
      <c r="R182" s="262">
        <f t="shared" si="43"/>
        <v>0</v>
      </c>
      <c r="T182" s="22"/>
    </row>
    <row r="183" spans="1:20" ht="13">
      <c r="A183" s="23" t="s">
        <v>388</v>
      </c>
      <c r="B183" s="260" t="s">
        <v>388</v>
      </c>
      <c r="C183" s="23" t="s">
        <v>362</v>
      </c>
      <c r="D183" s="83" t="s">
        <v>389</v>
      </c>
      <c r="E183" s="75"/>
      <c r="F183" s="22" t="s">
        <v>387</v>
      </c>
      <c r="G183" s="22"/>
      <c r="H183" s="22" t="s">
        <v>125</v>
      </c>
      <c r="I183" s="261">
        <f t="shared" si="80"/>
        <v>98547.680000000008</v>
      </c>
      <c r="J183" s="22" t="s">
        <v>125</v>
      </c>
      <c r="K183" s="261"/>
      <c r="L183" s="22">
        <v>11200</v>
      </c>
      <c r="M183" s="281">
        <v>39.994999999999997</v>
      </c>
      <c r="N183" s="261">
        <f t="shared" si="61"/>
        <v>447944</v>
      </c>
      <c r="O183" s="261">
        <f t="shared" si="81"/>
        <v>13664</v>
      </c>
      <c r="P183" s="259" t="s">
        <v>125</v>
      </c>
      <c r="Q183" s="262">
        <f t="shared" si="3"/>
        <v>0</v>
      </c>
      <c r="R183" s="262">
        <f t="shared" si="43"/>
        <v>0</v>
      </c>
      <c r="T183" s="22"/>
    </row>
    <row r="184" spans="1:20" ht="13">
      <c r="A184" s="23" t="s">
        <v>390</v>
      </c>
      <c r="B184" s="260" t="s">
        <v>390</v>
      </c>
      <c r="C184" s="23" t="s">
        <v>122</v>
      </c>
      <c r="D184" s="83" t="s">
        <v>389</v>
      </c>
      <c r="E184" s="75"/>
      <c r="F184" s="22" t="s">
        <v>142</v>
      </c>
      <c r="G184" s="22"/>
      <c r="H184" s="22" t="s">
        <v>125</v>
      </c>
      <c r="I184" s="261">
        <f t="shared" si="80"/>
        <v>27716.534999999996</v>
      </c>
      <c r="J184" s="22" t="s">
        <v>125</v>
      </c>
      <c r="K184" s="261"/>
      <c r="L184" s="22">
        <v>3150</v>
      </c>
      <c r="M184" s="281">
        <v>39.994999999999997</v>
      </c>
      <c r="N184" s="261">
        <f t="shared" si="61"/>
        <v>125984.24999999999</v>
      </c>
      <c r="O184" s="261">
        <f t="shared" si="81"/>
        <v>3843</v>
      </c>
      <c r="P184" s="259" t="s">
        <v>125</v>
      </c>
      <c r="Q184" s="262">
        <f t="shared" si="3"/>
        <v>0</v>
      </c>
      <c r="R184" s="262">
        <f t="shared" si="43"/>
        <v>0</v>
      </c>
      <c r="T184" s="22">
        <v>3150</v>
      </c>
    </row>
    <row r="185" spans="1:20" ht="13">
      <c r="A185" s="23" t="s">
        <v>391</v>
      </c>
      <c r="B185" s="260" t="s">
        <v>391</v>
      </c>
      <c r="C185" s="23" t="s">
        <v>128</v>
      </c>
      <c r="D185" s="83" t="s">
        <v>389</v>
      </c>
      <c r="E185" s="75"/>
      <c r="F185" s="22"/>
      <c r="G185" s="22">
        <v>194070.32</v>
      </c>
      <c r="H185" s="22" t="s">
        <v>125</v>
      </c>
      <c r="I185" s="261">
        <f>G185*0.22</f>
        <v>42695.470399999998</v>
      </c>
      <c r="J185" s="22" t="s">
        <v>125</v>
      </c>
      <c r="K185" s="261">
        <f>G185*1.22</f>
        <v>236765.7904</v>
      </c>
      <c r="L185" s="22"/>
      <c r="M185" s="281">
        <v>39.994999999999997</v>
      </c>
      <c r="N185" s="261">
        <f t="shared" si="61"/>
        <v>0</v>
      </c>
      <c r="O185" s="261">
        <f t="shared" si="81"/>
        <v>0</v>
      </c>
      <c r="P185" s="259" t="s">
        <v>125</v>
      </c>
      <c r="Q185" s="262">
        <f t="shared" si="3"/>
        <v>0</v>
      </c>
      <c r="R185" s="262">
        <f t="shared" si="43"/>
        <v>0</v>
      </c>
      <c r="T185" s="22"/>
    </row>
    <row r="186" spans="1:20" ht="13">
      <c r="A186" s="23" t="s">
        <v>392</v>
      </c>
      <c r="B186" s="260" t="s">
        <v>392</v>
      </c>
      <c r="C186" s="23" t="s">
        <v>133</v>
      </c>
      <c r="D186" s="83" t="s">
        <v>389</v>
      </c>
      <c r="E186" s="75"/>
      <c r="F186" s="22" t="s">
        <v>393</v>
      </c>
      <c r="G186" s="22"/>
      <c r="H186" s="22" t="s">
        <v>125</v>
      </c>
      <c r="I186" s="261">
        <f t="shared" ref="I186:I188" si="82">N186*0.22</f>
        <v>36110.685599999997</v>
      </c>
      <c r="J186" s="22" t="s">
        <v>125</v>
      </c>
      <c r="K186" s="261"/>
      <c r="L186" s="22">
        <v>4104</v>
      </c>
      <c r="M186" s="281">
        <v>39.994999999999997</v>
      </c>
      <c r="N186" s="261">
        <f t="shared" si="61"/>
        <v>164139.47999999998</v>
      </c>
      <c r="O186" s="261">
        <f t="shared" si="81"/>
        <v>5006.88</v>
      </c>
      <c r="P186" s="259" t="s">
        <v>125</v>
      </c>
      <c r="Q186" s="262">
        <f t="shared" si="3"/>
        <v>0</v>
      </c>
      <c r="R186" s="262">
        <f t="shared" si="43"/>
        <v>0</v>
      </c>
      <c r="T186" s="22"/>
    </row>
    <row r="187" spans="1:20" ht="13">
      <c r="A187" s="23" t="s">
        <v>394</v>
      </c>
      <c r="B187" s="260" t="s">
        <v>394</v>
      </c>
      <c r="C187" s="23" t="s">
        <v>133</v>
      </c>
      <c r="D187" s="83" t="s">
        <v>389</v>
      </c>
      <c r="E187" s="75"/>
      <c r="F187" s="22" t="s">
        <v>159</v>
      </c>
      <c r="G187" s="22"/>
      <c r="H187" s="22" t="s">
        <v>125</v>
      </c>
      <c r="I187" s="261">
        <f t="shared" si="82"/>
        <v>14078.239999999998</v>
      </c>
      <c r="J187" s="22" t="s">
        <v>125</v>
      </c>
      <c r="K187" s="261"/>
      <c r="L187" s="22">
        <v>1600</v>
      </c>
      <c r="M187" s="281">
        <v>39.994999999999997</v>
      </c>
      <c r="N187" s="261">
        <f t="shared" si="61"/>
        <v>63991.999999999993</v>
      </c>
      <c r="O187" s="261">
        <f t="shared" si="81"/>
        <v>1952</v>
      </c>
      <c r="P187" s="259" t="s">
        <v>125</v>
      </c>
      <c r="Q187" s="262">
        <f t="shared" si="3"/>
        <v>0</v>
      </c>
      <c r="R187" s="262">
        <f t="shared" si="43"/>
        <v>0</v>
      </c>
      <c r="T187" s="22"/>
    </row>
    <row r="188" spans="1:20" ht="13">
      <c r="A188" s="23" t="s">
        <v>395</v>
      </c>
      <c r="B188" s="260" t="s">
        <v>395</v>
      </c>
      <c r="C188" s="23" t="s">
        <v>396</v>
      </c>
      <c r="D188" s="83" t="s">
        <v>389</v>
      </c>
      <c r="E188" s="75"/>
      <c r="F188" s="22" t="s">
        <v>397</v>
      </c>
      <c r="G188" s="22"/>
      <c r="H188" s="22" t="s">
        <v>125</v>
      </c>
      <c r="I188" s="261">
        <f t="shared" si="82"/>
        <v>11262.592000000001</v>
      </c>
      <c r="J188" s="22" t="s">
        <v>125</v>
      </c>
      <c r="K188" s="261"/>
      <c r="L188" s="22">
        <v>1280</v>
      </c>
      <c r="M188" s="281">
        <v>39.994999999999997</v>
      </c>
      <c r="N188" s="261">
        <f t="shared" si="61"/>
        <v>51193.599999999999</v>
      </c>
      <c r="O188" s="261">
        <f t="shared" si="81"/>
        <v>1561.6</v>
      </c>
      <c r="P188" s="259" t="s">
        <v>125</v>
      </c>
      <c r="Q188" s="262">
        <f t="shared" si="3"/>
        <v>0</v>
      </c>
      <c r="R188" s="262">
        <f t="shared" si="43"/>
        <v>0</v>
      </c>
      <c r="T188" s="22"/>
    </row>
    <row r="189" spans="1:20" ht="13">
      <c r="A189" s="23" t="s">
        <v>275</v>
      </c>
      <c r="B189" s="260" t="s">
        <v>275</v>
      </c>
      <c r="C189" s="23" t="s">
        <v>398</v>
      </c>
      <c r="D189" s="83" t="s">
        <v>389</v>
      </c>
      <c r="E189" s="75"/>
      <c r="F189" s="22"/>
      <c r="G189" s="22"/>
      <c r="H189" s="22" t="s">
        <v>125</v>
      </c>
      <c r="I189" s="261">
        <v>0</v>
      </c>
      <c r="J189" s="22"/>
      <c r="K189" s="261"/>
      <c r="L189" s="22">
        <v>842.53</v>
      </c>
      <c r="M189" s="281">
        <v>39.994999999999997</v>
      </c>
      <c r="N189" s="261">
        <f t="shared" si="61"/>
        <v>33696.987349999996</v>
      </c>
      <c r="O189" s="261">
        <f>L189</f>
        <v>842.53</v>
      </c>
      <c r="P189" s="259" t="s">
        <v>125</v>
      </c>
      <c r="Q189" s="262">
        <f t="shared" si="3"/>
        <v>0</v>
      </c>
      <c r="R189" s="262">
        <f t="shared" si="43"/>
        <v>0</v>
      </c>
      <c r="T189" s="22"/>
    </row>
    <row r="190" spans="1:20" ht="13">
      <c r="A190" s="23" t="s">
        <v>399</v>
      </c>
      <c r="B190" s="260" t="s">
        <v>399</v>
      </c>
      <c r="C190" s="23" t="s">
        <v>400</v>
      </c>
      <c r="D190" s="83" t="s">
        <v>401</v>
      </c>
      <c r="E190" s="75"/>
      <c r="F190" s="283" t="s">
        <v>402</v>
      </c>
      <c r="G190" s="22"/>
      <c r="H190" s="22" t="s">
        <v>125</v>
      </c>
      <c r="I190" s="261">
        <f t="shared" ref="I190:I191" si="83">N190*0.22</f>
        <v>52250.008799999996</v>
      </c>
      <c r="J190" s="22"/>
      <c r="K190" s="261"/>
      <c r="L190" s="22">
        <v>5960</v>
      </c>
      <c r="M190" s="281">
        <v>39.848999999999997</v>
      </c>
      <c r="N190" s="261">
        <f t="shared" si="61"/>
        <v>237500.03999999998</v>
      </c>
      <c r="O190" s="261">
        <f t="shared" ref="O190:O191" si="84">L190*1.22</f>
        <v>7271.2</v>
      </c>
      <c r="P190" s="259" t="s">
        <v>125</v>
      </c>
      <c r="Q190" s="262">
        <f t="shared" si="3"/>
        <v>0</v>
      </c>
      <c r="R190" s="262">
        <f t="shared" si="43"/>
        <v>0</v>
      </c>
      <c r="T190" s="22"/>
    </row>
    <row r="191" spans="1:20" ht="13">
      <c r="A191" s="23" t="s">
        <v>403</v>
      </c>
      <c r="B191" s="260" t="s">
        <v>403</v>
      </c>
      <c r="C191" s="23" t="s">
        <v>122</v>
      </c>
      <c r="D191" s="83" t="s">
        <v>401</v>
      </c>
      <c r="E191" s="75"/>
      <c r="F191" s="22"/>
      <c r="G191" s="22"/>
      <c r="H191" s="22" t="s">
        <v>404</v>
      </c>
      <c r="I191" s="261">
        <f t="shared" si="83"/>
        <v>38354.662499999991</v>
      </c>
      <c r="J191" s="22"/>
      <c r="K191" s="261"/>
      <c r="L191" s="22">
        <v>4375</v>
      </c>
      <c r="M191" s="281">
        <v>39.848999999999997</v>
      </c>
      <c r="N191" s="261">
        <f t="shared" si="61"/>
        <v>174339.37499999997</v>
      </c>
      <c r="O191" s="261">
        <f t="shared" si="84"/>
        <v>5337.5</v>
      </c>
      <c r="P191" s="259" t="s">
        <v>125</v>
      </c>
      <c r="Q191" s="262">
        <f t="shared" si="3"/>
        <v>0</v>
      </c>
      <c r="R191" s="261">
        <f t="shared" si="43"/>
        <v>962.5</v>
      </c>
      <c r="T191" s="22">
        <v>4375</v>
      </c>
    </row>
    <row r="192" spans="1:20" ht="13">
      <c r="A192" s="23" t="s">
        <v>276</v>
      </c>
      <c r="B192" s="260" t="s">
        <v>276</v>
      </c>
      <c r="C192" s="23" t="s">
        <v>398</v>
      </c>
      <c r="D192" s="83" t="s">
        <v>401</v>
      </c>
      <c r="E192" s="75"/>
      <c r="F192" s="22"/>
      <c r="G192" s="22"/>
      <c r="H192" s="22" t="s">
        <v>125</v>
      </c>
      <c r="I192" s="261">
        <v>0</v>
      </c>
      <c r="J192" s="22"/>
      <c r="K192" s="261"/>
      <c r="L192" s="22">
        <v>723.47</v>
      </c>
      <c r="M192" s="281">
        <v>39.848999999999997</v>
      </c>
      <c r="N192" s="261">
        <f t="shared" si="61"/>
        <v>28829.55603</v>
      </c>
      <c r="O192" s="261">
        <f>L192</f>
        <v>723.47</v>
      </c>
      <c r="P192" s="259" t="s">
        <v>125</v>
      </c>
      <c r="Q192" s="262">
        <f t="shared" si="3"/>
        <v>0</v>
      </c>
      <c r="R192" s="262">
        <f t="shared" si="43"/>
        <v>0</v>
      </c>
      <c r="T192" s="22"/>
    </row>
    <row r="193" spans="1:20" ht="13">
      <c r="A193" s="23" t="s">
        <v>405</v>
      </c>
      <c r="B193" s="260" t="s">
        <v>405</v>
      </c>
      <c r="C193" s="23" t="s">
        <v>128</v>
      </c>
      <c r="D193" s="83" t="s">
        <v>401</v>
      </c>
      <c r="E193" s="75"/>
      <c r="F193" s="22"/>
      <c r="G193" s="22">
        <v>265338.67</v>
      </c>
      <c r="H193" s="22"/>
      <c r="I193" s="261">
        <f>G193*0.22</f>
        <v>58374.507399999995</v>
      </c>
      <c r="J193" s="22"/>
      <c r="K193" s="261">
        <f>G193*1.22</f>
        <v>323713.17739999999</v>
      </c>
      <c r="L193" s="22"/>
      <c r="M193" s="281">
        <v>39.848999999999997</v>
      </c>
      <c r="N193" s="261">
        <f t="shared" si="61"/>
        <v>0</v>
      </c>
      <c r="O193" s="261">
        <f t="shared" ref="O193:O198" si="85">L193*1.22</f>
        <v>0</v>
      </c>
      <c r="P193" s="259" t="s">
        <v>125</v>
      </c>
      <c r="Q193" s="261">
        <f t="shared" si="3"/>
        <v>323713.17739999999</v>
      </c>
      <c r="R193" s="262">
        <f t="shared" si="43"/>
        <v>0</v>
      </c>
      <c r="T193" s="22"/>
    </row>
    <row r="194" spans="1:20" ht="13">
      <c r="A194" s="23" t="s">
        <v>406</v>
      </c>
      <c r="B194" s="260" t="s">
        <v>406</v>
      </c>
      <c r="C194" s="23" t="s">
        <v>133</v>
      </c>
      <c r="D194" s="83" t="s">
        <v>401</v>
      </c>
      <c r="E194" s="75"/>
      <c r="F194" s="22" t="s">
        <v>300</v>
      </c>
      <c r="G194" s="22"/>
      <c r="H194" s="22" t="s">
        <v>125</v>
      </c>
      <c r="I194" s="261">
        <f t="shared" ref="I194:I198" si="86">N194*0.22</f>
        <v>23451.136500000001</v>
      </c>
      <c r="J194" s="22"/>
      <c r="K194" s="261"/>
      <c r="L194" s="22">
        <v>2675</v>
      </c>
      <c r="M194" s="281">
        <v>39.848999999999997</v>
      </c>
      <c r="N194" s="261">
        <f t="shared" si="61"/>
        <v>106596.075</v>
      </c>
      <c r="O194" s="261">
        <f t="shared" si="85"/>
        <v>3263.5</v>
      </c>
      <c r="P194" s="259" t="s">
        <v>125</v>
      </c>
      <c r="Q194" s="262">
        <f t="shared" si="3"/>
        <v>0</v>
      </c>
      <c r="R194" s="262">
        <f t="shared" si="43"/>
        <v>0</v>
      </c>
      <c r="T194" s="22"/>
    </row>
    <row r="195" spans="1:20" ht="13">
      <c r="A195" s="23" t="s">
        <v>407</v>
      </c>
      <c r="B195" s="260" t="s">
        <v>407</v>
      </c>
      <c r="C195" s="23" t="s">
        <v>133</v>
      </c>
      <c r="D195" s="83" t="s">
        <v>401</v>
      </c>
      <c r="E195" s="75"/>
      <c r="F195" s="22" t="s">
        <v>159</v>
      </c>
      <c r="G195" s="22"/>
      <c r="H195" s="22" t="s">
        <v>125</v>
      </c>
      <c r="I195" s="261">
        <f t="shared" si="86"/>
        <v>8766.7800000000007</v>
      </c>
      <c r="J195" s="22"/>
      <c r="K195" s="261"/>
      <c r="L195" s="22">
        <v>1000</v>
      </c>
      <c r="M195" s="281">
        <v>39.848999999999997</v>
      </c>
      <c r="N195" s="261">
        <f t="shared" si="61"/>
        <v>39849</v>
      </c>
      <c r="O195" s="261">
        <f t="shared" si="85"/>
        <v>1220</v>
      </c>
      <c r="P195" s="259" t="s">
        <v>125</v>
      </c>
      <c r="Q195" s="262">
        <f t="shared" si="3"/>
        <v>0</v>
      </c>
      <c r="R195" s="262">
        <f t="shared" si="43"/>
        <v>0</v>
      </c>
      <c r="T195" s="22"/>
    </row>
    <row r="196" spans="1:20" ht="13">
      <c r="A196" s="23" t="s">
        <v>408</v>
      </c>
      <c r="B196" s="260" t="s">
        <v>408</v>
      </c>
      <c r="C196" s="23" t="s">
        <v>133</v>
      </c>
      <c r="D196" s="83" t="s">
        <v>401</v>
      </c>
      <c r="E196" s="75"/>
      <c r="F196" s="22" t="s">
        <v>300</v>
      </c>
      <c r="G196" s="22"/>
      <c r="H196" s="22" t="s">
        <v>125</v>
      </c>
      <c r="I196" s="261">
        <f t="shared" si="86"/>
        <v>13005.518129999999</v>
      </c>
      <c r="J196" s="22"/>
      <c r="K196" s="261"/>
      <c r="L196" s="22">
        <v>1483.5</v>
      </c>
      <c r="M196" s="281">
        <v>39.848999999999997</v>
      </c>
      <c r="N196" s="261">
        <f t="shared" si="61"/>
        <v>59115.991499999996</v>
      </c>
      <c r="O196" s="261">
        <f t="shared" si="85"/>
        <v>1809.87</v>
      </c>
      <c r="P196" s="259" t="s">
        <v>125</v>
      </c>
      <c r="Q196" s="262">
        <f t="shared" si="3"/>
        <v>0</v>
      </c>
      <c r="R196" s="262">
        <f t="shared" si="43"/>
        <v>0</v>
      </c>
      <c r="T196" s="22"/>
    </row>
    <row r="197" spans="1:20" ht="13">
      <c r="A197" s="23" t="s">
        <v>409</v>
      </c>
      <c r="B197" s="260" t="s">
        <v>409</v>
      </c>
      <c r="C197" s="23" t="s">
        <v>396</v>
      </c>
      <c r="D197" s="83" t="s">
        <v>401</v>
      </c>
      <c r="E197" s="75"/>
      <c r="F197" s="22" t="s">
        <v>397</v>
      </c>
      <c r="G197" s="22"/>
      <c r="H197" s="22" t="s">
        <v>125</v>
      </c>
      <c r="I197" s="261">
        <f t="shared" si="86"/>
        <v>11221.478399999998</v>
      </c>
      <c r="J197" s="22"/>
      <c r="K197" s="261"/>
      <c r="L197" s="22">
        <v>1280</v>
      </c>
      <c r="M197" s="281">
        <v>39.848999999999997</v>
      </c>
      <c r="N197" s="261">
        <f t="shared" si="61"/>
        <v>51006.719999999994</v>
      </c>
      <c r="O197" s="261">
        <f t="shared" si="85"/>
        <v>1561.6</v>
      </c>
      <c r="P197" s="259" t="s">
        <v>125</v>
      </c>
      <c r="Q197" s="262">
        <f t="shared" si="3"/>
        <v>0</v>
      </c>
      <c r="R197" s="262">
        <f t="shared" si="43"/>
        <v>0</v>
      </c>
      <c r="T197" s="22"/>
    </row>
    <row r="198" spans="1:20" ht="13">
      <c r="A198" s="23" t="s">
        <v>410</v>
      </c>
      <c r="B198" s="260" t="s">
        <v>410</v>
      </c>
      <c r="C198" s="23" t="s">
        <v>362</v>
      </c>
      <c r="D198" s="83" t="s">
        <v>401</v>
      </c>
      <c r="E198" s="75"/>
      <c r="F198" s="22"/>
      <c r="G198" s="22"/>
      <c r="H198" s="22"/>
      <c r="I198" s="261">
        <f t="shared" si="86"/>
        <v>176738.28479999999</v>
      </c>
      <c r="J198" s="22"/>
      <c r="K198" s="261"/>
      <c r="L198" s="22">
        <v>20160</v>
      </c>
      <c r="M198" s="281">
        <v>39.848999999999997</v>
      </c>
      <c r="N198" s="261">
        <f t="shared" si="61"/>
        <v>803355.84</v>
      </c>
      <c r="O198" s="261">
        <f t="shared" si="85"/>
        <v>24595.200000000001</v>
      </c>
      <c r="P198" s="259" t="s">
        <v>125</v>
      </c>
      <c r="Q198" s="262">
        <f t="shared" si="3"/>
        <v>0</v>
      </c>
      <c r="R198" s="261">
        <f t="shared" si="43"/>
        <v>24595.200000000001</v>
      </c>
      <c r="T198" s="22"/>
    </row>
    <row r="199" spans="1:20" ht="13">
      <c r="A199" s="23"/>
      <c r="B199" s="260"/>
      <c r="C199" s="23"/>
      <c r="D199" s="83"/>
      <c r="E199" s="75"/>
      <c r="F199" s="22"/>
      <c r="G199" s="22"/>
      <c r="H199" s="22"/>
      <c r="I199" s="261"/>
      <c r="J199" s="22"/>
      <c r="K199" s="261"/>
      <c r="L199" s="22"/>
      <c r="M199" s="281"/>
      <c r="N199" s="261"/>
      <c r="O199" s="261"/>
      <c r="P199" s="259" t="s">
        <v>125</v>
      </c>
      <c r="Q199" s="262"/>
      <c r="R199" s="262"/>
      <c r="T199" s="22"/>
    </row>
    <row r="200" spans="1:20" ht="13">
      <c r="A200" s="23"/>
      <c r="B200" s="260"/>
      <c r="C200" s="23"/>
      <c r="D200" s="83"/>
      <c r="E200" s="75"/>
      <c r="F200" s="22"/>
      <c r="G200" s="22"/>
      <c r="H200" s="22"/>
      <c r="I200" s="261"/>
      <c r="J200" s="22"/>
      <c r="K200" s="261"/>
      <c r="L200" s="22"/>
      <c r="M200" s="281"/>
      <c r="N200" s="261"/>
      <c r="O200" s="261"/>
      <c r="P200" s="259" t="s">
        <v>125</v>
      </c>
      <c r="Q200" s="262"/>
      <c r="R200" s="262"/>
      <c r="T200" s="22"/>
    </row>
    <row r="201" spans="1:20" ht="13">
      <c r="A201" s="23"/>
      <c r="B201" s="260"/>
      <c r="C201" s="23"/>
      <c r="D201" s="83"/>
      <c r="E201" s="75"/>
      <c r="F201" s="22"/>
      <c r="G201" s="22"/>
      <c r="H201" s="22"/>
      <c r="I201" s="261"/>
      <c r="J201" s="22"/>
      <c r="K201" s="261"/>
      <c r="L201" s="22"/>
      <c r="M201" s="281"/>
      <c r="N201" s="261"/>
      <c r="O201" s="261"/>
      <c r="P201" s="259" t="s">
        <v>125</v>
      </c>
      <c r="Q201" s="262"/>
      <c r="R201" s="262"/>
      <c r="T201" s="22"/>
    </row>
    <row r="202" spans="1:20" ht="13">
      <c r="A202" s="23"/>
      <c r="B202" s="260"/>
      <c r="C202" s="23"/>
      <c r="D202" s="83"/>
      <c r="E202" s="75"/>
      <c r="F202" s="22"/>
      <c r="G202" s="22"/>
      <c r="H202" s="22"/>
      <c r="I202" s="261"/>
      <c r="J202" s="22"/>
      <c r="K202" s="261"/>
      <c r="L202" s="22"/>
      <c r="M202" s="281"/>
      <c r="N202" s="261"/>
      <c r="O202" s="261"/>
      <c r="P202" s="259" t="s">
        <v>125</v>
      </c>
      <c r="Q202" s="262"/>
      <c r="R202" s="262"/>
      <c r="T202" s="22"/>
    </row>
    <row r="203" spans="1:20" ht="13">
      <c r="A203" s="23"/>
      <c r="B203" s="260"/>
      <c r="C203" s="23"/>
      <c r="D203" s="83"/>
      <c r="E203" s="75"/>
      <c r="F203" s="22"/>
      <c r="G203" s="22"/>
      <c r="H203" s="22"/>
      <c r="I203" s="261"/>
      <c r="J203" s="22"/>
      <c r="K203" s="261"/>
      <c r="L203" s="22"/>
      <c r="M203" s="281"/>
      <c r="N203" s="261"/>
      <c r="O203" s="261"/>
      <c r="P203" s="259" t="s">
        <v>125</v>
      </c>
      <c r="Q203" s="262"/>
      <c r="R203" s="262"/>
      <c r="T203" s="22"/>
    </row>
    <row r="204" spans="1:20" ht="13">
      <c r="A204" s="23"/>
      <c r="B204" s="260"/>
      <c r="C204" s="23"/>
      <c r="D204" s="83"/>
      <c r="E204" s="75"/>
      <c r="F204" s="22"/>
      <c r="G204" s="22"/>
      <c r="H204" s="22"/>
      <c r="I204" s="261"/>
      <c r="J204" s="22"/>
      <c r="K204" s="261"/>
      <c r="L204" s="22"/>
      <c r="M204" s="281"/>
      <c r="N204" s="261"/>
      <c r="O204" s="261"/>
      <c r="P204" s="259" t="s">
        <v>125</v>
      </c>
      <c r="Q204" s="262"/>
      <c r="R204" s="262"/>
      <c r="T204" s="22"/>
    </row>
    <row r="205" spans="1:20" ht="13">
      <c r="B205" s="23"/>
      <c r="C205" s="284"/>
      <c r="D205" s="285"/>
      <c r="E205" s="22"/>
      <c r="F205" s="22"/>
      <c r="G205" s="22"/>
      <c r="H205" s="22"/>
      <c r="I205" s="22"/>
      <c r="J205" s="22"/>
      <c r="K205" s="22"/>
      <c r="L205" s="22"/>
      <c r="P205" s="259"/>
    </row>
    <row r="206" spans="1:20" ht="13">
      <c r="B206" s="23"/>
      <c r="C206" s="284"/>
      <c r="D206" s="285"/>
      <c r="E206" s="75" t="s">
        <v>411</v>
      </c>
      <c r="F206" s="75"/>
      <c r="G206" s="75"/>
      <c r="H206" s="75"/>
      <c r="I206" s="75"/>
      <c r="J206" s="75" t="s">
        <v>113</v>
      </c>
      <c r="L206" s="75" t="s">
        <v>114</v>
      </c>
      <c r="N206" s="259"/>
      <c r="O206" s="34" t="s">
        <v>117</v>
      </c>
      <c r="P206" s="34" t="s">
        <v>412</v>
      </c>
    </row>
    <row r="207" spans="1:20" ht="13">
      <c r="D207" s="34" t="s">
        <v>59</v>
      </c>
      <c r="E207" s="53">
        <f>SUM(G2:G205)</f>
        <v>7364210.5</v>
      </c>
      <c r="F207" s="22"/>
      <c r="G207" s="22"/>
      <c r="H207" s="22"/>
      <c r="I207" s="75" t="s">
        <v>59</v>
      </c>
      <c r="J207" s="53">
        <f>SUM(L2:L205)</f>
        <v>849150.02</v>
      </c>
      <c r="N207" s="259"/>
      <c r="O207" s="69">
        <f>SUM(Q2:Q204)</f>
        <v>323713.17739999999</v>
      </c>
      <c r="P207" s="69">
        <f>SUM(R2:R204)-R7</f>
        <v>25557.699999999997</v>
      </c>
    </row>
    <row r="208" spans="1:20" ht="13">
      <c r="C208" s="284"/>
      <c r="D208" s="286">
        <v>2025</v>
      </c>
      <c r="E208" s="53">
        <f>SUM(G139:G204)</f>
        <v>2027341.06</v>
      </c>
      <c r="F208" s="22"/>
      <c r="G208" s="22"/>
      <c r="H208" s="22"/>
      <c r="I208" s="286">
        <v>2025</v>
      </c>
      <c r="J208" s="53">
        <f>SUM(L139:L204)</f>
        <v>194567.74</v>
      </c>
      <c r="L208" s="22">
        <f>SUM(N139:N204)</f>
        <v>8012176.7551599992</v>
      </c>
      <c r="N208" s="259"/>
    </row>
    <row r="209" spans="1:19" ht="13">
      <c r="C209" s="284"/>
      <c r="D209" s="286">
        <v>2024</v>
      </c>
      <c r="E209" s="53">
        <f>SUM(G83:G138)</f>
        <v>3576388.2900000005</v>
      </c>
      <c r="F209" s="22"/>
      <c r="G209" s="22"/>
      <c r="H209" s="22"/>
      <c r="I209" s="286">
        <v>2024</v>
      </c>
      <c r="J209" s="53">
        <f>SUM(L83:L138)</f>
        <v>176750.27999999997</v>
      </c>
      <c r="L209" s="22">
        <f>SUM(N83:N138)</f>
        <v>6982611.8215600001</v>
      </c>
      <c r="N209" s="259"/>
    </row>
    <row r="210" spans="1:19" ht="13">
      <c r="C210" s="284"/>
      <c r="D210" s="286">
        <v>2023</v>
      </c>
      <c r="E210" s="53">
        <f>SUM(G51:G82)</f>
        <v>609549.44999999995</v>
      </c>
      <c r="F210" s="22"/>
      <c r="G210" s="22"/>
      <c r="H210" s="22"/>
      <c r="I210" s="286">
        <v>2023</v>
      </c>
      <c r="J210" s="53">
        <f>SUM(L51:L82)</f>
        <v>185429</v>
      </c>
      <c r="L210" s="22">
        <f>SUM(N51:N82)</f>
        <v>7183817.391400001</v>
      </c>
      <c r="N210" s="259"/>
    </row>
    <row r="211" spans="1:19" ht="13">
      <c r="C211" s="284"/>
      <c r="D211" s="286">
        <v>2022</v>
      </c>
      <c r="E211" s="53">
        <f>SUM(G2:G50)</f>
        <v>1150931.7</v>
      </c>
      <c r="F211" s="22"/>
      <c r="G211" s="22"/>
      <c r="H211" s="22"/>
      <c r="I211" s="286">
        <v>2022</v>
      </c>
      <c r="J211" s="53">
        <f>SUM(L2:L50)</f>
        <v>292402.99999999994</v>
      </c>
      <c r="L211" s="22">
        <f>SUM(N2:N50)</f>
        <v>12008730.225120001</v>
      </c>
      <c r="N211" s="259"/>
    </row>
    <row r="212" spans="1:19" ht="13">
      <c r="C212" s="284"/>
      <c r="D212" s="286"/>
      <c r="E212" s="53"/>
      <c r="F212" s="22"/>
      <c r="G212" s="22"/>
      <c r="H212" s="22"/>
      <c r="I212" s="286"/>
      <c r="J212" s="53"/>
      <c r="L212" s="22"/>
      <c r="N212" s="259"/>
    </row>
    <row r="213" spans="1:19" ht="13">
      <c r="C213" s="284"/>
      <c r="D213" s="83"/>
      <c r="E213" s="22"/>
      <c r="F213" s="22"/>
      <c r="G213" s="22"/>
      <c r="H213" s="22"/>
      <c r="I213" s="22"/>
      <c r="J213" s="22"/>
      <c r="K213" s="10"/>
      <c r="M213" s="10"/>
      <c r="N213" s="259"/>
      <c r="O213" s="10"/>
      <c r="P213" s="10"/>
      <c r="Q213" s="10"/>
      <c r="R213" s="10"/>
    </row>
    <row r="214" spans="1:19" ht="13">
      <c r="C214" s="284"/>
      <c r="D214" s="83"/>
      <c r="E214" s="22"/>
      <c r="F214" s="22"/>
      <c r="G214" s="22"/>
      <c r="H214" s="22"/>
      <c r="I214" s="22"/>
      <c r="J214" s="22"/>
      <c r="K214" s="10" t="s">
        <v>52</v>
      </c>
      <c r="M214" s="10" t="s">
        <v>413</v>
      </c>
      <c r="N214" s="259"/>
      <c r="O214" s="287" t="s">
        <v>414</v>
      </c>
      <c r="P214" s="287" t="s">
        <v>415</v>
      </c>
      <c r="Q214" s="287" t="s">
        <v>416</v>
      </c>
      <c r="R214" s="287" t="s">
        <v>417</v>
      </c>
    </row>
    <row r="215" spans="1:19" ht="13">
      <c r="C215" s="284"/>
      <c r="D215" s="34" t="s">
        <v>117</v>
      </c>
      <c r="E215" s="69">
        <f>SUMIF(H1:H204,"&lt;&gt;S",K1:K204) - SUMIF(H1:H204,"&lt;&gt;S",S1:S204)</f>
        <v>323713.17739999999</v>
      </c>
      <c r="F215" s="22"/>
      <c r="G215" s="22"/>
      <c r="H215" s="22"/>
      <c r="I215" s="22"/>
      <c r="J215" s="288" t="s">
        <v>2</v>
      </c>
      <c r="K215" s="38" t="s">
        <v>418</v>
      </c>
      <c r="L215" s="38" t="s">
        <v>3</v>
      </c>
      <c r="M215" s="38" t="s">
        <v>2</v>
      </c>
      <c r="N215" s="38" t="s">
        <v>3</v>
      </c>
      <c r="O215" s="289"/>
      <c r="P215" s="289"/>
      <c r="Q215" s="289"/>
      <c r="R215" s="289"/>
    </row>
    <row r="216" spans="1:19" ht="13">
      <c r="C216" s="284"/>
      <c r="D216" s="34" t="s">
        <v>412</v>
      </c>
      <c r="E216" s="69">
        <f>SUMIF(H2:H204,"&lt;&gt;S",O2:O204) - SUMIF(H2:H204,"&lt;&gt;S",T2:T204)</f>
        <v>25557.7</v>
      </c>
      <c r="F216" s="22"/>
      <c r="G216" s="22"/>
      <c r="H216" s="22"/>
      <c r="I216" s="75" t="s">
        <v>419</v>
      </c>
      <c r="J216" s="53">
        <f t="shared" ref="J216:J219" si="87">E208+L208</f>
        <v>10039517.815159999</v>
      </c>
      <c r="K216" s="23">
        <v>41.3</v>
      </c>
      <c r="L216" s="53">
        <f t="shared" ref="L216:L219" si="88">E208/K216+J208</f>
        <v>243655.9012590799</v>
      </c>
      <c r="M216" s="22">
        <f t="shared" ref="M216:M218" si="89">ROUND(J216/J217,2)</f>
        <v>0.95</v>
      </c>
      <c r="N216" s="22">
        <f t="shared" ref="N216:N218" si="90">ROUND(L216/L217,2)</f>
        <v>0.91</v>
      </c>
      <c r="O216" s="290"/>
      <c r="P216" s="291"/>
      <c r="Q216" s="291"/>
      <c r="R216" s="292"/>
    </row>
    <row r="217" spans="1:19" ht="13">
      <c r="C217" s="284"/>
      <c r="F217" s="22"/>
      <c r="G217" s="22"/>
      <c r="H217" s="22"/>
      <c r="I217" s="75" t="s">
        <v>420</v>
      </c>
      <c r="J217" s="53">
        <f t="shared" si="87"/>
        <v>10559000.11156</v>
      </c>
      <c r="K217" s="23">
        <f>M83</f>
        <v>39.170999999999999</v>
      </c>
      <c r="L217" s="53">
        <f t="shared" si="88"/>
        <v>268052.21995557938</v>
      </c>
      <c r="M217" s="22">
        <f t="shared" si="89"/>
        <v>1.35</v>
      </c>
      <c r="N217" s="22">
        <f t="shared" si="90"/>
        <v>1.33</v>
      </c>
      <c r="O217" s="290">
        <f t="shared" ref="O217:O219" si="91">J217</f>
        <v>10559000.11156</v>
      </c>
      <c r="P217" s="291">
        <v>6967.64</v>
      </c>
      <c r="Q217" s="291">
        <f t="shared" ref="Q217:Q219" si="92">P217/L217</f>
        <v>2.5993591849956147E-2</v>
      </c>
      <c r="R217" s="292">
        <f t="shared" ref="R217:R218" si="93">ROUND(P218/P217,2)</f>
        <v>-5.65</v>
      </c>
    </row>
    <row r="218" spans="1:19" ht="13">
      <c r="C218" s="284"/>
      <c r="F218" s="22"/>
      <c r="G218" s="22"/>
      <c r="H218" s="22"/>
      <c r="I218" s="75" t="s">
        <v>421</v>
      </c>
      <c r="J218" s="53">
        <f t="shared" si="87"/>
        <v>7793366.8414000012</v>
      </c>
      <c r="K218" s="23">
        <v>39</v>
      </c>
      <c r="L218" s="53">
        <f t="shared" si="88"/>
        <v>201058.47307692308</v>
      </c>
      <c r="M218" s="22">
        <f t="shared" si="89"/>
        <v>0.59</v>
      </c>
      <c r="N218" s="22">
        <f t="shared" si="90"/>
        <v>0.63</v>
      </c>
      <c r="O218" s="290">
        <f t="shared" si="91"/>
        <v>7793366.8414000012</v>
      </c>
      <c r="P218" s="291">
        <v>-39369.480000000003</v>
      </c>
      <c r="Q218" s="291">
        <f t="shared" si="92"/>
        <v>-0.19581109613290265</v>
      </c>
      <c r="R218" s="292">
        <f t="shared" si="93"/>
        <v>-4.0199999999999996</v>
      </c>
    </row>
    <row r="219" spans="1:19" ht="13">
      <c r="C219" s="284"/>
      <c r="D219" s="34"/>
      <c r="E219" s="22"/>
      <c r="F219" s="22"/>
      <c r="G219" s="22"/>
      <c r="H219" s="22"/>
      <c r="I219" s="75" t="s">
        <v>422</v>
      </c>
      <c r="J219" s="53">
        <f t="shared" si="87"/>
        <v>13159661.92512</v>
      </c>
      <c r="K219" s="23">
        <v>40.070999999999998</v>
      </c>
      <c r="L219" s="53">
        <f t="shared" si="88"/>
        <v>321125.31039904163</v>
      </c>
      <c r="M219" s="22"/>
      <c r="N219" s="22"/>
      <c r="O219" s="290">
        <f t="shared" si="91"/>
        <v>13159661.92512</v>
      </c>
      <c r="P219" s="291">
        <v>158403.32</v>
      </c>
      <c r="Q219" s="291">
        <f t="shared" si="92"/>
        <v>0.49327572405663839</v>
      </c>
      <c r="R219" s="292"/>
    </row>
    <row r="220" spans="1:19" ht="13">
      <c r="F220" s="22"/>
      <c r="G220" s="22"/>
      <c r="H220" s="22"/>
      <c r="I220" s="75"/>
      <c r="J220" s="53"/>
      <c r="L220" s="53"/>
      <c r="O220" s="53"/>
      <c r="P220" s="22"/>
      <c r="Q220" s="22"/>
      <c r="R220" s="293"/>
    </row>
    <row r="221" spans="1:19" ht="13">
      <c r="C221" s="284"/>
      <c r="D221" s="83"/>
      <c r="E221" s="22"/>
      <c r="F221" s="22"/>
      <c r="G221" s="22"/>
      <c r="H221" s="22"/>
      <c r="I221" s="22"/>
      <c r="J221" s="53"/>
      <c r="N221" s="259"/>
    </row>
    <row r="222" spans="1:19" ht="16">
      <c r="A222" s="294"/>
      <c r="B222" s="295" t="s">
        <v>423</v>
      </c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296" t="s">
        <v>424</v>
      </c>
      <c r="Q222" s="83"/>
      <c r="S222" s="297"/>
    </row>
    <row r="223" spans="1:19" ht="13">
      <c r="A223" s="34" t="s">
        <v>106</v>
      </c>
      <c r="B223" s="10">
        <v>2022</v>
      </c>
      <c r="C223" s="10">
        <v>2023</v>
      </c>
      <c r="D223" s="10">
        <v>2024</v>
      </c>
      <c r="E223" s="10">
        <v>2025</v>
      </c>
      <c r="F223" s="10"/>
      <c r="G223" s="10"/>
      <c r="H223" s="10"/>
      <c r="I223" s="10"/>
      <c r="J223" s="298" t="s">
        <v>117</v>
      </c>
      <c r="K223" s="298" t="s">
        <v>412</v>
      </c>
      <c r="N223" s="299" t="s">
        <v>3</v>
      </c>
      <c r="P223" s="23" t="s">
        <v>425</v>
      </c>
      <c r="Q223" s="83">
        <v>5.1608000000000001</v>
      </c>
    </row>
    <row r="224" spans="1:19" ht="13">
      <c r="A224" s="300" t="s">
        <v>396</v>
      </c>
      <c r="B224" s="300"/>
      <c r="C224" s="300"/>
      <c r="D224" s="300"/>
      <c r="E224" s="301">
        <f t="shared" ref="E224:E231" si="94">SUMIF($C$139:$C$204,A224,$G$139:$G$204)/$K$216 + SUMIF($C$139:$C$204,A224,$L$139:$L$204)</f>
        <v>2560</v>
      </c>
      <c r="F224" s="300"/>
      <c r="G224" s="300"/>
      <c r="H224" s="300"/>
      <c r="I224" s="300"/>
      <c r="J224" s="302">
        <f t="shared" ref="J224:J230" si="95">SUMIF($C$2:$C$205,A224,$Q$2:$Q$205)</f>
        <v>0</v>
      </c>
      <c r="K224" s="303">
        <f t="shared" ref="K224:K228" si="96">SUMIF($C$2:$C$205,A224,$R$2:$R$205)</f>
        <v>0</v>
      </c>
      <c r="L224" s="304" t="s">
        <v>396</v>
      </c>
      <c r="N224" s="305">
        <f t="shared" ref="N224:N231" si="97">SUM(B224:I224)</f>
        <v>2560</v>
      </c>
      <c r="P224" s="56"/>
      <c r="Q224" s="306"/>
      <c r="R224" s="73"/>
    </row>
    <row r="225" spans="1:18" ht="13">
      <c r="A225" s="307" t="s">
        <v>400</v>
      </c>
      <c r="B225" s="307"/>
      <c r="C225" s="307"/>
      <c r="D225" s="307"/>
      <c r="E225" s="308">
        <f t="shared" si="94"/>
        <v>5960</v>
      </c>
      <c r="F225" s="307"/>
      <c r="G225" s="307"/>
      <c r="H225" s="307"/>
      <c r="I225" s="307"/>
      <c r="J225" s="309">
        <f t="shared" si="95"/>
        <v>0</v>
      </c>
      <c r="K225" s="309">
        <f t="shared" si="96"/>
        <v>0</v>
      </c>
      <c r="L225" s="310" t="s">
        <v>400</v>
      </c>
      <c r="N225" s="305">
        <f t="shared" si="97"/>
        <v>5960</v>
      </c>
      <c r="P225" s="56"/>
      <c r="Q225" s="306"/>
      <c r="R225" s="73"/>
    </row>
    <row r="226" spans="1:18" ht="13">
      <c r="A226" s="300" t="s">
        <v>398</v>
      </c>
      <c r="B226" s="300"/>
      <c r="C226" s="300"/>
      <c r="D226" s="300"/>
      <c r="E226" s="311">
        <f t="shared" si="94"/>
        <v>1566</v>
      </c>
      <c r="F226" s="300"/>
      <c r="G226" s="300"/>
      <c r="H226" s="300"/>
      <c r="I226" s="300"/>
      <c r="J226" s="302">
        <f t="shared" si="95"/>
        <v>0</v>
      </c>
      <c r="K226" s="302">
        <f t="shared" si="96"/>
        <v>0</v>
      </c>
      <c r="L226" s="304" t="s">
        <v>398</v>
      </c>
      <c r="N226" s="305">
        <f t="shared" si="97"/>
        <v>1566</v>
      </c>
      <c r="P226" s="56"/>
      <c r="Q226" s="306"/>
      <c r="R226" s="73"/>
    </row>
    <row r="227" spans="1:18" ht="13">
      <c r="A227" s="307" t="s">
        <v>362</v>
      </c>
      <c r="B227" s="308">
        <v>0</v>
      </c>
      <c r="C227" s="308">
        <v>0</v>
      </c>
      <c r="D227" s="308">
        <v>0</v>
      </c>
      <c r="E227" s="308">
        <f t="shared" si="94"/>
        <v>60480</v>
      </c>
      <c r="F227" s="308"/>
      <c r="G227" s="308"/>
      <c r="H227" s="308"/>
      <c r="I227" s="308"/>
      <c r="J227" s="309">
        <f t="shared" si="95"/>
        <v>0</v>
      </c>
      <c r="K227" s="309">
        <f t="shared" si="96"/>
        <v>24595.200000000001</v>
      </c>
      <c r="L227" s="256" t="s">
        <v>362</v>
      </c>
      <c r="N227" s="305">
        <f t="shared" si="97"/>
        <v>60480</v>
      </c>
      <c r="P227" s="56"/>
      <c r="Q227" s="306"/>
      <c r="R227" s="73"/>
    </row>
    <row r="228" spans="1:18" ht="13">
      <c r="A228" s="300" t="s">
        <v>128</v>
      </c>
      <c r="B228" s="301">
        <f t="shared" ref="B228:B231" si="98">SUMIF($C$2:$C$50,A228,$G$2:$G$50)/$K$219 + SUMIF($C$2:$C$50,A228,$L$2:$L$50)</f>
        <v>28722.3103990417</v>
      </c>
      <c r="C228" s="301">
        <f>SUMIF($C$51:$C$82,A228,$G$51:$G$82)/$K$218 + SUMIF($C$51:$C$82,B228,$L$51:$L$82)</f>
        <v>15629.473076923075</v>
      </c>
      <c r="D228" s="301">
        <f t="shared" ref="D228:D231" si="99">SUMIF($C$83:$C$138,A228,$G$83:$G$138)/$K$217 + SUMIF($C$83:$C$138,A228,$L$83:$L$138)</f>
        <v>94514.439955579393</v>
      </c>
      <c r="E228" s="301">
        <f t="shared" si="94"/>
        <v>49088.161259079905</v>
      </c>
      <c r="F228" s="301"/>
      <c r="G228" s="301"/>
      <c r="H228" s="301"/>
      <c r="I228" s="301"/>
      <c r="J228" s="302">
        <f t="shared" si="95"/>
        <v>323713.17739999999</v>
      </c>
      <c r="K228" s="302">
        <f t="shared" si="96"/>
        <v>0</v>
      </c>
      <c r="L228" s="104" t="s">
        <v>128</v>
      </c>
      <c r="N228" s="305">
        <f t="shared" si="97"/>
        <v>187954.38469062408</v>
      </c>
      <c r="P228" s="56" t="s">
        <v>426</v>
      </c>
      <c r="Q228" s="306" t="e">
        <f>#REF!-J219</f>
        <v>#REF!</v>
      </c>
      <c r="R228" s="73"/>
    </row>
    <row r="229" spans="1:18" ht="13">
      <c r="A229" s="307" t="s">
        <v>133</v>
      </c>
      <c r="B229" s="308">
        <f t="shared" si="98"/>
        <v>75900</v>
      </c>
      <c r="C229" s="308">
        <f t="shared" ref="C229:C231" si="100">SUMIF($C$51:$C$82,A229,$G$51:$G$82)/$K$218 + SUMIF($C$51:$C$82,A229,$L$51:$L$82)</f>
        <v>38400</v>
      </c>
      <c r="D229" s="308">
        <f t="shared" si="99"/>
        <v>42651.9</v>
      </c>
      <c r="E229" s="308">
        <f t="shared" si="94"/>
        <v>56315</v>
      </c>
      <c r="F229" s="308"/>
      <c r="G229" s="308"/>
      <c r="H229" s="308"/>
      <c r="I229" s="308"/>
      <c r="J229" s="309">
        <f t="shared" si="95"/>
        <v>0</v>
      </c>
      <c r="K229" s="309">
        <f>SUMIF($C$2:$C$205,A229,$R$2:$R$205)-R7</f>
        <v>0</v>
      </c>
      <c r="L229" s="312" t="s">
        <v>133</v>
      </c>
      <c r="N229" s="305">
        <f t="shared" si="97"/>
        <v>213266.9</v>
      </c>
      <c r="O229" s="259"/>
      <c r="P229" s="23" t="s">
        <v>427</v>
      </c>
      <c r="Q229" s="313" t="e">
        <f>#REF!*Q223</f>
        <v>#REF!</v>
      </c>
      <c r="R229" s="23" t="s">
        <v>428</v>
      </c>
    </row>
    <row r="230" spans="1:18" ht="13">
      <c r="A230" s="300" t="s">
        <v>181</v>
      </c>
      <c r="B230" s="301">
        <f t="shared" si="98"/>
        <v>30000</v>
      </c>
      <c r="C230" s="301">
        <f t="shared" si="100"/>
        <v>102354</v>
      </c>
      <c r="D230" s="301">
        <f t="shared" si="99"/>
        <v>87839.88</v>
      </c>
      <c r="E230" s="301">
        <f t="shared" si="94"/>
        <v>35249.24</v>
      </c>
      <c r="F230" s="301"/>
      <c r="G230" s="301"/>
      <c r="H230" s="301"/>
      <c r="I230" s="301"/>
      <c r="J230" s="302">
        <f t="shared" si="95"/>
        <v>0</v>
      </c>
      <c r="K230" s="302">
        <f t="shared" ref="K230:K231" si="101">SUMIF($C$2:$C$205,A230,$R$2:$R$205)</f>
        <v>0</v>
      </c>
      <c r="L230" s="104" t="s">
        <v>181</v>
      </c>
      <c r="N230" s="305">
        <f t="shared" si="97"/>
        <v>255443.12</v>
      </c>
      <c r="O230" s="259"/>
      <c r="P230" s="56" t="s">
        <v>429</v>
      </c>
      <c r="Q230" s="306" t="e">
        <f>Q229-J219</f>
        <v>#REF!</v>
      </c>
      <c r="R230" s="314" t="e">
        <f>Q230/K219</f>
        <v>#REF!</v>
      </c>
    </row>
    <row r="231" spans="1:18" ht="13">
      <c r="A231" s="307" t="s">
        <v>122</v>
      </c>
      <c r="B231" s="308">
        <f t="shared" si="98"/>
        <v>186503</v>
      </c>
      <c r="C231" s="308">
        <f t="shared" si="100"/>
        <v>44675</v>
      </c>
      <c r="D231" s="308">
        <f t="shared" si="99"/>
        <v>43046</v>
      </c>
      <c r="E231" s="308">
        <f t="shared" si="94"/>
        <v>32437.5</v>
      </c>
      <c r="F231" s="308"/>
      <c r="G231" s="308"/>
      <c r="H231" s="308"/>
      <c r="I231" s="308"/>
      <c r="J231" s="308">
        <f>SUMIF($C$2:$C$161,I231,$G$2:$G$161)/$K$219 + SUMIF($C$2:$C$161,I231,$L$2:$L$161)</f>
        <v>0</v>
      </c>
      <c r="K231" s="309">
        <f t="shared" si="101"/>
        <v>962.5</v>
      </c>
      <c r="L231" s="312" t="s">
        <v>122</v>
      </c>
      <c r="N231" s="305">
        <f t="shared" si="97"/>
        <v>306661.5</v>
      </c>
      <c r="O231" s="259"/>
      <c r="P231" s="315" t="s">
        <v>430</v>
      </c>
      <c r="Q231" s="316" t="e">
        <f>Q230/#REF!</f>
        <v>#REF!</v>
      </c>
    </row>
    <row r="232" spans="1:18" ht="13">
      <c r="A232" s="317" t="s">
        <v>53</v>
      </c>
      <c r="B232" s="318">
        <f t="shared" ref="B232:D232" si="102">SUM(B226:B231)</f>
        <v>321125.31039904169</v>
      </c>
      <c r="C232" s="318">
        <f t="shared" si="102"/>
        <v>201058.47307692308</v>
      </c>
      <c r="D232" s="318">
        <f t="shared" si="102"/>
        <v>268052.21995557938</v>
      </c>
      <c r="E232" s="318">
        <f>SUM(E224:E231)</f>
        <v>243655.9012590799</v>
      </c>
      <c r="F232" s="318"/>
      <c r="G232" s="318"/>
      <c r="H232" s="318"/>
      <c r="I232" s="318"/>
      <c r="J232" s="319">
        <f t="shared" ref="J232:K232" si="103">SUM(J224:J231)</f>
        <v>323713.17739999999</v>
      </c>
      <c r="K232" s="319">
        <f t="shared" si="103"/>
        <v>25557.7</v>
      </c>
      <c r="L232" s="116"/>
      <c r="M232" s="116"/>
      <c r="N232" s="320">
        <f>SUM(N224:N231)</f>
        <v>1033891.9046906241</v>
      </c>
      <c r="Q232" s="38" t="s">
        <v>2</v>
      </c>
      <c r="R232" s="38" t="s">
        <v>3</v>
      </c>
    </row>
    <row r="233" spans="1:18" ht="13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90"/>
    </row>
    <row r="234" spans="1:18" ht="13">
      <c r="C234" s="10"/>
      <c r="F234" s="23"/>
      <c r="N234" s="259"/>
    </row>
    <row r="235" spans="1:18" ht="13">
      <c r="C235" s="10" t="s">
        <v>431</v>
      </c>
      <c r="F235" s="23"/>
      <c r="N235" s="259"/>
    </row>
    <row r="236" spans="1:18" ht="13">
      <c r="A236" s="285"/>
      <c r="B236" s="10">
        <v>2022</v>
      </c>
      <c r="C236" s="10">
        <v>2023</v>
      </c>
      <c r="D236" s="10">
        <v>2024</v>
      </c>
      <c r="E236" s="10">
        <v>2025</v>
      </c>
      <c r="F236" s="10"/>
      <c r="G236" s="10"/>
      <c r="H236" s="10"/>
      <c r="I236" s="10"/>
      <c r="N236" s="259"/>
    </row>
    <row r="237" spans="1:18" ht="13">
      <c r="A237" s="300" t="s">
        <v>128</v>
      </c>
      <c r="B237" s="301"/>
      <c r="C237" s="322">
        <f>IF(B228&gt;0,C228/C228,"")</f>
        <v>1</v>
      </c>
      <c r="D237" s="301">
        <f t="shared" ref="D237:I237" si="104">IF(C228&gt;0,D228/C228,"")</f>
        <v>6.0471929853559816</v>
      </c>
      <c r="E237" s="301">
        <f t="shared" si="104"/>
        <v>0.51937207988695411</v>
      </c>
      <c r="F237" s="301">
        <f t="shared" si="104"/>
        <v>0</v>
      </c>
      <c r="G237" s="301" t="str">
        <f t="shared" si="104"/>
        <v/>
      </c>
      <c r="H237" s="301" t="str">
        <f t="shared" si="104"/>
        <v/>
      </c>
      <c r="I237" s="301" t="str">
        <f t="shared" si="104"/>
        <v/>
      </c>
      <c r="J237" s="104" t="s">
        <v>128</v>
      </c>
      <c r="P237" s="259"/>
    </row>
    <row r="238" spans="1:18" ht="13">
      <c r="A238" s="307" t="s">
        <v>133</v>
      </c>
      <c r="B238" s="308"/>
      <c r="C238" s="323">
        <f t="shared" ref="C238:F238" si="105">IF(B229&gt;0,C229/B229,"")</f>
        <v>0.50592885375494068</v>
      </c>
      <c r="D238" s="308">
        <f t="shared" si="105"/>
        <v>1.1107265625</v>
      </c>
      <c r="E238" s="308">
        <f t="shared" si="105"/>
        <v>1.3203397738436036</v>
      </c>
      <c r="F238" s="301">
        <f t="shared" si="105"/>
        <v>0</v>
      </c>
      <c r="G238" s="308"/>
      <c r="H238" s="308"/>
      <c r="I238" s="308"/>
      <c r="J238" s="312" t="s">
        <v>133</v>
      </c>
      <c r="P238" s="259"/>
    </row>
    <row r="239" spans="1:18" ht="13">
      <c r="A239" s="300" t="s">
        <v>181</v>
      </c>
      <c r="B239" s="301"/>
      <c r="C239" s="301">
        <f t="shared" ref="C239:I239" si="106">IF(B230&gt;0,C230/B230,"")</f>
        <v>3.4117999999999999</v>
      </c>
      <c r="D239" s="301">
        <f t="shared" si="106"/>
        <v>0.85819684623952175</v>
      </c>
      <c r="E239" s="301">
        <f t="shared" si="106"/>
        <v>0.40128971032291932</v>
      </c>
      <c r="F239" s="301">
        <f t="shared" si="106"/>
        <v>0</v>
      </c>
      <c r="G239" s="301" t="str">
        <f t="shared" si="106"/>
        <v/>
      </c>
      <c r="H239" s="301" t="str">
        <f t="shared" si="106"/>
        <v/>
      </c>
      <c r="I239" s="301" t="str">
        <f t="shared" si="106"/>
        <v/>
      </c>
      <c r="J239" s="104" t="s">
        <v>181</v>
      </c>
      <c r="P239" s="259"/>
    </row>
    <row r="240" spans="1:18" ht="13">
      <c r="A240" s="307" t="s">
        <v>122</v>
      </c>
      <c r="B240" s="308"/>
      <c r="C240" s="308">
        <f t="shared" ref="C240:I240" si="107">IF(B231&gt;0,C231/B231,"")</f>
        <v>0.23954038272842795</v>
      </c>
      <c r="D240" s="308">
        <f t="shared" si="107"/>
        <v>0.96353665360940122</v>
      </c>
      <c r="E240" s="308">
        <f t="shared" si="107"/>
        <v>0.75355433722064769</v>
      </c>
      <c r="F240" s="308">
        <f t="shared" si="107"/>
        <v>0</v>
      </c>
      <c r="G240" s="308" t="str">
        <f t="shared" si="107"/>
        <v/>
      </c>
      <c r="H240" s="308" t="str">
        <f t="shared" si="107"/>
        <v/>
      </c>
      <c r="I240" s="308" t="str">
        <f t="shared" si="107"/>
        <v/>
      </c>
      <c r="J240" s="310" t="s">
        <v>122</v>
      </c>
      <c r="P240" s="259"/>
    </row>
    <row r="241" spans="3:16" ht="13">
      <c r="C241" s="284"/>
      <c r="D241" s="285"/>
      <c r="F241" s="23"/>
      <c r="P241" s="259"/>
    </row>
    <row r="242" spans="3:16" ht="13">
      <c r="C242" s="284"/>
      <c r="D242" s="285"/>
      <c r="F242" s="23"/>
      <c r="P242" s="259"/>
    </row>
    <row r="243" spans="3:16" ht="13">
      <c r="C243" s="284"/>
      <c r="D243" s="285"/>
      <c r="F243" s="23"/>
      <c r="P243" s="259"/>
    </row>
    <row r="244" spans="3:16" ht="13">
      <c r="C244" s="284"/>
      <c r="D244" s="285"/>
      <c r="F244" s="23"/>
      <c r="P244" s="259"/>
    </row>
    <row r="245" spans="3:16" ht="13">
      <c r="C245" s="284"/>
      <c r="D245" s="285"/>
      <c r="F245" s="23"/>
      <c r="P245" s="259"/>
    </row>
    <row r="246" spans="3:16" ht="13">
      <c r="C246" s="284"/>
      <c r="D246" s="285"/>
      <c r="F246" s="23"/>
      <c r="P246" s="259"/>
    </row>
    <row r="247" spans="3:16" ht="13">
      <c r="C247" s="284"/>
      <c r="D247" s="285"/>
      <c r="F247" s="23"/>
      <c r="P247" s="259"/>
    </row>
    <row r="248" spans="3:16" ht="13">
      <c r="C248" s="284"/>
      <c r="D248" s="285"/>
      <c r="F248" s="23"/>
      <c r="P248" s="259"/>
    </row>
    <row r="249" spans="3:16" ht="13">
      <c r="C249" s="284"/>
      <c r="D249" s="285"/>
      <c r="F249" s="23"/>
      <c r="P249" s="259"/>
    </row>
    <row r="250" spans="3:16" ht="13">
      <c r="C250" s="284"/>
      <c r="D250" s="285"/>
      <c r="F250" s="23"/>
      <c r="P250" s="259"/>
    </row>
    <row r="251" spans="3:16" ht="13">
      <c r="C251" s="284"/>
      <c r="D251" s="285"/>
      <c r="F251" s="23"/>
      <c r="P251" s="259"/>
    </row>
    <row r="252" spans="3:16" ht="13">
      <c r="C252" s="284"/>
      <c r="D252" s="285"/>
      <c r="F252" s="23"/>
      <c r="P252" s="259"/>
    </row>
    <row r="253" spans="3:16" ht="13">
      <c r="C253" s="284"/>
      <c r="D253" s="285"/>
      <c r="F253" s="23"/>
      <c r="P253" s="259"/>
    </row>
    <row r="254" spans="3:16" ht="13">
      <c r="C254" s="284"/>
      <c r="D254" s="285"/>
      <c r="F254" s="23"/>
      <c r="P254" s="259"/>
    </row>
    <row r="255" spans="3:16" ht="13">
      <c r="C255" s="284"/>
      <c r="D255" s="285"/>
      <c r="F255" s="23"/>
      <c r="P255" s="259"/>
    </row>
    <row r="256" spans="3:16" ht="13">
      <c r="C256" s="284"/>
      <c r="D256" s="285"/>
      <c r="F256" s="23"/>
      <c r="P256" s="259"/>
    </row>
    <row r="257" spans="3:16" ht="13">
      <c r="C257" s="284"/>
      <c r="D257" s="285"/>
      <c r="F257" s="23"/>
      <c r="P257" s="259"/>
    </row>
    <row r="258" spans="3:16" ht="13">
      <c r="C258" s="284"/>
      <c r="D258" s="285"/>
      <c r="F258" s="23"/>
      <c r="P258" s="259"/>
    </row>
    <row r="259" spans="3:16" ht="13">
      <c r="C259" s="284"/>
      <c r="D259" s="285"/>
      <c r="F259" s="23"/>
      <c r="P259" s="259"/>
    </row>
    <row r="260" spans="3:16" ht="13">
      <c r="C260" s="284"/>
      <c r="D260" s="285"/>
      <c r="F260" s="23"/>
      <c r="P260" s="259"/>
    </row>
    <row r="261" spans="3:16" ht="13">
      <c r="C261" s="284"/>
      <c r="D261" s="285"/>
      <c r="F261" s="23"/>
      <c r="P261" s="259"/>
    </row>
    <row r="262" spans="3:16" ht="13">
      <c r="C262" s="284"/>
      <c r="D262" s="285"/>
      <c r="F262" s="23"/>
      <c r="P262" s="259"/>
    </row>
    <row r="263" spans="3:16" ht="13">
      <c r="C263" s="284"/>
      <c r="D263" s="285"/>
      <c r="F263" s="23"/>
      <c r="P263" s="259"/>
    </row>
    <row r="264" spans="3:16" ht="13">
      <c r="C264" s="284"/>
      <c r="D264" s="285"/>
      <c r="F264" s="23"/>
      <c r="P264" s="259"/>
    </row>
    <row r="265" spans="3:16" ht="13">
      <c r="C265" s="284"/>
      <c r="D265" s="285"/>
      <c r="F265" s="23"/>
      <c r="P265" s="259"/>
    </row>
    <row r="266" spans="3:16" ht="13">
      <c r="C266" s="284"/>
      <c r="D266" s="285"/>
      <c r="F266" s="23"/>
      <c r="P266" s="259"/>
    </row>
    <row r="267" spans="3:16" ht="13">
      <c r="C267" s="284"/>
      <c r="D267" s="285"/>
      <c r="F267" s="23"/>
      <c r="P267" s="259"/>
    </row>
    <row r="268" spans="3:16" ht="13">
      <c r="C268" s="284"/>
      <c r="D268" s="285"/>
      <c r="F268" s="23"/>
      <c r="P268" s="259"/>
    </row>
    <row r="269" spans="3:16" ht="13">
      <c r="C269" s="284"/>
      <c r="D269" s="285"/>
      <c r="F269" s="23"/>
      <c r="P269" s="259"/>
    </row>
    <row r="270" spans="3:16" ht="13">
      <c r="C270" s="284"/>
      <c r="D270" s="285"/>
      <c r="F270" s="23"/>
      <c r="P270" s="259"/>
    </row>
    <row r="271" spans="3:16" ht="13">
      <c r="C271" s="284"/>
      <c r="D271" s="285"/>
      <c r="F271" s="23"/>
      <c r="P271" s="259"/>
    </row>
    <row r="272" spans="3:16" ht="13">
      <c r="C272" s="284"/>
      <c r="D272" s="285"/>
      <c r="F272" s="23"/>
      <c r="P272" s="259"/>
    </row>
    <row r="273" spans="3:16" ht="13">
      <c r="C273" s="284"/>
      <c r="D273" s="285"/>
      <c r="F273" s="23"/>
      <c r="P273" s="259"/>
    </row>
    <row r="274" spans="3:16" ht="13">
      <c r="C274" s="284"/>
      <c r="D274" s="285"/>
      <c r="F274" s="23"/>
      <c r="P274" s="259"/>
    </row>
    <row r="275" spans="3:16" ht="13">
      <c r="C275" s="284"/>
      <c r="D275" s="285"/>
      <c r="F275" s="23"/>
      <c r="P275" s="259"/>
    </row>
    <row r="276" spans="3:16" ht="13">
      <c r="C276" s="284"/>
      <c r="D276" s="285"/>
      <c r="F276" s="23"/>
      <c r="P276" s="259"/>
    </row>
    <row r="277" spans="3:16" ht="13">
      <c r="C277" s="284"/>
      <c r="D277" s="285"/>
      <c r="F277" s="23"/>
      <c r="P277" s="259"/>
    </row>
    <row r="278" spans="3:16" ht="13">
      <c r="C278" s="284"/>
      <c r="D278" s="285"/>
      <c r="F278" s="23"/>
      <c r="P278" s="259"/>
    </row>
    <row r="279" spans="3:16" ht="13">
      <c r="C279" s="284"/>
      <c r="D279" s="285"/>
      <c r="F279" s="23"/>
      <c r="P279" s="259"/>
    </row>
    <row r="280" spans="3:16" ht="13">
      <c r="C280" s="284"/>
      <c r="D280" s="285"/>
      <c r="F280" s="23"/>
      <c r="P280" s="259"/>
    </row>
    <row r="281" spans="3:16" ht="13">
      <c r="C281" s="284"/>
      <c r="D281" s="285"/>
      <c r="F281" s="23"/>
      <c r="P281" s="259"/>
    </row>
    <row r="282" spans="3:16" ht="13">
      <c r="C282" s="284"/>
      <c r="D282" s="285"/>
      <c r="F282" s="23"/>
      <c r="P282" s="259"/>
    </row>
    <row r="283" spans="3:16" ht="13">
      <c r="C283" s="284"/>
      <c r="D283" s="285"/>
      <c r="F283" s="23"/>
      <c r="P283" s="259"/>
    </row>
    <row r="284" spans="3:16" ht="13">
      <c r="C284" s="284"/>
      <c r="D284" s="285"/>
      <c r="F284" s="23"/>
      <c r="P284" s="259"/>
    </row>
    <row r="285" spans="3:16" ht="13">
      <c r="C285" s="284"/>
      <c r="D285" s="285"/>
      <c r="F285" s="23"/>
      <c r="P285" s="259"/>
    </row>
    <row r="286" spans="3:16" ht="13">
      <c r="C286" s="284"/>
      <c r="D286" s="285"/>
      <c r="F286" s="23"/>
      <c r="P286" s="259"/>
    </row>
    <row r="287" spans="3:16" ht="13">
      <c r="C287" s="284"/>
      <c r="D287" s="285"/>
      <c r="F287" s="23"/>
      <c r="P287" s="259"/>
    </row>
    <row r="288" spans="3:16" ht="13">
      <c r="C288" s="284"/>
      <c r="D288" s="285"/>
      <c r="F288" s="23"/>
      <c r="P288" s="259"/>
    </row>
    <row r="289" spans="3:16" ht="13">
      <c r="C289" s="284"/>
      <c r="D289" s="285"/>
      <c r="F289" s="23"/>
      <c r="P289" s="259"/>
    </row>
    <row r="290" spans="3:16" ht="13">
      <c r="C290" s="284"/>
      <c r="D290" s="285"/>
      <c r="F290" s="23"/>
      <c r="P290" s="259"/>
    </row>
    <row r="291" spans="3:16" ht="13">
      <c r="C291" s="284"/>
      <c r="D291" s="285"/>
      <c r="F291" s="23"/>
      <c r="P291" s="259"/>
    </row>
    <row r="292" spans="3:16" ht="13">
      <c r="C292" s="284"/>
      <c r="D292" s="285"/>
      <c r="F292" s="23"/>
      <c r="P292" s="259"/>
    </row>
    <row r="293" spans="3:16" ht="13">
      <c r="C293" s="284"/>
      <c r="D293" s="285"/>
      <c r="F293" s="23"/>
      <c r="P293" s="259"/>
    </row>
    <row r="294" spans="3:16" ht="13">
      <c r="C294" s="284"/>
      <c r="D294" s="285"/>
      <c r="F294" s="23"/>
      <c r="P294" s="259"/>
    </row>
    <row r="295" spans="3:16" ht="13">
      <c r="C295" s="284"/>
      <c r="D295" s="285"/>
      <c r="F295" s="23"/>
      <c r="P295" s="259"/>
    </row>
    <row r="296" spans="3:16" ht="13">
      <c r="C296" s="284"/>
      <c r="D296" s="285"/>
      <c r="F296" s="23"/>
      <c r="P296" s="259"/>
    </row>
    <row r="297" spans="3:16" ht="13">
      <c r="C297" s="284"/>
      <c r="D297" s="285"/>
      <c r="F297" s="23"/>
      <c r="P297" s="259"/>
    </row>
    <row r="298" spans="3:16" ht="13">
      <c r="C298" s="284"/>
      <c r="D298" s="285"/>
      <c r="F298" s="23"/>
      <c r="P298" s="259"/>
    </row>
    <row r="299" spans="3:16" ht="13">
      <c r="C299" s="284"/>
      <c r="D299" s="285"/>
      <c r="F299" s="23"/>
      <c r="P299" s="259"/>
    </row>
    <row r="300" spans="3:16" ht="13">
      <c r="C300" s="284"/>
      <c r="D300" s="285"/>
      <c r="F300" s="23"/>
      <c r="P300" s="259"/>
    </row>
    <row r="301" spans="3:16" ht="13">
      <c r="C301" s="284"/>
      <c r="D301" s="285"/>
      <c r="F301" s="23"/>
      <c r="P301" s="259"/>
    </row>
    <row r="302" spans="3:16" ht="13">
      <c r="C302" s="284"/>
      <c r="D302" s="285"/>
      <c r="F302" s="23"/>
      <c r="P302" s="259"/>
    </row>
    <row r="303" spans="3:16" ht="13">
      <c r="C303" s="284"/>
      <c r="D303" s="285"/>
      <c r="F303" s="23"/>
      <c r="P303" s="259"/>
    </row>
    <row r="304" spans="3:16" ht="13">
      <c r="C304" s="284"/>
      <c r="D304" s="285"/>
      <c r="F304" s="23"/>
      <c r="P304" s="259"/>
    </row>
    <row r="305" spans="3:16" ht="13">
      <c r="C305" s="284"/>
      <c r="D305" s="285"/>
      <c r="F305" s="23"/>
      <c r="P305" s="259"/>
    </row>
    <row r="306" spans="3:16" ht="13">
      <c r="C306" s="284"/>
      <c r="D306" s="285"/>
      <c r="F306" s="23"/>
      <c r="P306" s="259"/>
    </row>
    <row r="307" spans="3:16" ht="13">
      <c r="C307" s="284"/>
      <c r="D307" s="285"/>
      <c r="F307" s="23"/>
      <c r="P307" s="259"/>
    </row>
    <row r="308" spans="3:16" ht="13">
      <c r="C308" s="284"/>
      <c r="D308" s="285"/>
      <c r="F308" s="23"/>
      <c r="P308" s="259"/>
    </row>
    <row r="309" spans="3:16" ht="13">
      <c r="C309" s="284"/>
      <c r="D309" s="285"/>
      <c r="F309" s="23"/>
      <c r="P309" s="259"/>
    </row>
    <row r="310" spans="3:16" ht="13">
      <c r="C310" s="284"/>
      <c r="D310" s="285"/>
      <c r="F310" s="23"/>
      <c r="P310" s="259"/>
    </row>
    <row r="311" spans="3:16" ht="13">
      <c r="C311" s="284"/>
      <c r="D311" s="285"/>
      <c r="F311" s="23"/>
      <c r="P311" s="259"/>
    </row>
    <row r="312" spans="3:16" ht="13">
      <c r="C312" s="284"/>
      <c r="D312" s="285"/>
      <c r="F312" s="23"/>
      <c r="P312" s="259"/>
    </row>
    <row r="313" spans="3:16" ht="13">
      <c r="C313" s="284"/>
      <c r="D313" s="285"/>
      <c r="F313" s="23"/>
      <c r="P313" s="259"/>
    </row>
    <row r="314" spans="3:16" ht="13">
      <c r="C314" s="284"/>
      <c r="D314" s="285"/>
      <c r="F314" s="23"/>
      <c r="P314" s="259"/>
    </row>
    <row r="315" spans="3:16" ht="13">
      <c r="C315" s="284"/>
      <c r="D315" s="285"/>
      <c r="F315" s="23"/>
      <c r="P315" s="259"/>
    </row>
    <row r="316" spans="3:16" ht="13">
      <c r="C316" s="284"/>
      <c r="D316" s="285"/>
      <c r="F316" s="23"/>
      <c r="P316" s="259"/>
    </row>
    <row r="317" spans="3:16" ht="13">
      <c r="C317" s="284"/>
      <c r="D317" s="285"/>
      <c r="F317" s="23"/>
      <c r="P317" s="259"/>
    </row>
    <row r="318" spans="3:16" ht="13">
      <c r="C318" s="284"/>
      <c r="D318" s="285"/>
      <c r="F318" s="23"/>
      <c r="P318" s="259"/>
    </row>
    <row r="319" spans="3:16" ht="13">
      <c r="C319" s="284"/>
      <c r="D319" s="285"/>
      <c r="F319" s="23"/>
      <c r="P319" s="259"/>
    </row>
    <row r="320" spans="3:16" ht="13">
      <c r="C320" s="284"/>
      <c r="D320" s="285"/>
      <c r="F320" s="23"/>
      <c r="P320" s="259"/>
    </row>
    <row r="321" spans="3:16" ht="13">
      <c r="C321" s="284"/>
      <c r="D321" s="285"/>
      <c r="F321" s="23"/>
      <c r="P321" s="259"/>
    </row>
    <row r="322" spans="3:16" ht="13">
      <c r="C322" s="284"/>
      <c r="D322" s="285"/>
      <c r="F322" s="23"/>
      <c r="P322" s="259"/>
    </row>
    <row r="323" spans="3:16" ht="13">
      <c r="C323" s="284"/>
      <c r="D323" s="285"/>
      <c r="F323" s="23"/>
      <c r="P323" s="259"/>
    </row>
    <row r="324" spans="3:16" ht="13">
      <c r="C324" s="284"/>
      <c r="D324" s="285"/>
      <c r="F324" s="23"/>
      <c r="P324" s="259"/>
    </row>
    <row r="325" spans="3:16" ht="13">
      <c r="C325" s="284"/>
      <c r="D325" s="285"/>
      <c r="F325" s="23"/>
      <c r="P325" s="259"/>
    </row>
    <row r="326" spans="3:16" ht="13">
      <c r="C326" s="284"/>
      <c r="D326" s="285"/>
      <c r="F326" s="23"/>
      <c r="P326" s="259"/>
    </row>
    <row r="327" spans="3:16" ht="13">
      <c r="C327" s="284"/>
      <c r="D327" s="285"/>
      <c r="F327" s="23"/>
      <c r="P327" s="259"/>
    </row>
    <row r="328" spans="3:16" ht="13">
      <c r="C328" s="284"/>
      <c r="D328" s="285"/>
      <c r="F328" s="23"/>
      <c r="P328" s="259"/>
    </row>
    <row r="329" spans="3:16" ht="13">
      <c r="C329" s="284"/>
      <c r="D329" s="285"/>
      <c r="F329" s="23"/>
      <c r="P329" s="259"/>
    </row>
    <row r="330" spans="3:16" ht="13">
      <c r="C330" s="284"/>
      <c r="D330" s="285"/>
      <c r="F330" s="23"/>
      <c r="P330" s="259"/>
    </row>
    <row r="331" spans="3:16" ht="13">
      <c r="C331" s="284"/>
      <c r="D331" s="285"/>
      <c r="F331" s="23"/>
      <c r="P331" s="259"/>
    </row>
    <row r="332" spans="3:16" ht="13">
      <c r="C332" s="284"/>
      <c r="D332" s="285"/>
      <c r="F332" s="23"/>
      <c r="P332" s="259"/>
    </row>
    <row r="333" spans="3:16" ht="13">
      <c r="C333" s="284"/>
      <c r="D333" s="285"/>
      <c r="F333" s="23"/>
      <c r="P333" s="259"/>
    </row>
    <row r="334" spans="3:16" ht="13">
      <c r="C334" s="284"/>
      <c r="D334" s="285"/>
      <c r="F334" s="23"/>
      <c r="P334" s="259"/>
    </row>
    <row r="335" spans="3:16" ht="13">
      <c r="C335" s="284"/>
      <c r="D335" s="285"/>
      <c r="F335" s="23"/>
      <c r="P335" s="259"/>
    </row>
    <row r="336" spans="3:16" ht="13">
      <c r="C336" s="284"/>
      <c r="D336" s="285"/>
      <c r="F336" s="23"/>
      <c r="P336" s="259"/>
    </row>
    <row r="337" spans="3:16" ht="13">
      <c r="C337" s="284"/>
      <c r="D337" s="285"/>
      <c r="F337" s="23"/>
      <c r="P337" s="259"/>
    </row>
    <row r="338" spans="3:16" ht="13">
      <c r="C338" s="284"/>
      <c r="D338" s="285"/>
      <c r="F338" s="23"/>
      <c r="P338" s="259"/>
    </row>
    <row r="339" spans="3:16" ht="13">
      <c r="C339" s="284"/>
      <c r="D339" s="285"/>
      <c r="F339" s="23"/>
      <c r="P339" s="259"/>
    </row>
    <row r="340" spans="3:16" ht="13">
      <c r="C340" s="284"/>
      <c r="D340" s="285"/>
      <c r="F340" s="23"/>
      <c r="P340" s="259"/>
    </row>
    <row r="341" spans="3:16" ht="13">
      <c r="C341" s="284"/>
      <c r="D341" s="285"/>
      <c r="F341" s="23"/>
      <c r="P341" s="259"/>
    </row>
    <row r="342" spans="3:16" ht="13">
      <c r="C342" s="284"/>
      <c r="D342" s="285"/>
      <c r="F342" s="23"/>
      <c r="P342" s="259"/>
    </row>
    <row r="343" spans="3:16" ht="13">
      <c r="C343" s="284"/>
      <c r="D343" s="285"/>
      <c r="F343" s="23"/>
      <c r="P343" s="259"/>
    </row>
    <row r="344" spans="3:16" ht="13">
      <c r="C344" s="284"/>
      <c r="D344" s="285"/>
      <c r="F344" s="23"/>
      <c r="P344" s="259"/>
    </row>
    <row r="345" spans="3:16" ht="13">
      <c r="C345" s="284"/>
      <c r="D345" s="285"/>
      <c r="F345" s="23"/>
      <c r="P345" s="259"/>
    </row>
    <row r="346" spans="3:16" ht="13">
      <c r="C346" s="284"/>
      <c r="D346" s="285"/>
      <c r="F346" s="23"/>
      <c r="P346" s="259"/>
    </row>
    <row r="347" spans="3:16" ht="13">
      <c r="C347" s="284"/>
      <c r="D347" s="285"/>
      <c r="F347" s="23"/>
      <c r="P347" s="259"/>
    </row>
    <row r="348" spans="3:16" ht="13">
      <c r="C348" s="284"/>
      <c r="D348" s="285"/>
      <c r="F348" s="23"/>
      <c r="P348" s="259"/>
    </row>
    <row r="349" spans="3:16" ht="13">
      <c r="C349" s="284"/>
      <c r="D349" s="285"/>
      <c r="F349" s="23"/>
      <c r="P349" s="259"/>
    </row>
    <row r="350" spans="3:16" ht="13">
      <c r="C350" s="284"/>
      <c r="D350" s="285"/>
      <c r="F350" s="23"/>
      <c r="P350" s="259"/>
    </row>
    <row r="351" spans="3:16" ht="13">
      <c r="C351" s="284"/>
      <c r="D351" s="285"/>
      <c r="F351" s="23"/>
      <c r="P351" s="259"/>
    </row>
    <row r="352" spans="3:16" ht="13">
      <c r="C352" s="284"/>
      <c r="D352" s="285"/>
      <c r="F352" s="23"/>
      <c r="P352" s="259"/>
    </row>
    <row r="353" spans="3:16" ht="13">
      <c r="C353" s="284"/>
      <c r="D353" s="285"/>
      <c r="F353" s="23"/>
      <c r="P353" s="259"/>
    </row>
    <row r="354" spans="3:16" ht="13">
      <c r="C354" s="284"/>
      <c r="D354" s="285"/>
      <c r="F354" s="23"/>
      <c r="P354" s="259"/>
    </row>
    <row r="355" spans="3:16" ht="13">
      <c r="C355" s="284"/>
      <c r="D355" s="285"/>
      <c r="F355" s="23"/>
      <c r="P355" s="259"/>
    </row>
    <row r="356" spans="3:16" ht="13">
      <c r="C356" s="284"/>
      <c r="D356" s="285"/>
      <c r="F356" s="23"/>
      <c r="P356" s="259"/>
    </row>
    <row r="357" spans="3:16" ht="13">
      <c r="C357" s="284"/>
      <c r="D357" s="285"/>
      <c r="F357" s="23"/>
      <c r="P357" s="259"/>
    </row>
    <row r="358" spans="3:16" ht="13">
      <c r="C358" s="284"/>
      <c r="D358" s="285"/>
      <c r="F358" s="23"/>
      <c r="P358" s="259"/>
    </row>
    <row r="359" spans="3:16" ht="13">
      <c r="C359" s="284"/>
      <c r="D359" s="285"/>
      <c r="F359" s="23"/>
      <c r="P359" s="259"/>
    </row>
    <row r="360" spans="3:16" ht="13">
      <c r="C360" s="284"/>
      <c r="D360" s="285"/>
      <c r="F360" s="23"/>
      <c r="P360" s="259"/>
    </row>
    <row r="361" spans="3:16" ht="13">
      <c r="C361" s="284"/>
      <c r="D361" s="285"/>
      <c r="F361" s="23"/>
      <c r="P361" s="259"/>
    </row>
    <row r="362" spans="3:16" ht="13">
      <c r="C362" s="284"/>
      <c r="D362" s="285"/>
      <c r="F362" s="23"/>
      <c r="P362" s="259"/>
    </row>
    <row r="363" spans="3:16" ht="13">
      <c r="C363" s="284"/>
      <c r="D363" s="285"/>
      <c r="F363" s="23"/>
      <c r="P363" s="259"/>
    </row>
    <row r="364" spans="3:16" ht="13">
      <c r="C364" s="284"/>
      <c r="D364" s="285"/>
      <c r="F364" s="23"/>
      <c r="P364" s="259"/>
    </row>
    <row r="365" spans="3:16" ht="13">
      <c r="C365" s="284"/>
      <c r="D365" s="285"/>
      <c r="F365" s="23"/>
      <c r="P365" s="259"/>
    </row>
    <row r="366" spans="3:16" ht="13">
      <c r="C366" s="284"/>
      <c r="D366" s="285"/>
      <c r="F366" s="23"/>
      <c r="P366" s="259"/>
    </row>
    <row r="367" spans="3:16" ht="13">
      <c r="C367" s="284"/>
      <c r="D367" s="285"/>
      <c r="F367" s="23"/>
      <c r="P367" s="259"/>
    </row>
    <row r="368" spans="3:16" ht="13">
      <c r="C368" s="284"/>
      <c r="D368" s="285"/>
      <c r="F368" s="23"/>
      <c r="P368" s="259"/>
    </row>
    <row r="369" spans="3:16" ht="13">
      <c r="C369" s="284"/>
      <c r="D369" s="285"/>
      <c r="F369" s="23"/>
      <c r="P369" s="259"/>
    </row>
    <row r="370" spans="3:16" ht="13">
      <c r="C370" s="284"/>
      <c r="D370" s="285"/>
      <c r="F370" s="23"/>
      <c r="P370" s="259"/>
    </row>
    <row r="371" spans="3:16" ht="13">
      <c r="C371" s="284"/>
      <c r="D371" s="285"/>
      <c r="F371" s="23"/>
      <c r="P371" s="259"/>
    </row>
    <row r="372" spans="3:16" ht="13">
      <c r="C372" s="284"/>
      <c r="D372" s="285"/>
      <c r="F372" s="23"/>
      <c r="P372" s="259"/>
    </row>
    <row r="373" spans="3:16" ht="13">
      <c r="C373" s="284"/>
      <c r="D373" s="285"/>
      <c r="F373" s="23"/>
      <c r="P373" s="259"/>
    </row>
    <row r="374" spans="3:16" ht="13">
      <c r="C374" s="284"/>
      <c r="D374" s="285"/>
      <c r="F374" s="23"/>
      <c r="P374" s="259"/>
    </row>
    <row r="375" spans="3:16" ht="13">
      <c r="C375" s="284"/>
      <c r="D375" s="285"/>
      <c r="F375" s="23"/>
      <c r="P375" s="259"/>
    </row>
    <row r="376" spans="3:16" ht="13">
      <c r="C376" s="284"/>
      <c r="D376" s="285"/>
      <c r="F376" s="23"/>
      <c r="P376" s="259"/>
    </row>
    <row r="377" spans="3:16" ht="13">
      <c r="C377" s="284"/>
      <c r="D377" s="285"/>
      <c r="F377" s="23"/>
      <c r="P377" s="259"/>
    </row>
    <row r="378" spans="3:16" ht="13">
      <c r="C378" s="284"/>
      <c r="D378" s="285"/>
      <c r="F378" s="23"/>
      <c r="P378" s="259"/>
    </row>
    <row r="379" spans="3:16" ht="13">
      <c r="C379" s="284"/>
      <c r="D379" s="285"/>
      <c r="F379" s="23"/>
      <c r="P379" s="259"/>
    </row>
    <row r="380" spans="3:16" ht="13">
      <c r="C380" s="284"/>
      <c r="D380" s="285"/>
      <c r="F380" s="23"/>
      <c r="P380" s="259"/>
    </row>
    <row r="381" spans="3:16" ht="13">
      <c r="C381" s="284"/>
      <c r="D381" s="285"/>
      <c r="F381" s="23"/>
      <c r="P381" s="259"/>
    </row>
    <row r="382" spans="3:16" ht="13">
      <c r="C382" s="284"/>
      <c r="D382" s="285"/>
      <c r="F382" s="23"/>
      <c r="P382" s="259"/>
    </row>
    <row r="383" spans="3:16" ht="13">
      <c r="C383" s="284"/>
      <c r="D383" s="285"/>
      <c r="F383" s="23"/>
      <c r="P383" s="259"/>
    </row>
    <row r="384" spans="3:16" ht="13">
      <c r="C384" s="284"/>
      <c r="D384" s="285"/>
      <c r="F384" s="23"/>
      <c r="P384" s="259"/>
    </row>
    <row r="385" spans="3:16" ht="13">
      <c r="C385" s="284"/>
      <c r="D385" s="285"/>
      <c r="F385" s="23"/>
      <c r="P385" s="259"/>
    </row>
    <row r="386" spans="3:16" ht="13">
      <c r="C386" s="284"/>
      <c r="D386" s="285"/>
      <c r="F386" s="23"/>
      <c r="P386" s="259"/>
    </row>
    <row r="387" spans="3:16" ht="13">
      <c r="C387" s="284"/>
      <c r="D387" s="285"/>
      <c r="F387" s="23"/>
      <c r="P387" s="259"/>
    </row>
    <row r="388" spans="3:16" ht="13">
      <c r="C388" s="284"/>
      <c r="D388" s="285"/>
      <c r="F388" s="23"/>
      <c r="P388" s="259"/>
    </row>
    <row r="389" spans="3:16" ht="13">
      <c r="C389" s="284"/>
      <c r="D389" s="285"/>
      <c r="F389" s="23"/>
      <c r="P389" s="259"/>
    </row>
    <row r="390" spans="3:16" ht="13">
      <c r="C390" s="284"/>
      <c r="D390" s="285"/>
      <c r="F390" s="23"/>
      <c r="P390" s="259"/>
    </row>
    <row r="391" spans="3:16" ht="13">
      <c r="C391" s="284"/>
      <c r="D391" s="285"/>
      <c r="F391" s="23"/>
      <c r="P391" s="259"/>
    </row>
    <row r="392" spans="3:16" ht="13">
      <c r="C392" s="284"/>
      <c r="D392" s="285"/>
      <c r="F392" s="23"/>
      <c r="P392" s="259"/>
    </row>
    <row r="393" spans="3:16" ht="13">
      <c r="C393" s="284"/>
      <c r="D393" s="285"/>
      <c r="F393" s="23"/>
      <c r="P393" s="259"/>
    </row>
    <row r="394" spans="3:16" ht="13">
      <c r="C394" s="284"/>
      <c r="D394" s="285"/>
      <c r="F394" s="23"/>
      <c r="P394" s="259"/>
    </row>
    <row r="395" spans="3:16" ht="13">
      <c r="C395" s="284"/>
      <c r="D395" s="285"/>
      <c r="F395" s="23"/>
      <c r="P395" s="259"/>
    </row>
    <row r="396" spans="3:16" ht="13">
      <c r="C396" s="284"/>
      <c r="D396" s="285"/>
      <c r="F396" s="23"/>
      <c r="P396" s="259"/>
    </row>
    <row r="397" spans="3:16" ht="13">
      <c r="C397" s="284"/>
      <c r="D397" s="285"/>
      <c r="F397" s="23"/>
      <c r="P397" s="259"/>
    </row>
    <row r="398" spans="3:16" ht="13">
      <c r="C398" s="284"/>
      <c r="D398" s="285"/>
      <c r="F398" s="23"/>
      <c r="P398" s="259"/>
    </row>
    <row r="399" spans="3:16" ht="13">
      <c r="C399" s="284"/>
      <c r="D399" s="285"/>
      <c r="F399" s="23"/>
      <c r="P399" s="259"/>
    </row>
    <row r="400" spans="3:16" ht="13">
      <c r="C400" s="284"/>
      <c r="D400" s="285"/>
      <c r="F400" s="23"/>
      <c r="P400" s="259"/>
    </row>
    <row r="401" spans="3:16" ht="13">
      <c r="C401" s="284"/>
      <c r="D401" s="285"/>
      <c r="F401" s="23"/>
      <c r="P401" s="259"/>
    </row>
    <row r="402" spans="3:16" ht="13">
      <c r="C402" s="284"/>
      <c r="D402" s="285"/>
      <c r="F402" s="23"/>
      <c r="P402" s="259"/>
    </row>
    <row r="403" spans="3:16" ht="13">
      <c r="C403" s="284"/>
      <c r="D403" s="285"/>
      <c r="F403" s="23"/>
      <c r="P403" s="259"/>
    </row>
    <row r="404" spans="3:16" ht="13">
      <c r="C404" s="284"/>
      <c r="D404" s="285"/>
      <c r="F404" s="23"/>
      <c r="P404" s="259"/>
    </row>
    <row r="405" spans="3:16" ht="13">
      <c r="C405" s="284"/>
      <c r="D405" s="285"/>
      <c r="F405" s="23"/>
      <c r="P405" s="259"/>
    </row>
    <row r="406" spans="3:16" ht="13">
      <c r="C406" s="284"/>
      <c r="D406" s="285"/>
      <c r="F406" s="23"/>
      <c r="P406" s="259"/>
    </row>
    <row r="407" spans="3:16" ht="13">
      <c r="C407" s="284"/>
      <c r="D407" s="285"/>
      <c r="F407" s="23"/>
      <c r="P407" s="259"/>
    </row>
    <row r="408" spans="3:16" ht="13">
      <c r="C408" s="284"/>
      <c r="D408" s="285"/>
      <c r="F408" s="23"/>
      <c r="P408" s="259"/>
    </row>
    <row r="409" spans="3:16" ht="13">
      <c r="C409" s="284"/>
      <c r="D409" s="285"/>
      <c r="F409" s="23"/>
      <c r="P409" s="259"/>
    </row>
    <row r="410" spans="3:16" ht="13">
      <c r="C410" s="284"/>
      <c r="D410" s="285"/>
      <c r="F410" s="23"/>
      <c r="P410" s="259"/>
    </row>
    <row r="411" spans="3:16" ht="13">
      <c r="C411" s="284"/>
      <c r="D411" s="285"/>
      <c r="F411" s="23"/>
      <c r="P411" s="259"/>
    </row>
    <row r="412" spans="3:16" ht="13">
      <c r="C412" s="284"/>
      <c r="D412" s="285"/>
      <c r="F412" s="23"/>
      <c r="P412" s="259"/>
    </row>
    <row r="413" spans="3:16" ht="13">
      <c r="C413" s="284"/>
      <c r="D413" s="285"/>
      <c r="F413" s="23"/>
      <c r="P413" s="259"/>
    </row>
    <row r="414" spans="3:16" ht="13">
      <c r="C414" s="284"/>
      <c r="D414" s="285"/>
      <c r="F414" s="23"/>
      <c r="P414" s="259"/>
    </row>
    <row r="415" spans="3:16" ht="13">
      <c r="C415" s="284"/>
      <c r="D415" s="285"/>
      <c r="F415" s="23"/>
      <c r="P415" s="259"/>
    </row>
    <row r="416" spans="3:16" ht="13">
      <c r="C416" s="284"/>
      <c r="D416" s="285"/>
      <c r="F416" s="23"/>
      <c r="P416" s="259"/>
    </row>
    <row r="417" spans="3:16" ht="13">
      <c r="C417" s="284"/>
      <c r="D417" s="285"/>
      <c r="F417" s="23"/>
      <c r="P417" s="259"/>
    </row>
    <row r="418" spans="3:16" ht="13">
      <c r="C418" s="284"/>
      <c r="D418" s="285"/>
      <c r="F418" s="23"/>
      <c r="P418" s="259"/>
    </row>
    <row r="419" spans="3:16" ht="13">
      <c r="C419" s="284"/>
      <c r="D419" s="285"/>
      <c r="F419" s="23"/>
      <c r="P419" s="259"/>
    </row>
    <row r="420" spans="3:16" ht="13">
      <c r="C420" s="284"/>
      <c r="D420" s="285"/>
      <c r="F420" s="23"/>
      <c r="P420" s="259"/>
    </row>
    <row r="421" spans="3:16" ht="13">
      <c r="C421" s="284"/>
      <c r="D421" s="285"/>
      <c r="F421" s="23"/>
      <c r="P421" s="259"/>
    </row>
    <row r="422" spans="3:16" ht="13">
      <c r="C422" s="284"/>
      <c r="D422" s="285"/>
      <c r="F422" s="23"/>
      <c r="P422" s="259"/>
    </row>
    <row r="423" spans="3:16" ht="13">
      <c r="C423" s="284"/>
      <c r="D423" s="285"/>
      <c r="F423" s="23"/>
      <c r="P423" s="259"/>
    </row>
    <row r="424" spans="3:16" ht="13">
      <c r="C424" s="284"/>
      <c r="D424" s="285"/>
      <c r="F424" s="23"/>
      <c r="P424" s="259"/>
    </row>
    <row r="425" spans="3:16" ht="13">
      <c r="C425" s="284"/>
      <c r="D425" s="285"/>
      <c r="F425" s="23"/>
      <c r="P425" s="259"/>
    </row>
    <row r="426" spans="3:16" ht="13">
      <c r="C426" s="284"/>
      <c r="D426" s="285"/>
      <c r="F426" s="23"/>
      <c r="P426" s="259"/>
    </row>
    <row r="427" spans="3:16" ht="13">
      <c r="C427" s="284"/>
      <c r="D427" s="285"/>
      <c r="F427" s="23"/>
      <c r="P427" s="259"/>
    </row>
    <row r="428" spans="3:16" ht="13">
      <c r="C428" s="284"/>
      <c r="D428" s="285"/>
      <c r="F428" s="23"/>
      <c r="P428" s="259"/>
    </row>
    <row r="429" spans="3:16" ht="13">
      <c r="C429" s="284"/>
      <c r="D429" s="285"/>
      <c r="F429" s="23"/>
      <c r="P429" s="259"/>
    </row>
    <row r="430" spans="3:16" ht="13">
      <c r="C430" s="284"/>
      <c r="D430" s="285"/>
      <c r="F430" s="23"/>
      <c r="P430" s="259"/>
    </row>
    <row r="431" spans="3:16" ht="13">
      <c r="C431" s="284"/>
      <c r="D431" s="285"/>
      <c r="F431" s="23"/>
      <c r="P431" s="259"/>
    </row>
    <row r="432" spans="3:16" ht="13">
      <c r="C432" s="284"/>
      <c r="D432" s="285"/>
      <c r="F432" s="23"/>
      <c r="P432" s="259"/>
    </row>
    <row r="433" spans="3:16" ht="13">
      <c r="C433" s="284"/>
      <c r="D433" s="285"/>
      <c r="F433" s="23"/>
      <c r="P433" s="259"/>
    </row>
    <row r="434" spans="3:16" ht="13">
      <c r="C434" s="284"/>
      <c r="D434" s="285"/>
      <c r="F434" s="23"/>
      <c r="P434" s="259"/>
    </row>
    <row r="435" spans="3:16" ht="13">
      <c r="C435" s="284"/>
      <c r="D435" s="285"/>
      <c r="F435" s="23"/>
      <c r="P435" s="259"/>
    </row>
    <row r="436" spans="3:16" ht="13">
      <c r="C436" s="284"/>
      <c r="D436" s="285"/>
      <c r="F436" s="23"/>
      <c r="P436" s="259"/>
    </row>
    <row r="437" spans="3:16" ht="13">
      <c r="C437" s="284"/>
      <c r="D437" s="285"/>
      <c r="F437" s="23"/>
      <c r="P437" s="259"/>
    </row>
    <row r="438" spans="3:16" ht="13">
      <c r="C438" s="284"/>
      <c r="D438" s="285"/>
      <c r="F438" s="23"/>
      <c r="P438" s="259"/>
    </row>
    <row r="439" spans="3:16" ht="13">
      <c r="C439" s="284"/>
      <c r="D439" s="285"/>
      <c r="F439" s="23"/>
      <c r="P439" s="259"/>
    </row>
    <row r="440" spans="3:16" ht="13">
      <c r="C440" s="284"/>
      <c r="D440" s="285"/>
      <c r="F440" s="23"/>
      <c r="P440" s="259"/>
    </row>
    <row r="441" spans="3:16" ht="13">
      <c r="C441" s="284"/>
      <c r="D441" s="285"/>
      <c r="F441" s="23"/>
      <c r="P441" s="259"/>
    </row>
    <row r="442" spans="3:16" ht="13">
      <c r="C442" s="284"/>
      <c r="D442" s="285"/>
      <c r="F442" s="23"/>
      <c r="P442" s="259"/>
    </row>
    <row r="443" spans="3:16" ht="13">
      <c r="C443" s="284"/>
      <c r="D443" s="285"/>
      <c r="F443" s="23"/>
      <c r="P443" s="259"/>
    </row>
    <row r="444" spans="3:16" ht="13">
      <c r="C444" s="284"/>
      <c r="D444" s="285"/>
      <c r="F444" s="23"/>
      <c r="P444" s="259"/>
    </row>
    <row r="445" spans="3:16" ht="13">
      <c r="C445" s="284"/>
      <c r="D445" s="285"/>
      <c r="F445" s="23"/>
      <c r="P445" s="259"/>
    </row>
    <row r="446" spans="3:16" ht="13">
      <c r="C446" s="284"/>
      <c r="D446" s="285"/>
      <c r="F446" s="23"/>
      <c r="P446" s="259"/>
    </row>
    <row r="447" spans="3:16" ht="13">
      <c r="C447" s="284"/>
      <c r="D447" s="285"/>
      <c r="F447" s="23"/>
      <c r="P447" s="259"/>
    </row>
    <row r="448" spans="3:16" ht="13">
      <c r="C448" s="284"/>
      <c r="D448" s="285"/>
      <c r="F448" s="23"/>
      <c r="P448" s="259"/>
    </row>
    <row r="449" spans="3:16" ht="13">
      <c r="C449" s="284"/>
      <c r="D449" s="285"/>
      <c r="F449" s="23"/>
      <c r="P449" s="259"/>
    </row>
    <row r="450" spans="3:16" ht="13">
      <c r="C450" s="284"/>
      <c r="D450" s="285"/>
      <c r="F450" s="23"/>
      <c r="P450" s="259"/>
    </row>
    <row r="451" spans="3:16" ht="13">
      <c r="C451" s="284"/>
      <c r="D451" s="285"/>
      <c r="F451" s="23"/>
      <c r="P451" s="259"/>
    </row>
    <row r="452" spans="3:16" ht="13">
      <c r="C452" s="284"/>
      <c r="D452" s="285"/>
      <c r="F452" s="23"/>
      <c r="P452" s="259"/>
    </row>
    <row r="453" spans="3:16" ht="13">
      <c r="C453" s="284"/>
      <c r="D453" s="285"/>
      <c r="F453" s="23"/>
      <c r="P453" s="259"/>
    </row>
    <row r="454" spans="3:16" ht="13">
      <c r="C454" s="284"/>
      <c r="D454" s="285"/>
      <c r="F454" s="23"/>
      <c r="P454" s="259"/>
    </row>
    <row r="455" spans="3:16" ht="13">
      <c r="C455" s="284"/>
      <c r="D455" s="285"/>
      <c r="F455" s="23"/>
      <c r="P455" s="259"/>
    </row>
    <row r="456" spans="3:16" ht="13">
      <c r="C456" s="284"/>
      <c r="D456" s="285"/>
      <c r="F456" s="23"/>
      <c r="P456" s="259"/>
    </row>
    <row r="457" spans="3:16" ht="13">
      <c r="C457" s="284"/>
      <c r="D457" s="285"/>
      <c r="F457" s="23"/>
      <c r="P457" s="259"/>
    </row>
    <row r="458" spans="3:16" ht="13">
      <c r="C458" s="284"/>
      <c r="D458" s="285"/>
      <c r="F458" s="23"/>
      <c r="P458" s="259"/>
    </row>
    <row r="459" spans="3:16" ht="13">
      <c r="C459" s="284"/>
      <c r="D459" s="285"/>
      <c r="F459" s="23"/>
      <c r="P459" s="259"/>
    </row>
    <row r="460" spans="3:16" ht="13">
      <c r="C460" s="284"/>
      <c r="D460" s="285"/>
      <c r="F460" s="23"/>
      <c r="P460" s="259"/>
    </row>
    <row r="461" spans="3:16" ht="13">
      <c r="C461" s="284"/>
      <c r="D461" s="285"/>
      <c r="F461" s="23"/>
      <c r="P461" s="259"/>
    </row>
    <row r="462" spans="3:16" ht="13">
      <c r="C462" s="284"/>
      <c r="D462" s="285"/>
      <c r="F462" s="23"/>
      <c r="P462" s="259"/>
    </row>
    <row r="463" spans="3:16" ht="13">
      <c r="C463" s="284"/>
      <c r="D463" s="285"/>
      <c r="F463" s="23"/>
      <c r="P463" s="259"/>
    </row>
    <row r="464" spans="3:16" ht="13">
      <c r="C464" s="284"/>
      <c r="D464" s="285"/>
      <c r="F464" s="23"/>
      <c r="P464" s="259"/>
    </row>
    <row r="465" spans="3:16" ht="13">
      <c r="C465" s="284"/>
      <c r="D465" s="285"/>
      <c r="F465" s="23"/>
      <c r="P465" s="259"/>
    </row>
    <row r="466" spans="3:16" ht="13">
      <c r="C466" s="284"/>
      <c r="D466" s="285"/>
      <c r="F466" s="23"/>
      <c r="P466" s="259"/>
    </row>
    <row r="467" spans="3:16" ht="13">
      <c r="C467" s="284"/>
      <c r="D467" s="285"/>
      <c r="F467" s="23"/>
      <c r="P467" s="259"/>
    </row>
    <row r="468" spans="3:16" ht="13">
      <c r="C468" s="284"/>
      <c r="D468" s="285"/>
      <c r="F468" s="23"/>
      <c r="P468" s="259"/>
    </row>
    <row r="469" spans="3:16" ht="13">
      <c r="C469" s="284"/>
      <c r="D469" s="285"/>
      <c r="F469" s="23"/>
      <c r="P469" s="259"/>
    </row>
    <row r="470" spans="3:16" ht="13">
      <c r="C470" s="284"/>
      <c r="D470" s="285"/>
      <c r="F470" s="23"/>
      <c r="P470" s="259"/>
    </row>
    <row r="471" spans="3:16" ht="13">
      <c r="C471" s="284"/>
      <c r="D471" s="285"/>
      <c r="F471" s="23"/>
      <c r="P471" s="259"/>
    </row>
    <row r="472" spans="3:16" ht="13">
      <c r="C472" s="284"/>
      <c r="D472" s="285"/>
      <c r="F472" s="23"/>
      <c r="P472" s="259"/>
    </row>
    <row r="473" spans="3:16" ht="13">
      <c r="C473" s="284"/>
      <c r="D473" s="285"/>
      <c r="F473" s="23"/>
      <c r="P473" s="259"/>
    </row>
    <row r="474" spans="3:16" ht="13">
      <c r="C474" s="284"/>
      <c r="D474" s="285"/>
      <c r="F474" s="23"/>
      <c r="P474" s="259"/>
    </row>
    <row r="475" spans="3:16" ht="13">
      <c r="C475" s="284"/>
      <c r="D475" s="285"/>
      <c r="F475" s="23"/>
      <c r="P475" s="259"/>
    </row>
    <row r="476" spans="3:16" ht="13">
      <c r="C476" s="284"/>
      <c r="D476" s="285"/>
      <c r="F476" s="23"/>
      <c r="P476" s="259"/>
    </row>
    <row r="477" spans="3:16" ht="13">
      <c r="C477" s="284"/>
      <c r="D477" s="285"/>
      <c r="F477" s="23"/>
      <c r="P477" s="259"/>
    </row>
    <row r="478" spans="3:16" ht="13">
      <c r="C478" s="284"/>
      <c r="D478" s="285"/>
      <c r="F478" s="23"/>
      <c r="P478" s="259"/>
    </row>
    <row r="479" spans="3:16" ht="13">
      <c r="C479" s="284"/>
      <c r="D479" s="285"/>
      <c r="F479" s="23"/>
      <c r="P479" s="259"/>
    </row>
    <row r="480" spans="3:16" ht="13">
      <c r="C480" s="284"/>
      <c r="D480" s="285"/>
      <c r="F480" s="23"/>
      <c r="P480" s="259"/>
    </row>
    <row r="481" spans="3:16" ht="13">
      <c r="C481" s="284"/>
      <c r="D481" s="285"/>
      <c r="F481" s="23"/>
      <c r="P481" s="259"/>
    </row>
    <row r="482" spans="3:16" ht="13">
      <c r="C482" s="284"/>
      <c r="D482" s="285"/>
      <c r="F482" s="23"/>
      <c r="P482" s="259"/>
    </row>
    <row r="483" spans="3:16" ht="13">
      <c r="C483" s="284"/>
      <c r="D483" s="285"/>
      <c r="F483" s="23"/>
      <c r="P483" s="259"/>
    </row>
    <row r="484" spans="3:16" ht="13">
      <c r="C484" s="284"/>
      <c r="D484" s="285"/>
      <c r="F484" s="23"/>
      <c r="P484" s="259"/>
    </row>
    <row r="485" spans="3:16" ht="13">
      <c r="C485" s="284"/>
      <c r="D485" s="285"/>
      <c r="F485" s="23"/>
      <c r="P485" s="259"/>
    </row>
    <row r="486" spans="3:16" ht="13">
      <c r="C486" s="284"/>
      <c r="D486" s="285"/>
      <c r="F486" s="23"/>
      <c r="P486" s="259"/>
    </row>
    <row r="487" spans="3:16" ht="13">
      <c r="C487" s="284"/>
      <c r="D487" s="285"/>
      <c r="F487" s="23"/>
      <c r="P487" s="259"/>
    </row>
    <row r="488" spans="3:16" ht="13">
      <c r="C488" s="284"/>
      <c r="D488" s="285"/>
      <c r="F488" s="23"/>
      <c r="P488" s="259"/>
    </row>
    <row r="489" spans="3:16" ht="13">
      <c r="C489" s="284"/>
      <c r="D489" s="285"/>
      <c r="F489" s="23"/>
      <c r="P489" s="259"/>
    </row>
    <row r="490" spans="3:16" ht="13">
      <c r="C490" s="284"/>
      <c r="D490" s="285"/>
      <c r="F490" s="23"/>
      <c r="P490" s="259"/>
    </row>
    <row r="491" spans="3:16" ht="13">
      <c r="C491" s="284"/>
      <c r="D491" s="285"/>
      <c r="F491" s="23"/>
      <c r="P491" s="259"/>
    </row>
    <row r="492" spans="3:16" ht="13">
      <c r="C492" s="284"/>
      <c r="D492" s="285"/>
      <c r="F492" s="23"/>
      <c r="P492" s="259"/>
    </row>
    <row r="493" spans="3:16" ht="13">
      <c r="C493" s="284"/>
      <c r="D493" s="285"/>
      <c r="F493" s="23"/>
      <c r="P493" s="259"/>
    </row>
    <row r="494" spans="3:16" ht="13">
      <c r="C494" s="284"/>
      <c r="D494" s="285"/>
      <c r="F494" s="23"/>
      <c r="P494" s="259"/>
    </row>
    <row r="495" spans="3:16" ht="13">
      <c r="C495" s="284"/>
      <c r="D495" s="285"/>
      <c r="F495" s="23"/>
      <c r="P495" s="259"/>
    </row>
    <row r="496" spans="3:16" ht="13">
      <c r="C496" s="284"/>
      <c r="D496" s="285"/>
      <c r="F496" s="23"/>
      <c r="P496" s="259"/>
    </row>
    <row r="497" spans="3:16" ht="13">
      <c r="C497" s="284"/>
      <c r="D497" s="285"/>
      <c r="F497" s="23"/>
      <c r="P497" s="259"/>
    </row>
    <row r="498" spans="3:16" ht="13">
      <c r="C498" s="284"/>
      <c r="D498" s="285"/>
      <c r="F498" s="23"/>
      <c r="P498" s="259"/>
    </row>
    <row r="499" spans="3:16" ht="13">
      <c r="C499" s="284"/>
      <c r="D499" s="285"/>
      <c r="F499" s="23"/>
      <c r="P499" s="259"/>
    </row>
    <row r="500" spans="3:16" ht="13">
      <c r="C500" s="284"/>
      <c r="D500" s="285"/>
      <c r="F500" s="23"/>
      <c r="P500" s="259"/>
    </row>
    <row r="501" spans="3:16" ht="13">
      <c r="C501" s="284"/>
      <c r="D501" s="285"/>
      <c r="F501" s="23"/>
      <c r="P501" s="259"/>
    </row>
    <row r="502" spans="3:16" ht="13">
      <c r="C502" s="284"/>
      <c r="D502" s="285"/>
      <c r="F502" s="23"/>
      <c r="P502" s="259"/>
    </row>
    <row r="503" spans="3:16" ht="13">
      <c r="C503" s="284"/>
      <c r="D503" s="285"/>
      <c r="F503" s="23"/>
      <c r="P503" s="259"/>
    </row>
    <row r="504" spans="3:16" ht="13">
      <c r="C504" s="284"/>
      <c r="D504" s="285"/>
      <c r="F504" s="23"/>
      <c r="P504" s="259"/>
    </row>
    <row r="505" spans="3:16" ht="13">
      <c r="C505" s="284"/>
      <c r="D505" s="285"/>
      <c r="F505" s="23"/>
      <c r="P505" s="259"/>
    </row>
    <row r="506" spans="3:16" ht="13">
      <c r="C506" s="284"/>
      <c r="D506" s="285"/>
      <c r="F506" s="23"/>
      <c r="P506" s="259"/>
    </row>
    <row r="507" spans="3:16" ht="13">
      <c r="C507" s="284"/>
      <c r="D507" s="285"/>
      <c r="F507" s="23"/>
      <c r="P507" s="259"/>
    </row>
    <row r="508" spans="3:16" ht="13">
      <c r="C508" s="284"/>
      <c r="D508" s="285"/>
      <c r="F508" s="23"/>
      <c r="P508" s="259"/>
    </row>
    <row r="509" spans="3:16" ht="13">
      <c r="C509" s="284"/>
      <c r="D509" s="285"/>
      <c r="F509" s="23"/>
      <c r="P509" s="259"/>
    </row>
    <row r="510" spans="3:16" ht="13">
      <c r="C510" s="284"/>
      <c r="D510" s="285"/>
      <c r="F510" s="23"/>
      <c r="P510" s="259"/>
    </row>
    <row r="511" spans="3:16" ht="13">
      <c r="C511" s="284"/>
      <c r="D511" s="285"/>
      <c r="F511" s="23"/>
      <c r="P511" s="259"/>
    </row>
    <row r="512" spans="3:16" ht="13">
      <c r="C512" s="284"/>
      <c r="D512" s="285"/>
      <c r="F512" s="23"/>
      <c r="P512" s="259"/>
    </row>
    <row r="513" spans="3:16" ht="13">
      <c r="C513" s="284"/>
      <c r="D513" s="285"/>
      <c r="F513" s="23"/>
      <c r="P513" s="259"/>
    </row>
    <row r="514" spans="3:16" ht="13">
      <c r="C514" s="284"/>
      <c r="D514" s="285"/>
      <c r="F514" s="23"/>
      <c r="P514" s="259"/>
    </row>
    <row r="515" spans="3:16" ht="13">
      <c r="C515" s="284"/>
      <c r="D515" s="285"/>
      <c r="F515" s="23"/>
      <c r="P515" s="259"/>
    </row>
    <row r="516" spans="3:16" ht="13">
      <c r="C516" s="284"/>
      <c r="D516" s="285"/>
      <c r="F516" s="23"/>
      <c r="P516" s="259"/>
    </row>
    <row r="517" spans="3:16" ht="13">
      <c r="C517" s="284"/>
      <c r="D517" s="285"/>
      <c r="F517" s="23"/>
      <c r="P517" s="259"/>
    </row>
    <row r="518" spans="3:16" ht="13">
      <c r="C518" s="284"/>
      <c r="D518" s="285"/>
      <c r="F518" s="23"/>
      <c r="P518" s="259"/>
    </row>
    <row r="519" spans="3:16" ht="13">
      <c r="C519" s="284"/>
      <c r="D519" s="285"/>
      <c r="F519" s="23"/>
      <c r="P519" s="259"/>
    </row>
    <row r="520" spans="3:16" ht="13">
      <c r="C520" s="284"/>
      <c r="D520" s="285"/>
      <c r="F520" s="23"/>
      <c r="P520" s="259"/>
    </row>
    <row r="521" spans="3:16" ht="13">
      <c r="C521" s="284"/>
      <c r="D521" s="285"/>
      <c r="F521" s="23"/>
      <c r="P521" s="259"/>
    </row>
    <row r="522" spans="3:16" ht="13">
      <c r="C522" s="284"/>
      <c r="D522" s="285"/>
      <c r="F522" s="23"/>
      <c r="P522" s="259"/>
    </row>
    <row r="523" spans="3:16" ht="13">
      <c r="C523" s="284"/>
      <c r="D523" s="285"/>
      <c r="F523" s="23"/>
      <c r="P523" s="259"/>
    </row>
    <row r="524" spans="3:16" ht="13">
      <c r="C524" s="284"/>
      <c r="D524" s="285"/>
      <c r="F524" s="23"/>
      <c r="P524" s="259"/>
    </row>
    <row r="525" spans="3:16" ht="13">
      <c r="C525" s="284"/>
      <c r="D525" s="285"/>
      <c r="F525" s="23"/>
      <c r="P525" s="259"/>
    </row>
    <row r="526" spans="3:16" ht="13">
      <c r="C526" s="284"/>
      <c r="D526" s="285"/>
      <c r="F526" s="23"/>
      <c r="P526" s="259"/>
    </row>
    <row r="527" spans="3:16" ht="13">
      <c r="C527" s="284"/>
      <c r="D527" s="285"/>
      <c r="F527" s="23"/>
      <c r="P527" s="259"/>
    </row>
    <row r="528" spans="3:16" ht="13">
      <c r="C528" s="284"/>
      <c r="D528" s="285"/>
      <c r="F528" s="23"/>
      <c r="P528" s="259"/>
    </row>
    <row r="529" spans="3:16" ht="13">
      <c r="C529" s="284"/>
      <c r="D529" s="285"/>
      <c r="F529" s="23"/>
      <c r="P529" s="259"/>
    </row>
    <row r="530" spans="3:16" ht="13">
      <c r="C530" s="284"/>
      <c r="D530" s="285"/>
      <c r="F530" s="23"/>
      <c r="P530" s="259"/>
    </row>
    <row r="531" spans="3:16" ht="13">
      <c r="C531" s="284"/>
      <c r="D531" s="285"/>
      <c r="F531" s="23"/>
      <c r="P531" s="259"/>
    </row>
    <row r="532" spans="3:16" ht="13">
      <c r="C532" s="284"/>
      <c r="D532" s="285"/>
      <c r="F532" s="23"/>
      <c r="P532" s="259"/>
    </row>
    <row r="533" spans="3:16" ht="13">
      <c r="C533" s="284"/>
      <c r="D533" s="285"/>
      <c r="F533" s="23"/>
      <c r="P533" s="259"/>
    </row>
    <row r="534" spans="3:16" ht="13">
      <c r="C534" s="284"/>
      <c r="D534" s="285"/>
      <c r="F534" s="23"/>
      <c r="P534" s="259"/>
    </row>
    <row r="535" spans="3:16" ht="13">
      <c r="C535" s="284"/>
      <c r="D535" s="285"/>
      <c r="F535" s="23"/>
      <c r="P535" s="259"/>
    </row>
    <row r="536" spans="3:16" ht="13">
      <c r="C536" s="284"/>
      <c r="D536" s="285"/>
      <c r="F536" s="23"/>
      <c r="P536" s="259"/>
    </row>
    <row r="537" spans="3:16" ht="13">
      <c r="C537" s="284"/>
      <c r="D537" s="285"/>
      <c r="F537" s="23"/>
      <c r="P537" s="259"/>
    </row>
    <row r="538" spans="3:16" ht="13">
      <c r="C538" s="284"/>
      <c r="D538" s="285"/>
      <c r="F538" s="23"/>
      <c r="P538" s="259"/>
    </row>
    <row r="539" spans="3:16" ht="13">
      <c r="C539" s="284"/>
      <c r="D539" s="285"/>
      <c r="F539" s="23"/>
      <c r="P539" s="259"/>
    </row>
    <row r="540" spans="3:16" ht="13">
      <c r="C540" s="284"/>
      <c r="D540" s="285"/>
      <c r="F540" s="23"/>
      <c r="P540" s="259"/>
    </row>
    <row r="541" spans="3:16" ht="13">
      <c r="C541" s="284"/>
      <c r="D541" s="285"/>
      <c r="F541" s="23"/>
      <c r="P541" s="259"/>
    </row>
    <row r="542" spans="3:16" ht="13">
      <c r="C542" s="284"/>
      <c r="D542" s="285"/>
      <c r="F542" s="23"/>
      <c r="P542" s="259"/>
    </row>
    <row r="543" spans="3:16" ht="13">
      <c r="C543" s="284"/>
      <c r="D543" s="285"/>
      <c r="F543" s="23"/>
      <c r="P543" s="259"/>
    </row>
    <row r="544" spans="3:16" ht="13">
      <c r="C544" s="284"/>
      <c r="D544" s="285"/>
      <c r="F544" s="23"/>
      <c r="P544" s="259"/>
    </row>
    <row r="545" spans="3:16" ht="13">
      <c r="C545" s="284"/>
      <c r="D545" s="285"/>
      <c r="F545" s="23"/>
      <c r="P545" s="259"/>
    </row>
    <row r="546" spans="3:16" ht="13">
      <c r="C546" s="284"/>
      <c r="D546" s="285"/>
      <c r="F546" s="23"/>
      <c r="P546" s="259"/>
    </row>
    <row r="547" spans="3:16" ht="13">
      <c r="C547" s="284"/>
      <c r="D547" s="285"/>
      <c r="F547" s="23"/>
      <c r="P547" s="259"/>
    </row>
    <row r="548" spans="3:16" ht="13">
      <c r="C548" s="284"/>
      <c r="D548" s="285"/>
      <c r="F548" s="23"/>
      <c r="P548" s="259"/>
    </row>
    <row r="549" spans="3:16" ht="13">
      <c r="C549" s="284"/>
      <c r="D549" s="285"/>
      <c r="F549" s="23"/>
      <c r="P549" s="259"/>
    </row>
    <row r="550" spans="3:16" ht="13">
      <c r="C550" s="284"/>
      <c r="D550" s="285"/>
      <c r="F550" s="23"/>
      <c r="P550" s="259"/>
    </row>
    <row r="551" spans="3:16" ht="13">
      <c r="C551" s="284"/>
      <c r="D551" s="285"/>
      <c r="F551" s="23"/>
      <c r="P551" s="259"/>
    </row>
    <row r="552" spans="3:16" ht="13">
      <c r="C552" s="284"/>
      <c r="D552" s="285"/>
      <c r="F552" s="23"/>
      <c r="P552" s="259"/>
    </row>
    <row r="553" spans="3:16" ht="13">
      <c r="C553" s="284"/>
      <c r="D553" s="285"/>
      <c r="F553" s="23"/>
      <c r="P553" s="259"/>
    </row>
    <row r="554" spans="3:16" ht="13">
      <c r="C554" s="284"/>
      <c r="D554" s="285"/>
      <c r="F554" s="23"/>
      <c r="P554" s="259"/>
    </row>
    <row r="555" spans="3:16" ht="13">
      <c r="C555" s="284"/>
      <c r="D555" s="285"/>
      <c r="F555" s="23"/>
      <c r="P555" s="259"/>
    </row>
    <row r="556" spans="3:16" ht="13">
      <c r="C556" s="284"/>
      <c r="D556" s="285"/>
      <c r="F556" s="23"/>
      <c r="P556" s="259"/>
    </row>
    <row r="557" spans="3:16" ht="13">
      <c r="C557" s="284"/>
      <c r="D557" s="285"/>
      <c r="F557" s="23"/>
      <c r="P557" s="259"/>
    </row>
    <row r="558" spans="3:16" ht="13">
      <c r="C558" s="284"/>
      <c r="D558" s="285"/>
      <c r="F558" s="23"/>
      <c r="P558" s="259"/>
    </row>
    <row r="559" spans="3:16" ht="13">
      <c r="C559" s="284"/>
      <c r="D559" s="285"/>
      <c r="F559" s="23"/>
      <c r="P559" s="259"/>
    </row>
    <row r="560" spans="3:16" ht="13">
      <c r="C560" s="284"/>
      <c r="D560" s="285"/>
      <c r="F560" s="23"/>
      <c r="P560" s="259"/>
    </row>
    <row r="561" spans="3:16" ht="13">
      <c r="C561" s="284"/>
      <c r="D561" s="285"/>
      <c r="F561" s="23"/>
      <c r="P561" s="259"/>
    </row>
    <row r="562" spans="3:16" ht="13">
      <c r="C562" s="284"/>
      <c r="D562" s="285"/>
      <c r="F562" s="23"/>
      <c r="P562" s="259"/>
    </row>
    <row r="563" spans="3:16" ht="13">
      <c r="C563" s="284"/>
      <c r="D563" s="285"/>
      <c r="F563" s="23"/>
      <c r="P563" s="259"/>
    </row>
    <row r="564" spans="3:16" ht="13">
      <c r="C564" s="284"/>
      <c r="D564" s="285"/>
      <c r="F564" s="23"/>
      <c r="P564" s="259"/>
    </row>
    <row r="565" spans="3:16" ht="13">
      <c r="C565" s="284"/>
      <c r="D565" s="285"/>
      <c r="F565" s="23"/>
      <c r="P565" s="259"/>
    </row>
    <row r="566" spans="3:16" ht="13">
      <c r="C566" s="284"/>
      <c r="D566" s="285"/>
      <c r="F566" s="23"/>
      <c r="P566" s="259"/>
    </row>
    <row r="567" spans="3:16" ht="13">
      <c r="C567" s="284"/>
      <c r="D567" s="285"/>
      <c r="F567" s="23"/>
      <c r="P567" s="259"/>
    </row>
    <row r="568" spans="3:16" ht="13">
      <c r="C568" s="284"/>
      <c r="D568" s="285"/>
      <c r="F568" s="23"/>
      <c r="P568" s="259"/>
    </row>
    <row r="569" spans="3:16" ht="13">
      <c r="C569" s="284"/>
      <c r="D569" s="285"/>
      <c r="F569" s="23"/>
      <c r="P569" s="259"/>
    </row>
    <row r="570" spans="3:16" ht="13">
      <c r="C570" s="284"/>
      <c r="D570" s="285"/>
      <c r="F570" s="23"/>
      <c r="P570" s="259"/>
    </row>
    <row r="571" spans="3:16" ht="13">
      <c r="C571" s="284"/>
      <c r="D571" s="285"/>
      <c r="F571" s="23"/>
      <c r="P571" s="259"/>
    </row>
    <row r="572" spans="3:16" ht="13">
      <c r="C572" s="284"/>
      <c r="D572" s="285"/>
      <c r="F572" s="23"/>
      <c r="P572" s="259"/>
    </row>
    <row r="573" spans="3:16" ht="13">
      <c r="C573" s="284"/>
      <c r="D573" s="285"/>
      <c r="F573" s="23"/>
      <c r="P573" s="259"/>
    </row>
    <row r="574" spans="3:16" ht="13">
      <c r="C574" s="284"/>
      <c r="D574" s="285"/>
      <c r="F574" s="23"/>
      <c r="P574" s="259"/>
    </row>
    <row r="575" spans="3:16" ht="13">
      <c r="C575" s="284"/>
      <c r="D575" s="285"/>
      <c r="F575" s="23"/>
      <c r="P575" s="259"/>
    </row>
    <row r="576" spans="3:16" ht="13">
      <c r="C576" s="284"/>
      <c r="D576" s="285"/>
      <c r="F576" s="23"/>
      <c r="P576" s="259"/>
    </row>
    <row r="577" spans="3:16" ht="13">
      <c r="C577" s="284"/>
      <c r="D577" s="285"/>
      <c r="F577" s="23"/>
      <c r="P577" s="259"/>
    </row>
    <row r="578" spans="3:16" ht="13">
      <c r="C578" s="284"/>
      <c r="D578" s="285"/>
      <c r="F578" s="23"/>
      <c r="P578" s="259"/>
    </row>
    <row r="579" spans="3:16" ht="13">
      <c r="C579" s="284"/>
      <c r="D579" s="285"/>
      <c r="F579" s="23"/>
      <c r="P579" s="259"/>
    </row>
    <row r="580" spans="3:16" ht="13">
      <c r="C580" s="284"/>
      <c r="D580" s="285"/>
      <c r="F580" s="23"/>
      <c r="P580" s="259"/>
    </row>
    <row r="581" spans="3:16" ht="13">
      <c r="C581" s="284"/>
      <c r="D581" s="285"/>
      <c r="F581" s="23"/>
      <c r="P581" s="259"/>
    </row>
    <row r="582" spans="3:16" ht="13">
      <c r="C582" s="284"/>
      <c r="D582" s="285"/>
      <c r="F582" s="23"/>
      <c r="P582" s="259"/>
    </row>
    <row r="583" spans="3:16" ht="13">
      <c r="C583" s="284"/>
      <c r="D583" s="285"/>
      <c r="F583" s="23"/>
      <c r="P583" s="259"/>
    </row>
    <row r="584" spans="3:16" ht="13">
      <c r="C584" s="284"/>
      <c r="D584" s="285"/>
      <c r="F584" s="23"/>
      <c r="P584" s="259"/>
    </row>
    <row r="585" spans="3:16" ht="13">
      <c r="C585" s="284"/>
      <c r="D585" s="285"/>
      <c r="F585" s="23"/>
      <c r="P585" s="259"/>
    </row>
    <row r="586" spans="3:16" ht="13">
      <c r="C586" s="284"/>
      <c r="D586" s="285"/>
      <c r="F586" s="23"/>
      <c r="P586" s="259"/>
    </row>
    <row r="587" spans="3:16" ht="13">
      <c r="C587" s="284"/>
      <c r="D587" s="285"/>
      <c r="F587" s="23"/>
      <c r="P587" s="259"/>
    </row>
    <row r="588" spans="3:16" ht="13">
      <c r="C588" s="284"/>
      <c r="D588" s="285"/>
      <c r="F588" s="23"/>
      <c r="P588" s="259"/>
    </row>
    <row r="589" spans="3:16" ht="13">
      <c r="C589" s="284"/>
      <c r="D589" s="285"/>
      <c r="F589" s="23"/>
      <c r="P589" s="259"/>
    </row>
    <row r="590" spans="3:16" ht="13">
      <c r="C590" s="284"/>
      <c r="D590" s="285"/>
      <c r="F590" s="23"/>
      <c r="P590" s="259"/>
    </row>
    <row r="591" spans="3:16" ht="13">
      <c r="C591" s="284"/>
      <c r="D591" s="285"/>
      <c r="F591" s="23"/>
      <c r="P591" s="259"/>
    </row>
    <row r="592" spans="3:16" ht="13">
      <c r="C592" s="284"/>
      <c r="D592" s="285"/>
      <c r="F592" s="23"/>
      <c r="P592" s="259"/>
    </row>
    <row r="593" spans="3:16" ht="13">
      <c r="C593" s="284"/>
      <c r="D593" s="285"/>
      <c r="F593" s="23"/>
      <c r="P593" s="259"/>
    </row>
    <row r="594" spans="3:16" ht="13">
      <c r="C594" s="284"/>
      <c r="D594" s="285"/>
      <c r="F594" s="23"/>
      <c r="P594" s="259"/>
    </row>
    <row r="595" spans="3:16" ht="13">
      <c r="C595" s="284"/>
      <c r="D595" s="285"/>
      <c r="F595" s="23"/>
      <c r="P595" s="259"/>
    </row>
    <row r="596" spans="3:16" ht="13">
      <c r="C596" s="284"/>
      <c r="D596" s="285"/>
      <c r="F596" s="23"/>
      <c r="P596" s="259"/>
    </row>
    <row r="597" spans="3:16" ht="13">
      <c r="C597" s="284"/>
      <c r="D597" s="285"/>
      <c r="F597" s="23"/>
      <c r="P597" s="259"/>
    </row>
    <row r="598" spans="3:16" ht="13">
      <c r="C598" s="284"/>
      <c r="D598" s="285"/>
      <c r="F598" s="23"/>
      <c r="P598" s="259"/>
    </row>
    <row r="599" spans="3:16" ht="13">
      <c r="C599" s="284"/>
      <c r="D599" s="285"/>
      <c r="F599" s="23"/>
      <c r="P599" s="259"/>
    </row>
    <row r="600" spans="3:16" ht="13">
      <c r="C600" s="284"/>
      <c r="D600" s="285"/>
      <c r="F600" s="23"/>
      <c r="P600" s="259"/>
    </row>
    <row r="601" spans="3:16" ht="13">
      <c r="C601" s="284"/>
      <c r="D601" s="285"/>
      <c r="F601" s="23"/>
      <c r="P601" s="259"/>
    </row>
    <row r="602" spans="3:16" ht="13">
      <c r="C602" s="284"/>
      <c r="D602" s="285"/>
      <c r="F602" s="23"/>
      <c r="P602" s="259"/>
    </row>
    <row r="603" spans="3:16" ht="13">
      <c r="C603" s="284"/>
      <c r="D603" s="285"/>
      <c r="F603" s="23"/>
      <c r="P603" s="259"/>
    </row>
    <row r="604" spans="3:16" ht="13">
      <c r="C604" s="284"/>
      <c r="D604" s="285"/>
      <c r="F604" s="23"/>
      <c r="P604" s="259"/>
    </row>
    <row r="605" spans="3:16" ht="13">
      <c r="C605" s="284"/>
      <c r="D605" s="285"/>
      <c r="F605" s="23"/>
      <c r="P605" s="259"/>
    </row>
    <row r="606" spans="3:16" ht="13">
      <c r="C606" s="284"/>
      <c r="D606" s="285"/>
      <c r="F606" s="23"/>
      <c r="P606" s="259"/>
    </row>
    <row r="607" spans="3:16" ht="13">
      <c r="C607" s="284"/>
      <c r="D607" s="285"/>
      <c r="F607" s="23"/>
      <c r="P607" s="259"/>
    </row>
    <row r="608" spans="3:16" ht="13">
      <c r="C608" s="284"/>
      <c r="D608" s="285"/>
      <c r="F608" s="23"/>
      <c r="P608" s="259"/>
    </row>
    <row r="609" spans="3:16" ht="13">
      <c r="C609" s="284"/>
      <c r="D609" s="285"/>
      <c r="F609" s="23"/>
      <c r="P609" s="259"/>
    </row>
    <row r="610" spans="3:16" ht="13">
      <c r="C610" s="284"/>
      <c r="D610" s="285"/>
      <c r="F610" s="23"/>
      <c r="P610" s="259"/>
    </row>
    <row r="611" spans="3:16" ht="13">
      <c r="C611" s="284"/>
      <c r="D611" s="285"/>
      <c r="F611" s="23"/>
      <c r="P611" s="259"/>
    </row>
    <row r="612" spans="3:16" ht="13">
      <c r="C612" s="284"/>
      <c r="D612" s="285"/>
      <c r="F612" s="23"/>
      <c r="P612" s="259"/>
    </row>
    <row r="613" spans="3:16" ht="13">
      <c r="C613" s="284"/>
      <c r="D613" s="285"/>
      <c r="F613" s="23"/>
      <c r="P613" s="259"/>
    </row>
    <row r="614" spans="3:16" ht="13">
      <c r="C614" s="284"/>
      <c r="D614" s="285"/>
      <c r="F614" s="23"/>
      <c r="P614" s="259"/>
    </row>
    <row r="615" spans="3:16" ht="13">
      <c r="C615" s="284"/>
      <c r="D615" s="285"/>
      <c r="F615" s="23"/>
      <c r="P615" s="259"/>
    </row>
    <row r="616" spans="3:16" ht="13">
      <c r="C616" s="284"/>
      <c r="D616" s="285"/>
      <c r="F616" s="23"/>
      <c r="P616" s="259"/>
    </row>
    <row r="617" spans="3:16" ht="13">
      <c r="C617" s="284"/>
      <c r="D617" s="285"/>
      <c r="F617" s="23"/>
      <c r="P617" s="259"/>
    </row>
    <row r="618" spans="3:16" ht="13">
      <c r="C618" s="284"/>
      <c r="D618" s="285"/>
      <c r="F618" s="23"/>
      <c r="P618" s="259"/>
    </row>
    <row r="619" spans="3:16" ht="13">
      <c r="C619" s="284"/>
      <c r="D619" s="285"/>
      <c r="F619" s="23"/>
      <c r="P619" s="259"/>
    </row>
    <row r="620" spans="3:16" ht="13">
      <c r="C620" s="284"/>
      <c r="D620" s="285"/>
      <c r="F620" s="23"/>
      <c r="P620" s="259"/>
    </row>
    <row r="621" spans="3:16" ht="13">
      <c r="C621" s="284"/>
      <c r="D621" s="285"/>
      <c r="F621" s="23"/>
      <c r="P621" s="259"/>
    </row>
    <row r="622" spans="3:16" ht="13">
      <c r="C622" s="284"/>
      <c r="D622" s="285"/>
      <c r="F622" s="23"/>
      <c r="P622" s="259"/>
    </row>
    <row r="623" spans="3:16" ht="13">
      <c r="C623" s="284"/>
      <c r="D623" s="285"/>
      <c r="F623" s="23"/>
      <c r="P623" s="259"/>
    </row>
    <row r="624" spans="3:16" ht="13">
      <c r="C624" s="284"/>
      <c r="D624" s="285"/>
      <c r="F624" s="23"/>
      <c r="P624" s="259"/>
    </row>
    <row r="625" spans="3:16" ht="13">
      <c r="C625" s="284"/>
      <c r="D625" s="285"/>
      <c r="F625" s="23"/>
      <c r="P625" s="259"/>
    </row>
    <row r="626" spans="3:16" ht="13">
      <c r="C626" s="284"/>
      <c r="D626" s="285"/>
      <c r="F626" s="23"/>
      <c r="P626" s="259"/>
    </row>
    <row r="627" spans="3:16" ht="13">
      <c r="C627" s="284"/>
      <c r="D627" s="285"/>
      <c r="F627" s="23"/>
      <c r="P627" s="259"/>
    </row>
    <row r="628" spans="3:16" ht="13">
      <c r="C628" s="284"/>
      <c r="D628" s="285"/>
      <c r="F628" s="23"/>
      <c r="P628" s="259"/>
    </row>
    <row r="629" spans="3:16" ht="13">
      <c r="C629" s="284"/>
      <c r="D629" s="285"/>
      <c r="F629" s="23"/>
      <c r="P629" s="259"/>
    </row>
    <row r="630" spans="3:16" ht="13">
      <c r="C630" s="284"/>
      <c r="D630" s="285"/>
      <c r="F630" s="23"/>
      <c r="P630" s="259"/>
    </row>
    <row r="631" spans="3:16" ht="13">
      <c r="C631" s="284"/>
      <c r="D631" s="285"/>
      <c r="F631" s="23"/>
      <c r="P631" s="259"/>
    </row>
    <row r="632" spans="3:16" ht="13">
      <c r="C632" s="284"/>
      <c r="D632" s="285"/>
      <c r="F632" s="23"/>
      <c r="P632" s="259"/>
    </row>
    <row r="633" spans="3:16" ht="13">
      <c r="C633" s="284"/>
      <c r="D633" s="285"/>
      <c r="F633" s="23"/>
      <c r="P633" s="259"/>
    </row>
    <row r="634" spans="3:16" ht="13">
      <c r="C634" s="284"/>
      <c r="D634" s="285"/>
      <c r="F634" s="23"/>
      <c r="P634" s="259"/>
    </row>
    <row r="635" spans="3:16" ht="13">
      <c r="C635" s="284"/>
      <c r="D635" s="285"/>
      <c r="F635" s="23"/>
      <c r="P635" s="259"/>
    </row>
    <row r="636" spans="3:16" ht="13">
      <c r="C636" s="284"/>
      <c r="D636" s="285"/>
      <c r="F636" s="23"/>
      <c r="P636" s="259"/>
    </row>
    <row r="637" spans="3:16" ht="13">
      <c r="C637" s="284"/>
      <c r="D637" s="285"/>
      <c r="F637" s="23"/>
      <c r="P637" s="259"/>
    </row>
    <row r="638" spans="3:16" ht="13">
      <c r="C638" s="284"/>
      <c r="D638" s="285"/>
      <c r="F638" s="23"/>
      <c r="P638" s="259"/>
    </row>
    <row r="639" spans="3:16" ht="13">
      <c r="C639" s="284"/>
      <c r="D639" s="285"/>
      <c r="F639" s="23"/>
      <c r="P639" s="259"/>
    </row>
    <row r="640" spans="3:16" ht="13">
      <c r="C640" s="284"/>
      <c r="D640" s="285"/>
      <c r="F640" s="23"/>
      <c r="P640" s="259"/>
    </row>
    <row r="641" spans="3:16" ht="13">
      <c r="C641" s="284"/>
      <c r="D641" s="285"/>
      <c r="F641" s="23"/>
      <c r="P641" s="259"/>
    </row>
    <row r="642" spans="3:16" ht="13">
      <c r="C642" s="284"/>
      <c r="D642" s="285"/>
      <c r="F642" s="23"/>
      <c r="P642" s="259"/>
    </row>
    <row r="643" spans="3:16" ht="13">
      <c r="C643" s="284"/>
      <c r="D643" s="285"/>
      <c r="F643" s="23"/>
      <c r="P643" s="259"/>
    </row>
    <row r="644" spans="3:16" ht="13">
      <c r="C644" s="284"/>
      <c r="D644" s="285"/>
      <c r="F644" s="23"/>
      <c r="P644" s="259"/>
    </row>
    <row r="645" spans="3:16" ht="13">
      <c r="C645" s="284"/>
      <c r="D645" s="285"/>
      <c r="F645" s="23"/>
      <c r="P645" s="259"/>
    </row>
    <row r="646" spans="3:16" ht="13">
      <c r="C646" s="284"/>
      <c r="D646" s="285"/>
      <c r="F646" s="23"/>
      <c r="P646" s="259"/>
    </row>
    <row r="647" spans="3:16" ht="13">
      <c r="C647" s="284"/>
      <c r="D647" s="285"/>
      <c r="F647" s="23"/>
      <c r="P647" s="259"/>
    </row>
    <row r="648" spans="3:16" ht="13">
      <c r="C648" s="284"/>
      <c r="D648" s="285"/>
      <c r="F648" s="23"/>
      <c r="P648" s="259"/>
    </row>
    <row r="649" spans="3:16" ht="13">
      <c r="C649" s="284"/>
      <c r="D649" s="285"/>
      <c r="F649" s="23"/>
      <c r="P649" s="259"/>
    </row>
    <row r="650" spans="3:16" ht="13">
      <c r="C650" s="284"/>
      <c r="D650" s="285"/>
      <c r="F650" s="23"/>
      <c r="P650" s="259"/>
    </row>
    <row r="651" spans="3:16" ht="13">
      <c r="C651" s="284"/>
      <c r="D651" s="285"/>
      <c r="F651" s="23"/>
      <c r="P651" s="259"/>
    </row>
    <row r="652" spans="3:16" ht="13">
      <c r="C652" s="284"/>
      <c r="D652" s="285"/>
      <c r="F652" s="23"/>
      <c r="P652" s="259"/>
    </row>
    <row r="653" spans="3:16" ht="13">
      <c r="C653" s="284"/>
      <c r="D653" s="285"/>
      <c r="F653" s="23"/>
      <c r="P653" s="259"/>
    </row>
    <row r="654" spans="3:16" ht="13">
      <c r="C654" s="284"/>
      <c r="D654" s="285"/>
      <c r="F654" s="23"/>
      <c r="P654" s="259"/>
    </row>
    <row r="655" spans="3:16" ht="13">
      <c r="C655" s="284"/>
      <c r="D655" s="285"/>
      <c r="F655" s="23"/>
      <c r="P655" s="259"/>
    </row>
    <row r="656" spans="3:16" ht="13">
      <c r="C656" s="284"/>
      <c r="D656" s="285"/>
      <c r="F656" s="23"/>
      <c r="P656" s="259"/>
    </row>
    <row r="657" spans="3:16" ht="13">
      <c r="C657" s="284"/>
      <c r="D657" s="285"/>
      <c r="F657" s="23"/>
      <c r="P657" s="259"/>
    </row>
    <row r="658" spans="3:16" ht="13">
      <c r="C658" s="284"/>
      <c r="D658" s="285"/>
      <c r="F658" s="23"/>
      <c r="P658" s="259"/>
    </row>
    <row r="659" spans="3:16" ht="13">
      <c r="C659" s="284"/>
      <c r="D659" s="285"/>
      <c r="F659" s="23"/>
      <c r="P659" s="259"/>
    </row>
    <row r="660" spans="3:16" ht="13">
      <c r="C660" s="284"/>
      <c r="D660" s="285"/>
      <c r="F660" s="23"/>
      <c r="P660" s="259"/>
    </row>
    <row r="661" spans="3:16" ht="13">
      <c r="C661" s="284"/>
      <c r="D661" s="285"/>
      <c r="F661" s="23"/>
      <c r="P661" s="259"/>
    </row>
    <row r="662" spans="3:16" ht="13">
      <c r="C662" s="284"/>
      <c r="D662" s="285"/>
      <c r="F662" s="23"/>
      <c r="P662" s="259"/>
    </row>
    <row r="663" spans="3:16" ht="13">
      <c r="C663" s="284"/>
      <c r="D663" s="285"/>
      <c r="F663" s="23"/>
      <c r="P663" s="259"/>
    </row>
    <row r="664" spans="3:16" ht="13">
      <c r="C664" s="284"/>
      <c r="D664" s="285"/>
      <c r="F664" s="23"/>
      <c r="P664" s="259"/>
    </row>
    <row r="665" spans="3:16" ht="13">
      <c r="C665" s="284"/>
      <c r="D665" s="285"/>
      <c r="F665" s="23"/>
      <c r="P665" s="259"/>
    </row>
    <row r="666" spans="3:16" ht="13">
      <c r="C666" s="284"/>
      <c r="D666" s="285"/>
      <c r="F666" s="23"/>
      <c r="P666" s="259"/>
    </row>
    <row r="667" spans="3:16" ht="13">
      <c r="C667" s="284"/>
      <c r="D667" s="285"/>
      <c r="F667" s="23"/>
      <c r="P667" s="259"/>
    </row>
    <row r="668" spans="3:16" ht="13">
      <c r="C668" s="284"/>
      <c r="D668" s="285"/>
      <c r="F668" s="23"/>
      <c r="P668" s="259"/>
    </row>
    <row r="669" spans="3:16" ht="13">
      <c r="C669" s="284"/>
      <c r="D669" s="285"/>
      <c r="F669" s="23"/>
      <c r="P669" s="259"/>
    </row>
    <row r="670" spans="3:16" ht="13">
      <c r="C670" s="284"/>
      <c r="D670" s="285"/>
      <c r="F670" s="23"/>
      <c r="P670" s="259"/>
    </row>
    <row r="671" spans="3:16" ht="13">
      <c r="C671" s="284"/>
      <c r="D671" s="285"/>
      <c r="F671" s="23"/>
      <c r="P671" s="259"/>
    </row>
    <row r="672" spans="3:16" ht="13">
      <c r="C672" s="284"/>
      <c r="D672" s="285"/>
      <c r="F672" s="23"/>
      <c r="P672" s="259"/>
    </row>
    <row r="673" spans="3:16" ht="13">
      <c r="C673" s="284"/>
      <c r="D673" s="285"/>
      <c r="F673" s="23"/>
      <c r="P673" s="259"/>
    </row>
    <row r="674" spans="3:16" ht="13">
      <c r="C674" s="284"/>
      <c r="D674" s="285"/>
      <c r="F674" s="23"/>
      <c r="P674" s="259"/>
    </row>
    <row r="675" spans="3:16" ht="13">
      <c r="C675" s="284"/>
      <c r="D675" s="285"/>
      <c r="F675" s="23"/>
      <c r="P675" s="259"/>
    </row>
    <row r="676" spans="3:16" ht="13">
      <c r="C676" s="284"/>
      <c r="D676" s="285"/>
      <c r="F676" s="23"/>
      <c r="P676" s="259"/>
    </row>
    <row r="677" spans="3:16" ht="13">
      <c r="C677" s="284"/>
      <c r="D677" s="285"/>
      <c r="F677" s="23"/>
      <c r="P677" s="259"/>
    </row>
    <row r="678" spans="3:16" ht="13">
      <c r="C678" s="284"/>
      <c r="D678" s="285"/>
      <c r="F678" s="23"/>
      <c r="P678" s="259"/>
    </row>
    <row r="679" spans="3:16" ht="13">
      <c r="C679" s="284"/>
      <c r="D679" s="285"/>
      <c r="F679" s="23"/>
      <c r="P679" s="259"/>
    </row>
    <row r="680" spans="3:16" ht="13">
      <c r="C680" s="284"/>
      <c r="D680" s="285"/>
      <c r="F680" s="23"/>
      <c r="P680" s="259"/>
    </row>
    <row r="681" spans="3:16" ht="13">
      <c r="C681" s="284"/>
      <c r="D681" s="285"/>
      <c r="F681" s="23"/>
      <c r="P681" s="259"/>
    </row>
    <row r="682" spans="3:16" ht="13">
      <c r="C682" s="284"/>
      <c r="D682" s="285"/>
      <c r="F682" s="23"/>
      <c r="P682" s="259"/>
    </row>
    <row r="683" spans="3:16" ht="13">
      <c r="C683" s="284"/>
      <c r="D683" s="285"/>
      <c r="F683" s="23"/>
      <c r="P683" s="259"/>
    </row>
    <row r="684" spans="3:16" ht="13">
      <c r="C684" s="284"/>
      <c r="D684" s="285"/>
      <c r="F684" s="23"/>
      <c r="P684" s="259"/>
    </row>
    <row r="685" spans="3:16" ht="13">
      <c r="C685" s="284"/>
      <c r="D685" s="285"/>
      <c r="F685" s="23"/>
      <c r="P685" s="259"/>
    </row>
    <row r="686" spans="3:16" ht="13">
      <c r="C686" s="284"/>
      <c r="D686" s="285"/>
      <c r="F686" s="23"/>
      <c r="P686" s="259"/>
    </row>
    <row r="687" spans="3:16" ht="13">
      <c r="C687" s="284"/>
      <c r="D687" s="285"/>
      <c r="F687" s="23"/>
      <c r="P687" s="259"/>
    </row>
    <row r="688" spans="3:16" ht="13">
      <c r="C688" s="284"/>
      <c r="D688" s="285"/>
      <c r="F688" s="23"/>
      <c r="P688" s="259"/>
    </row>
    <row r="689" spans="3:16" ht="13">
      <c r="C689" s="284"/>
      <c r="D689" s="285"/>
      <c r="F689" s="23"/>
      <c r="P689" s="259"/>
    </row>
    <row r="690" spans="3:16" ht="13">
      <c r="C690" s="284"/>
      <c r="D690" s="285"/>
      <c r="F690" s="23"/>
      <c r="P690" s="259"/>
    </row>
    <row r="691" spans="3:16" ht="13">
      <c r="C691" s="284"/>
      <c r="D691" s="285"/>
      <c r="F691" s="23"/>
      <c r="P691" s="259"/>
    </row>
    <row r="692" spans="3:16" ht="13">
      <c r="C692" s="284"/>
      <c r="D692" s="285"/>
      <c r="F692" s="23"/>
      <c r="P692" s="259"/>
    </row>
    <row r="693" spans="3:16" ht="13">
      <c r="C693" s="284"/>
      <c r="D693" s="285"/>
      <c r="F693" s="23"/>
      <c r="P693" s="259"/>
    </row>
    <row r="694" spans="3:16" ht="13">
      <c r="C694" s="284"/>
      <c r="D694" s="285"/>
      <c r="F694" s="23"/>
      <c r="P694" s="259"/>
    </row>
    <row r="695" spans="3:16" ht="13">
      <c r="C695" s="284"/>
      <c r="D695" s="285"/>
      <c r="F695" s="23"/>
      <c r="P695" s="259"/>
    </row>
    <row r="696" spans="3:16" ht="13">
      <c r="C696" s="284"/>
      <c r="D696" s="285"/>
      <c r="F696" s="23"/>
      <c r="P696" s="259"/>
    </row>
    <row r="697" spans="3:16" ht="13">
      <c r="C697" s="284"/>
      <c r="D697" s="285"/>
      <c r="F697" s="23"/>
      <c r="P697" s="259"/>
    </row>
    <row r="698" spans="3:16" ht="13">
      <c r="C698" s="284"/>
      <c r="D698" s="285"/>
      <c r="F698" s="23"/>
      <c r="P698" s="259"/>
    </row>
    <row r="699" spans="3:16" ht="13">
      <c r="C699" s="284"/>
      <c r="D699" s="285"/>
      <c r="F699" s="23"/>
      <c r="P699" s="259"/>
    </row>
    <row r="700" spans="3:16" ht="13">
      <c r="C700" s="284"/>
      <c r="D700" s="285"/>
      <c r="F700" s="23"/>
      <c r="P700" s="259"/>
    </row>
    <row r="701" spans="3:16" ht="13">
      <c r="C701" s="284"/>
      <c r="D701" s="285"/>
      <c r="F701" s="23"/>
      <c r="P701" s="259"/>
    </row>
    <row r="702" spans="3:16" ht="13">
      <c r="C702" s="284"/>
      <c r="D702" s="285"/>
      <c r="F702" s="23"/>
      <c r="P702" s="259"/>
    </row>
    <row r="703" spans="3:16" ht="13">
      <c r="C703" s="284"/>
      <c r="D703" s="285"/>
      <c r="F703" s="23"/>
      <c r="P703" s="259"/>
    </row>
    <row r="704" spans="3:16" ht="13">
      <c r="C704" s="284"/>
      <c r="D704" s="285"/>
      <c r="F704" s="23"/>
      <c r="P704" s="259"/>
    </row>
    <row r="705" spans="3:16" ht="13">
      <c r="C705" s="284"/>
      <c r="D705" s="285"/>
      <c r="F705" s="23"/>
      <c r="P705" s="259"/>
    </row>
    <row r="706" spans="3:16" ht="13">
      <c r="C706" s="284"/>
      <c r="D706" s="285"/>
      <c r="F706" s="23"/>
      <c r="P706" s="259"/>
    </row>
    <row r="707" spans="3:16" ht="13">
      <c r="C707" s="284"/>
      <c r="D707" s="285"/>
      <c r="F707" s="23"/>
      <c r="P707" s="259"/>
    </row>
    <row r="708" spans="3:16" ht="13">
      <c r="C708" s="284"/>
      <c r="D708" s="285"/>
      <c r="F708" s="23"/>
      <c r="P708" s="259"/>
    </row>
    <row r="709" spans="3:16" ht="13">
      <c r="C709" s="284"/>
      <c r="D709" s="285"/>
      <c r="F709" s="23"/>
      <c r="P709" s="259"/>
    </row>
    <row r="710" spans="3:16" ht="13">
      <c r="C710" s="284"/>
      <c r="D710" s="285"/>
      <c r="F710" s="23"/>
      <c r="P710" s="259"/>
    </row>
    <row r="711" spans="3:16" ht="13">
      <c r="C711" s="284"/>
      <c r="D711" s="285"/>
      <c r="F711" s="23"/>
      <c r="P711" s="259"/>
    </row>
    <row r="712" spans="3:16" ht="13">
      <c r="C712" s="284"/>
      <c r="D712" s="285"/>
      <c r="F712" s="23"/>
      <c r="P712" s="259"/>
    </row>
    <row r="713" spans="3:16" ht="13">
      <c r="C713" s="284"/>
      <c r="D713" s="285"/>
      <c r="F713" s="23"/>
      <c r="P713" s="259"/>
    </row>
    <row r="714" spans="3:16" ht="13">
      <c r="C714" s="284"/>
      <c r="D714" s="285"/>
      <c r="F714" s="23"/>
      <c r="P714" s="259"/>
    </row>
    <row r="715" spans="3:16" ht="13">
      <c r="C715" s="284"/>
      <c r="D715" s="285"/>
      <c r="F715" s="23"/>
      <c r="P715" s="259"/>
    </row>
    <row r="716" spans="3:16" ht="13">
      <c r="C716" s="284"/>
      <c r="D716" s="285"/>
      <c r="F716" s="23"/>
      <c r="P716" s="259"/>
    </row>
    <row r="717" spans="3:16" ht="13">
      <c r="C717" s="284"/>
      <c r="D717" s="285"/>
      <c r="F717" s="23"/>
      <c r="P717" s="259"/>
    </row>
    <row r="718" spans="3:16" ht="13">
      <c r="C718" s="284"/>
      <c r="D718" s="285"/>
      <c r="F718" s="23"/>
      <c r="P718" s="259"/>
    </row>
    <row r="719" spans="3:16" ht="13">
      <c r="C719" s="284"/>
      <c r="D719" s="285"/>
      <c r="F719" s="23"/>
      <c r="P719" s="259"/>
    </row>
    <row r="720" spans="3:16" ht="13">
      <c r="C720" s="284"/>
      <c r="D720" s="285"/>
      <c r="F720" s="23"/>
      <c r="P720" s="259"/>
    </row>
    <row r="721" spans="3:16" ht="13">
      <c r="C721" s="284"/>
      <c r="D721" s="285"/>
      <c r="F721" s="23"/>
      <c r="P721" s="259"/>
    </row>
    <row r="722" spans="3:16" ht="13">
      <c r="C722" s="284"/>
      <c r="D722" s="285"/>
      <c r="F722" s="23"/>
      <c r="P722" s="259"/>
    </row>
    <row r="723" spans="3:16" ht="13">
      <c r="C723" s="284"/>
      <c r="D723" s="285"/>
      <c r="F723" s="23"/>
      <c r="P723" s="259"/>
    </row>
    <row r="724" spans="3:16" ht="13">
      <c r="C724" s="284"/>
      <c r="D724" s="285"/>
      <c r="F724" s="23"/>
      <c r="P724" s="259"/>
    </row>
    <row r="725" spans="3:16" ht="13">
      <c r="C725" s="284"/>
      <c r="D725" s="285"/>
      <c r="F725" s="23"/>
      <c r="P725" s="259"/>
    </row>
    <row r="726" spans="3:16" ht="13">
      <c r="C726" s="284"/>
      <c r="D726" s="285"/>
      <c r="F726" s="23"/>
      <c r="P726" s="259"/>
    </row>
    <row r="727" spans="3:16" ht="13">
      <c r="C727" s="284"/>
      <c r="D727" s="285"/>
      <c r="F727" s="23"/>
      <c r="P727" s="259"/>
    </row>
    <row r="728" spans="3:16" ht="13">
      <c r="C728" s="284"/>
      <c r="D728" s="285"/>
      <c r="F728" s="23"/>
      <c r="P728" s="259"/>
    </row>
    <row r="729" spans="3:16" ht="13">
      <c r="C729" s="284"/>
      <c r="D729" s="285"/>
      <c r="F729" s="23"/>
      <c r="P729" s="259"/>
    </row>
    <row r="730" spans="3:16" ht="13">
      <c r="C730" s="284"/>
      <c r="D730" s="285"/>
      <c r="F730" s="23"/>
      <c r="P730" s="259"/>
    </row>
    <row r="731" spans="3:16" ht="13">
      <c r="C731" s="284"/>
      <c r="D731" s="285"/>
      <c r="F731" s="23"/>
      <c r="P731" s="259"/>
    </row>
    <row r="732" spans="3:16" ht="13">
      <c r="C732" s="284"/>
      <c r="D732" s="285"/>
      <c r="F732" s="23"/>
      <c r="P732" s="259"/>
    </row>
    <row r="733" spans="3:16" ht="13">
      <c r="C733" s="284"/>
      <c r="D733" s="285"/>
      <c r="F733" s="23"/>
      <c r="P733" s="259"/>
    </row>
    <row r="734" spans="3:16" ht="13">
      <c r="C734" s="284"/>
      <c r="D734" s="285"/>
      <c r="F734" s="23"/>
      <c r="P734" s="259"/>
    </row>
    <row r="735" spans="3:16" ht="13">
      <c r="C735" s="284"/>
      <c r="D735" s="285"/>
      <c r="F735" s="23"/>
      <c r="P735" s="259"/>
    </row>
    <row r="736" spans="3:16" ht="13">
      <c r="C736" s="284"/>
      <c r="D736" s="285"/>
      <c r="F736" s="23"/>
      <c r="P736" s="259"/>
    </row>
    <row r="737" spans="3:16" ht="13">
      <c r="C737" s="284"/>
      <c r="D737" s="285"/>
      <c r="F737" s="23"/>
      <c r="P737" s="259"/>
    </row>
    <row r="738" spans="3:16" ht="13">
      <c r="C738" s="284"/>
      <c r="D738" s="285"/>
      <c r="F738" s="23"/>
      <c r="P738" s="259"/>
    </row>
    <row r="739" spans="3:16" ht="13">
      <c r="C739" s="284"/>
      <c r="D739" s="285"/>
      <c r="F739" s="23"/>
      <c r="P739" s="259"/>
    </row>
    <row r="740" spans="3:16" ht="13">
      <c r="C740" s="284"/>
      <c r="D740" s="285"/>
      <c r="F740" s="23"/>
      <c r="P740" s="259"/>
    </row>
    <row r="741" spans="3:16" ht="13">
      <c r="C741" s="284"/>
      <c r="D741" s="285"/>
      <c r="F741" s="23"/>
      <c r="P741" s="259"/>
    </row>
    <row r="742" spans="3:16" ht="13">
      <c r="C742" s="284"/>
      <c r="D742" s="285"/>
      <c r="F742" s="23"/>
      <c r="P742" s="259"/>
    </row>
    <row r="743" spans="3:16" ht="13">
      <c r="C743" s="284"/>
      <c r="D743" s="285"/>
      <c r="F743" s="23"/>
      <c r="P743" s="259"/>
    </row>
    <row r="744" spans="3:16" ht="13">
      <c r="C744" s="284"/>
      <c r="D744" s="285"/>
      <c r="F744" s="23"/>
      <c r="P744" s="259"/>
    </row>
    <row r="745" spans="3:16" ht="13">
      <c r="C745" s="284"/>
      <c r="D745" s="285"/>
      <c r="F745" s="23"/>
      <c r="P745" s="259"/>
    </row>
    <row r="746" spans="3:16" ht="13">
      <c r="C746" s="284"/>
      <c r="D746" s="285"/>
      <c r="F746" s="23"/>
      <c r="P746" s="259"/>
    </row>
    <row r="747" spans="3:16" ht="13">
      <c r="C747" s="284"/>
      <c r="D747" s="285"/>
      <c r="F747" s="23"/>
      <c r="P747" s="259"/>
    </row>
    <row r="748" spans="3:16" ht="13">
      <c r="C748" s="284"/>
      <c r="D748" s="285"/>
      <c r="F748" s="23"/>
      <c r="P748" s="259"/>
    </row>
    <row r="749" spans="3:16" ht="13">
      <c r="C749" s="284"/>
      <c r="D749" s="285"/>
      <c r="F749" s="23"/>
      <c r="P749" s="259"/>
    </row>
    <row r="750" spans="3:16" ht="13">
      <c r="C750" s="284"/>
      <c r="D750" s="285"/>
      <c r="F750" s="23"/>
      <c r="P750" s="259"/>
    </row>
    <row r="751" spans="3:16" ht="13">
      <c r="C751" s="284"/>
      <c r="D751" s="285"/>
      <c r="F751" s="23"/>
      <c r="P751" s="259"/>
    </row>
    <row r="752" spans="3:16" ht="13">
      <c r="C752" s="284"/>
      <c r="D752" s="285"/>
      <c r="F752" s="23"/>
      <c r="P752" s="259"/>
    </row>
    <row r="753" spans="3:16" ht="13">
      <c r="C753" s="284"/>
      <c r="D753" s="285"/>
      <c r="F753" s="23"/>
      <c r="P753" s="259"/>
    </row>
    <row r="754" spans="3:16" ht="13">
      <c r="C754" s="284"/>
      <c r="D754" s="285"/>
      <c r="F754" s="23"/>
      <c r="P754" s="259"/>
    </row>
    <row r="755" spans="3:16" ht="13">
      <c r="C755" s="284"/>
      <c r="D755" s="285"/>
      <c r="F755" s="23"/>
      <c r="P755" s="259"/>
    </row>
    <row r="756" spans="3:16" ht="13">
      <c r="C756" s="284"/>
      <c r="D756" s="285"/>
      <c r="F756" s="23"/>
      <c r="P756" s="259"/>
    </row>
    <row r="757" spans="3:16" ht="13">
      <c r="C757" s="284"/>
      <c r="D757" s="285"/>
      <c r="F757" s="23"/>
      <c r="P757" s="259"/>
    </row>
    <row r="758" spans="3:16" ht="13">
      <c r="C758" s="284"/>
      <c r="D758" s="285"/>
      <c r="F758" s="23"/>
      <c r="P758" s="259"/>
    </row>
    <row r="759" spans="3:16" ht="13">
      <c r="C759" s="284"/>
      <c r="D759" s="285"/>
      <c r="F759" s="23"/>
      <c r="P759" s="259"/>
    </row>
    <row r="760" spans="3:16" ht="13">
      <c r="C760" s="284"/>
      <c r="D760" s="285"/>
      <c r="F760" s="23"/>
      <c r="P760" s="259"/>
    </row>
    <row r="761" spans="3:16" ht="13">
      <c r="C761" s="284"/>
      <c r="D761" s="285"/>
      <c r="F761" s="23"/>
      <c r="P761" s="259"/>
    </row>
    <row r="762" spans="3:16" ht="13">
      <c r="C762" s="284"/>
      <c r="D762" s="285"/>
      <c r="F762" s="23"/>
      <c r="P762" s="259"/>
    </row>
    <row r="763" spans="3:16" ht="13">
      <c r="C763" s="284"/>
      <c r="D763" s="285"/>
      <c r="F763" s="23"/>
      <c r="P763" s="259"/>
    </row>
    <row r="764" spans="3:16" ht="13">
      <c r="C764" s="284"/>
      <c r="D764" s="285"/>
      <c r="F764" s="23"/>
      <c r="P764" s="259"/>
    </row>
    <row r="765" spans="3:16" ht="13">
      <c r="C765" s="284"/>
      <c r="D765" s="285"/>
      <c r="F765" s="23"/>
      <c r="P765" s="259"/>
    </row>
    <row r="766" spans="3:16" ht="13">
      <c r="C766" s="284"/>
      <c r="D766" s="285"/>
      <c r="F766" s="23"/>
      <c r="P766" s="259"/>
    </row>
    <row r="767" spans="3:16" ht="13">
      <c r="C767" s="284"/>
      <c r="D767" s="285"/>
      <c r="F767" s="23"/>
      <c r="P767" s="259"/>
    </row>
    <row r="768" spans="3:16" ht="13">
      <c r="C768" s="284"/>
      <c r="D768" s="285"/>
      <c r="F768" s="23"/>
      <c r="P768" s="259"/>
    </row>
    <row r="769" spans="3:16" ht="13">
      <c r="C769" s="284"/>
      <c r="D769" s="285"/>
      <c r="F769" s="23"/>
      <c r="P769" s="259"/>
    </row>
    <row r="770" spans="3:16" ht="13">
      <c r="C770" s="284"/>
      <c r="D770" s="285"/>
      <c r="F770" s="23"/>
      <c r="P770" s="259"/>
    </row>
    <row r="771" spans="3:16" ht="13">
      <c r="C771" s="284"/>
      <c r="D771" s="285"/>
      <c r="F771" s="23"/>
      <c r="P771" s="259"/>
    </row>
    <row r="772" spans="3:16" ht="13">
      <c r="C772" s="284"/>
      <c r="D772" s="285"/>
      <c r="F772" s="23"/>
      <c r="P772" s="259"/>
    </row>
    <row r="773" spans="3:16" ht="13">
      <c r="C773" s="284"/>
      <c r="D773" s="285"/>
      <c r="F773" s="23"/>
      <c r="P773" s="259"/>
    </row>
    <row r="774" spans="3:16" ht="13">
      <c r="C774" s="284"/>
      <c r="D774" s="285"/>
      <c r="F774" s="23"/>
      <c r="P774" s="259"/>
    </row>
    <row r="775" spans="3:16" ht="13">
      <c r="C775" s="284"/>
      <c r="D775" s="285"/>
      <c r="F775" s="23"/>
      <c r="P775" s="259"/>
    </row>
    <row r="776" spans="3:16" ht="13">
      <c r="C776" s="284"/>
      <c r="D776" s="285"/>
      <c r="F776" s="23"/>
      <c r="P776" s="259"/>
    </row>
    <row r="777" spans="3:16" ht="13">
      <c r="C777" s="284"/>
      <c r="D777" s="285"/>
      <c r="F777" s="23"/>
      <c r="P777" s="259"/>
    </row>
    <row r="778" spans="3:16" ht="13">
      <c r="C778" s="284"/>
      <c r="D778" s="285"/>
      <c r="F778" s="23"/>
      <c r="P778" s="259"/>
    </row>
    <row r="779" spans="3:16" ht="13">
      <c r="C779" s="284"/>
      <c r="D779" s="285"/>
      <c r="F779" s="23"/>
      <c r="P779" s="259"/>
    </row>
    <row r="780" spans="3:16" ht="13">
      <c r="C780" s="284"/>
      <c r="D780" s="285"/>
      <c r="F780" s="23"/>
      <c r="P780" s="259"/>
    </row>
    <row r="781" spans="3:16" ht="13">
      <c r="C781" s="284"/>
      <c r="D781" s="285"/>
      <c r="F781" s="23"/>
      <c r="P781" s="259"/>
    </row>
    <row r="782" spans="3:16" ht="13">
      <c r="C782" s="284"/>
      <c r="D782" s="285"/>
      <c r="F782" s="23"/>
      <c r="P782" s="259"/>
    </row>
    <row r="783" spans="3:16" ht="13">
      <c r="C783" s="284"/>
      <c r="D783" s="285"/>
      <c r="F783" s="23"/>
      <c r="P783" s="259"/>
    </row>
    <row r="784" spans="3:16" ht="13">
      <c r="C784" s="284"/>
      <c r="D784" s="285"/>
      <c r="F784" s="23"/>
      <c r="P784" s="259"/>
    </row>
    <row r="785" spans="3:16" ht="13">
      <c r="C785" s="284"/>
      <c r="D785" s="285"/>
      <c r="F785" s="23"/>
      <c r="P785" s="259"/>
    </row>
    <row r="786" spans="3:16" ht="13">
      <c r="C786" s="284"/>
      <c r="D786" s="285"/>
      <c r="F786" s="23"/>
      <c r="P786" s="259"/>
    </row>
    <row r="787" spans="3:16" ht="13">
      <c r="C787" s="284"/>
      <c r="D787" s="285"/>
      <c r="F787" s="23"/>
      <c r="P787" s="259"/>
    </row>
    <row r="788" spans="3:16" ht="13">
      <c r="C788" s="284"/>
      <c r="D788" s="285"/>
      <c r="F788" s="23"/>
      <c r="P788" s="259"/>
    </row>
    <row r="789" spans="3:16" ht="13">
      <c r="C789" s="284"/>
      <c r="D789" s="285"/>
      <c r="F789" s="23"/>
      <c r="P789" s="259"/>
    </row>
    <row r="790" spans="3:16" ht="13">
      <c r="C790" s="284"/>
      <c r="D790" s="285"/>
      <c r="F790" s="23"/>
      <c r="P790" s="259"/>
    </row>
    <row r="791" spans="3:16" ht="13">
      <c r="C791" s="284"/>
      <c r="D791" s="285"/>
      <c r="F791" s="23"/>
      <c r="P791" s="259"/>
    </row>
    <row r="792" spans="3:16" ht="13">
      <c r="C792" s="284"/>
      <c r="D792" s="285"/>
      <c r="F792" s="23"/>
      <c r="P792" s="259"/>
    </row>
    <row r="793" spans="3:16" ht="13">
      <c r="C793" s="284"/>
      <c r="D793" s="285"/>
      <c r="F793" s="23"/>
      <c r="P793" s="259"/>
    </row>
    <row r="794" spans="3:16" ht="13">
      <c r="C794" s="284"/>
      <c r="D794" s="285"/>
      <c r="F794" s="23"/>
      <c r="P794" s="259"/>
    </row>
    <row r="795" spans="3:16" ht="13">
      <c r="C795" s="284"/>
      <c r="D795" s="285"/>
      <c r="F795" s="23"/>
      <c r="P795" s="259"/>
    </row>
    <row r="796" spans="3:16" ht="13">
      <c r="C796" s="284"/>
      <c r="D796" s="285"/>
      <c r="F796" s="23"/>
      <c r="P796" s="259"/>
    </row>
    <row r="797" spans="3:16" ht="13">
      <c r="C797" s="284"/>
      <c r="D797" s="285"/>
      <c r="F797" s="23"/>
      <c r="P797" s="259"/>
    </row>
    <row r="798" spans="3:16" ht="13">
      <c r="C798" s="284"/>
      <c r="D798" s="285"/>
      <c r="F798" s="23"/>
      <c r="P798" s="259"/>
    </row>
    <row r="799" spans="3:16" ht="13">
      <c r="C799" s="284"/>
      <c r="D799" s="285"/>
      <c r="F799" s="23"/>
      <c r="P799" s="259"/>
    </row>
    <row r="800" spans="3:16" ht="13">
      <c r="C800" s="284"/>
      <c r="D800" s="285"/>
      <c r="F800" s="23"/>
      <c r="P800" s="259"/>
    </row>
    <row r="801" spans="3:16" ht="13">
      <c r="C801" s="284"/>
      <c r="D801" s="285"/>
      <c r="F801" s="23"/>
      <c r="P801" s="259"/>
    </row>
    <row r="802" spans="3:16" ht="13">
      <c r="C802" s="284"/>
      <c r="D802" s="285"/>
      <c r="F802" s="23"/>
      <c r="P802" s="259"/>
    </row>
    <row r="803" spans="3:16" ht="13">
      <c r="C803" s="284"/>
      <c r="D803" s="285"/>
      <c r="F803" s="23"/>
      <c r="P803" s="259"/>
    </row>
    <row r="804" spans="3:16" ht="13">
      <c r="C804" s="284"/>
      <c r="D804" s="285"/>
      <c r="F804" s="23"/>
      <c r="P804" s="259"/>
    </row>
    <row r="805" spans="3:16" ht="13">
      <c r="C805" s="284"/>
      <c r="D805" s="285"/>
      <c r="F805" s="23"/>
      <c r="P805" s="259"/>
    </row>
    <row r="806" spans="3:16" ht="13">
      <c r="C806" s="284"/>
      <c r="D806" s="285"/>
      <c r="F806" s="23"/>
      <c r="P806" s="259"/>
    </row>
    <row r="807" spans="3:16" ht="13">
      <c r="C807" s="284"/>
      <c r="D807" s="285"/>
      <c r="F807" s="23"/>
      <c r="P807" s="259"/>
    </row>
    <row r="808" spans="3:16" ht="13">
      <c r="C808" s="284"/>
      <c r="D808" s="285"/>
      <c r="F808" s="23"/>
      <c r="P808" s="259"/>
    </row>
    <row r="809" spans="3:16" ht="13">
      <c r="C809" s="284"/>
      <c r="D809" s="285"/>
      <c r="F809" s="23"/>
      <c r="P809" s="259"/>
    </row>
    <row r="810" spans="3:16" ht="13">
      <c r="C810" s="284"/>
      <c r="D810" s="285"/>
      <c r="F810" s="23"/>
      <c r="P810" s="259"/>
    </row>
    <row r="811" spans="3:16" ht="13">
      <c r="C811" s="284"/>
      <c r="D811" s="285"/>
      <c r="F811" s="23"/>
      <c r="P811" s="259"/>
    </row>
    <row r="812" spans="3:16" ht="13">
      <c r="C812" s="284"/>
      <c r="D812" s="285"/>
      <c r="F812" s="23"/>
      <c r="P812" s="259"/>
    </row>
    <row r="813" spans="3:16" ht="13">
      <c r="C813" s="284"/>
      <c r="D813" s="285"/>
      <c r="F813" s="23"/>
      <c r="P813" s="259"/>
    </row>
    <row r="814" spans="3:16" ht="13">
      <c r="C814" s="284"/>
      <c r="D814" s="285"/>
      <c r="F814" s="23"/>
      <c r="P814" s="259"/>
    </row>
    <row r="815" spans="3:16" ht="13">
      <c r="C815" s="284"/>
      <c r="D815" s="285"/>
      <c r="F815" s="23"/>
      <c r="P815" s="259"/>
    </row>
    <row r="816" spans="3:16" ht="13">
      <c r="C816" s="284"/>
      <c r="D816" s="285"/>
      <c r="F816" s="23"/>
      <c r="P816" s="259"/>
    </row>
    <row r="817" spans="3:16" ht="13">
      <c r="C817" s="284"/>
      <c r="D817" s="285"/>
      <c r="F817" s="23"/>
      <c r="P817" s="259"/>
    </row>
    <row r="818" spans="3:16" ht="13">
      <c r="C818" s="284"/>
      <c r="D818" s="285"/>
      <c r="F818" s="23"/>
      <c r="P818" s="259"/>
    </row>
    <row r="819" spans="3:16" ht="13">
      <c r="C819" s="284"/>
      <c r="D819" s="285"/>
      <c r="F819" s="23"/>
      <c r="P819" s="259"/>
    </row>
    <row r="820" spans="3:16" ht="13">
      <c r="C820" s="284"/>
      <c r="D820" s="285"/>
      <c r="F820" s="23"/>
      <c r="P820" s="259"/>
    </row>
    <row r="821" spans="3:16" ht="13">
      <c r="C821" s="284"/>
      <c r="D821" s="285"/>
      <c r="F821" s="23"/>
      <c r="P821" s="259"/>
    </row>
    <row r="822" spans="3:16" ht="13">
      <c r="C822" s="284"/>
      <c r="D822" s="285"/>
      <c r="F822" s="23"/>
      <c r="P822" s="259"/>
    </row>
    <row r="823" spans="3:16" ht="13">
      <c r="C823" s="284"/>
      <c r="D823" s="285"/>
      <c r="F823" s="23"/>
      <c r="P823" s="259"/>
    </row>
    <row r="824" spans="3:16" ht="13">
      <c r="C824" s="284"/>
      <c r="D824" s="285"/>
      <c r="F824" s="23"/>
      <c r="P824" s="259"/>
    </row>
    <row r="825" spans="3:16" ht="13">
      <c r="C825" s="284"/>
      <c r="D825" s="285"/>
      <c r="F825" s="23"/>
      <c r="P825" s="259"/>
    </row>
    <row r="826" spans="3:16" ht="13">
      <c r="C826" s="284"/>
      <c r="D826" s="285"/>
      <c r="F826" s="23"/>
      <c r="P826" s="259"/>
    </row>
    <row r="827" spans="3:16" ht="13">
      <c r="C827" s="284"/>
      <c r="D827" s="285"/>
      <c r="F827" s="23"/>
      <c r="P827" s="259"/>
    </row>
    <row r="828" spans="3:16" ht="13">
      <c r="C828" s="284"/>
      <c r="D828" s="285"/>
      <c r="F828" s="23"/>
      <c r="P828" s="259"/>
    </row>
    <row r="829" spans="3:16" ht="13">
      <c r="C829" s="284"/>
      <c r="D829" s="285"/>
      <c r="F829" s="23"/>
      <c r="P829" s="259"/>
    </row>
    <row r="830" spans="3:16" ht="13">
      <c r="C830" s="284"/>
      <c r="D830" s="285"/>
      <c r="F830" s="23"/>
      <c r="P830" s="259"/>
    </row>
    <row r="831" spans="3:16" ht="13">
      <c r="C831" s="284"/>
      <c r="D831" s="285"/>
      <c r="F831" s="23"/>
      <c r="P831" s="259"/>
    </row>
    <row r="832" spans="3:16" ht="13">
      <c r="C832" s="284"/>
      <c r="D832" s="285"/>
      <c r="F832" s="23"/>
      <c r="P832" s="259"/>
    </row>
    <row r="833" spans="3:16" ht="13">
      <c r="C833" s="284"/>
      <c r="D833" s="285"/>
      <c r="F833" s="23"/>
      <c r="P833" s="259"/>
    </row>
    <row r="834" spans="3:16" ht="13">
      <c r="C834" s="284"/>
      <c r="D834" s="285"/>
      <c r="F834" s="23"/>
      <c r="P834" s="259"/>
    </row>
    <row r="835" spans="3:16" ht="13">
      <c r="C835" s="284"/>
      <c r="D835" s="285"/>
      <c r="F835" s="23"/>
      <c r="P835" s="259"/>
    </row>
    <row r="836" spans="3:16" ht="13">
      <c r="C836" s="284"/>
      <c r="D836" s="285"/>
      <c r="F836" s="23"/>
      <c r="P836" s="259"/>
    </row>
    <row r="837" spans="3:16" ht="13">
      <c r="C837" s="284"/>
      <c r="D837" s="285"/>
      <c r="F837" s="23"/>
      <c r="P837" s="259"/>
    </row>
    <row r="838" spans="3:16" ht="13">
      <c r="C838" s="284"/>
      <c r="D838" s="285"/>
      <c r="F838" s="23"/>
      <c r="P838" s="259"/>
    </row>
    <row r="839" spans="3:16" ht="13">
      <c r="C839" s="284"/>
      <c r="D839" s="285"/>
      <c r="F839" s="23"/>
      <c r="P839" s="259"/>
    </row>
    <row r="840" spans="3:16" ht="13">
      <c r="C840" s="284"/>
      <c r="D840" s="285"/>
      <c r="F840" s="23"/>
      <c r="P840" s="259"/>
    </row>
    <row r="841" spans="3:16" ht="13">
      <c r="C841" s="284"/>
      <c r="D841" s="285"/>
      <c r="F841" s="23"/>
      <c r="P841" s="259"/>
    </row>
    <row r="842" spans="3:16" ht="13">
      <c r="C842" s="284"/>
      <c r="D842" s="285"/>
      <c r="F842" s="23"/>
      <c r="P842" s="259"/>
    </row>
    <row r="843" spans="3:16" ht="13">
      <c r="C843" s="284"/>
      <c r="D843" s="285"/>
      <c r="F843" s="23"/>
      <c r="P843" s="259"/>
    </row>
    <row r="844" spans="3:16" ht="13">
      <c r="C844" s="284"/>
      <c r="D844" s="285"/>
      <c r="F844" s="23"/>
      <c r="P844" s="259"/>
    </row>
    <row r="845" spans="3:16" ht="13">
      <c r="C845" s="284"/>
      <c r="D845" s="285"/>
      <c r="F845" s="23"/>
      <c r="P845" s="259"/>
    </row>
    <row r="846" spans="3:16" ht="13">
      <c r="C846" s="284"/>
      <c r="D846" s="285"/>
      <c r="F846" s="23"/>
      <c r="P846" s="259"/>
    </row>
    <row r="847" spans="3:16" ht="13">
      <c r="C847" s="284"/>
      <c r="D847" s="285"/>
      <c r="F847" s="23"/>
      <c r="P847" s="259"/>
    </row>
    <row r="848" spans="3:16" ht="13">
      <c r="C848" s="284"/>
      <c r="D848" s="285"/>
      <c r="F848" s="23"/>
      <c r="P848" s="259"/>
    </row>
    <row r="849" spans="3:16" ht="13">
      <c r="C849" s="284"/>
      <c r="D849" s="285"/>
      <c r="F849" s="23"/>
      <c r="P849" s="259"/>
    </row>
    <row r="850" spans="3:16" ht="13">
      <c r="C850" s="284"/>
      <c r="D850" s="285"/>
      <c r="F850" s="23"/>
      <c r="P850" s="259"/>
    </row>
    <row r="851" spans="3:16" ht="13">
      <c r="C851" s="284"/>
      <c r="D851" s="285"/>
      <c r="F851" s="23"/>
      <c r="P851" s="259"/>
    </row>
    <row r="852" spans="3:16" ht="13">
      <c r="C852" s="284"/>
      <c r="D852" s="285"/>
      <c r="F852" s="23"/>
      <c r="P852" s="259"/>
    </row>
    <row r="853" spans="3:16" ht="13">
      <c r="C853" s="284"/>
      <c r="D853" s="285"/>
      <c r="F853" s="23"/>
      <c r="P853" s="259"/>
    </row>
    <row r="854" spans="3:16" ht="13">
      <c r="C854" s="284"/>
      <c r="D854" s="285"/>
      <c r="F854" s="23"/>
      <c r="P854" s="259"/>
    </row>
    <row r="855" spans="3:16" ht="13">
      <c r="C855" s="284"/>
      <c r="D855" s="285"/>
      <c r="F855" s="23"/>
      <c r="P855" s="259"/>
    </row>
    <row r="856" spans="3:16" ht="13">
      <c r="C856" s="284"/>
      <c r="D856" s="285"/>
      <c r="F856" s="23"/>
      <c r="P856" s="259"/>
    </row>
    <row r="857" spans="3:16" ht="13">
      <c r="C857" s="284"/>
      <c r="D857" s="285"/>
      <c r="F857" s="23"/>
      <c r="P857" s="259"/>
    </row>
    <row r="858" spans="3:16" ht="13">
      <c r="C858" s="284"/>
      <c r="D858" s="285"/>
      <c r="F858" s="23"/>
      <c r="P858" s="259"/>
    </row>
    <row r="859" spans="3:16" ht="13">
      <c r="C859" s="284"/>
      <c r="D859" s="285"/>
      <c r="F859" s="23"/>
      <c r="P859" s="259"/>
    </row>
    <row r="860" spans="3:16" ht="13">
      <c r="C860" s="284"/>
      <c r="D860" s="285"/>
      <c r="F860" s="23"/>
      <c r="P860" s="259"/>
    </row>
    <row r="861" spans="3:16" ht="13">
      <c r="C861" s="284"/>
      <c r="D861" s="285"/>
      <c r="F861" s="23"/>
      <c r="P861" s="259"/>
    </row>
    <row r="862" spans="3:16" ht="13">
      <c r="C862" s="284"/>
      <c r="D862" s="285"/>
      <c r="F862" s="23"/>
      <c r="P862" s="259"/>
    </row>
    <row r="863" spans="3:16" ht="13">
      <c r="C863" s="284"/>
      <c r="D863" s="285"/>
      <c r="F863" s="23"/>
      <c r="P863" s="259"/>
    </row>
    <row r="864" spans="3:16" ht="13">
      <c r="C864" s="284"/>
      <c r="D864" s="285"/>
      <c r="F864" s="23"/>
      <c r="P864" s="259"/>
    </row>
    <row r="865" spans="3:16" ht="13">
      <c r="C865" s="284"/>
      <c r="D865" s="285"/>
      <c r="F865" s="23"/>
      <c r="P865" s="259"/>
    </row>
    <row r="866" spans="3:16" ht="13">
      <c r="C866" s="284"/>
      <c r="D866" s="285"/>
      <c r="F866" s="23"/>
      <c r="P866" s="259"/>
    </row>
    <row r="867" spans="3:16" ht="13">
      <c r="C867" s="284"/>
      <c r="D867" s="285"/>
      <c r="F867" s="23"/>
      <c r="P867" s="259"/>
    </row>
    <row r="868" spans="3:16" ht="13">
      <c r="C868" s="284"/>
      <c r="D868" s="285"/>
      <c r="F868" s="23"/>
      <c r="P868" s="259"/>
    </row>
    <row r="869" spans="3:16" ht="13">
      <c r="C869" s="284"/>
      <c r="D869" s="285"/>
      <c r="F869" s="23"/>
      <c r="P869" s="259"/>
    </row>
    <row r="870" spans="3:16" ht="13">
      <c r="C870" s="284"/>
      <c r="D870" s="285"/>
      <c r="F870" s="23"/>
      <c r="P870" s="259"/>
    </row>
    <row r="871" spans="3:16" ht="13">
      <c r="C871" s="284"/>
      <c r="D871" s="285"/>
      <c r="F871" s="23"/>
      <c r="P871" s="259"/>
    </row>
    <row r="872" spans="3:16" ht="13">
      <c r="C872" s="284"/>
      <c r="D872" s="285"/>
      <c r="F872" s="23"/>
      <c r="P872" s="259"/>
    </row>
    <row r="873" spans="3:16" ht="13">
      <c r="C873" s="284"/>
      <c r="D873" s="285"/>
      <c r="F873" s="23"/>
      <c r="P873" s="259"/>
    </row>
    <row r="874" spans="3:16" ht="13">
      <c r="C874" s="284"/>
      <c r="D874" s="285"/>
      <c r="F874" s="23"/>
      <c r="P874" s="259"/>
    </row>
    <row r="875" spans="3:16" ht="13">
      <c r="C875" s="284"/>
      <c r="D875" s="285"/>
      <c r="F875" s="23"/>
      <c r="P875" s="259"/>
    </row>
    <row r="876" spans="3:16" ht="13">
      <c r="C876" s="284"/>
      <c r="D876" s="285"/>
      <c r="F876" s="23"/>
      <c r="P876" s="259"/>
    </row>
    <row r="877" spans="3:16" ht="13">
      <c r="C877" s="284"/>
      <c r="D877" s="285"/>
      <c r="F877" s="23"/>
      <c r="P877" s="259"/>
    </row>
    <row r="878" spans="3:16" ht="13">
      <c r="C878" s="284"/>
      <c r="D878" s="285"/>
      <c r="F878" s="23"/>
      <c r="P878" s="259"/>
    </row>
    <row r="879" spans="3:16" ht="13">
      <c r="C879" s="284"/>
      <c r="D879" s="285"/>
      <c r="F879" s="23"/>
      <c r="P879" s="259"/>
    </row>
    <row r="880" spans="3:16" ht="13">
      <c r="C880" s="284"/>
      <c r="D880" s="285"/>
      <c r="F880" s="23"/>
      <c r="P880" s="259"/>
    </row>
    <row r="881" spans="3:16" ht="13">
      <c r="C881" s="284"/>
      <c r="D881" s="285"/>
      <c r="F881" s="23"/>
      <c r="P881" s="259"/>
    </row>
    <row r="882" spans="3:16" ht="13">
      <c r="C882" s="284"/>
      <c r="D882" s="285"/>
      <c r="F882" s="23"/>
      <c r="P882" s="259"/>
    </row>
    <row r="883" spans="3:16" ht="13">
      <c r="C883" s="284"/>
      <c r="D883" s="285"/>
      <c r="F883" s="23"/>
      <c r="P883" s="259"/>
    </row>
    <row r="884" spans="3:16" ht="13">
      <c r="C884" s="284"/>
      <c r="D884" s="285"/>
      <c r="F884" s="23"/>
      <c r="P884" s="259"/>
    </row>
    <row r="885" spans="3:16" ht="13">
      <c r="C885" s="284"/>
      <c r="D885" s="285"/>
      <c r="F885" s="23"/>
      <c r="P885" s="259"/>
    </row>
    <row r="886" spans="3:16" ht="13">
      <c r="C886" s="284"/>
      <c r="D886" s="285"/>
      <c r="F886" s="23"/>
      <c r="P886" s="259"/>
    </row>
    <row r="887" spans="3:16" ht="13">
      <c r="C887" s="284"/>
      <c r="D887" s="285"/>
      <c r="F887" s="23"/>
      <c r="P887" s="259"/>
    </row>
    <row r="888" spans="3:16" ht="13">
      <c r="C888" s="284"/>
      <c r="D888" s="285"/>
      <c r="F888" s="23"/>
      <c r="P888" s="259"/>
    </row>
    <row r="889" spans="3:16" ht="13">
      <c r="C889" s="284"/>
      <c r="D889" s="285"/>
      <c r="F889" s="23"/>
      <c r="P889" s="259"/>
    </row>
    <row r="890" spans="3:16" ht="13">
      <c r="C890" s="284"/>
      <c r="D890" s="285"/>
      <c r="F890" s="23"/>
      <c r="P890" s="259"/>
    </row>
    <row r="891" spans="3:16" ht="13">
      <c r="C891" s="284"/>
      <c r="D891" s="285"/>
      <c r="F891" s="23"/>
      <c r="P891" s="259"/>
    </row>
    <row r="892" spans="3:16" ht="13">
      <c r="C892" s="284"/>
      <c r="D892" s="285"/>
      <c r="F892" s="23"/>
      <c r="P892" s="259"/>
    </row>
    <row r="893" spans="3:16" ht="13">
      <c r="C893" s="284"/>
      <c r="D893" s="285"/>
      <c r="F893" s="23"/>
      <c r="P893" s="259"/>
    </row>
    <row r="894" spans="3:16" ht="13">
      <c r="C894" s="284"/>
      <c r="D894" s="285"/>
      <c r="F894" s="23"/>
      <c r="P894" s="259"/>
    </row>
    <row r="895" spans="3:16" ht="13">
      <c r="C895" s="284"/>
      <c r="D895" s="285"/>
      <c r="F895" s="23"/>
      <c r="P895" s="259"/>
    </row>
    <row r="896" spans="3:16" ht="13">
      <c r="C896" s="284"/>
      <c r="D896" s="285"/>
      <c r="F896" s="23"/>
      <c r="P896" s="259"/>
    </row>
    <row r="897" spans="3:16" ht="13">
      <c r="C897" s="284"/>
      <c r="D897" s="285"/>
      <c r="F897" s="23"/>
      <c r="P897" s="259"/>
    </row>
    <row r="898" spans="3:16" ht="13">
      <c r="C898" s="284"/>
      <c r="D898" s="285"/>
      <c r="F898" s="23"/>
      <c r="P898" s="259"/>
    </row>
    <row r="899" spans="3:16" ht="13">
      <c r="C899" s="284"/>
      <c r="D899" s="285"/>
      <c r="F899" s="23"/>
      <c r="P899" s="259"/>
    </row>
    <row r="900" spans="3:16" ht="13">
      <c r="C900" s="284"/>
      <c r="D900" s="285"/>
      <c r="F900" s="23"/>
      <c r="P900" s="259"/>
    </row>
    <row r="901" spans="3:16" ht="13">
      <c r="C901" s="284"/>
      <c r="D901" s="285"/>
      <c r="F901" s="23"/>
      <c r="P901" s="259"/>
    </row>
    <row r="902" spans="3:16" ht="13">
      <c r="C902" s="284"/>
      <c r="D902" s="285"/>
      <c r="F902" s="23"/>
      <c r="P902" s="259"/>
    </row>
    <row r="903" spans="3:16" ht="13">
      <c r="C903" s="284"/>
      <c r="D903" s="285"/>
      <c r="F903" s="23"/>
      <c r="P903" s="259"/>
    </row>
    <row r="904" spans="3:16" ht="13">
      <c r="C904" s="284"/>
      <c r="D904" s="285"/>
      <c r="F904" s="23"/>
      <c r="P904" s="259"/>
    </row>
    <row r="905" spans="3:16" ht="13">
      <c r="C905" s="284"/>
      <c r="D905" s="285"/>
      <c r="F905" s="23"/>
      <c r="P905" s="259"/>
    </row>
    <row r="906" spans="3:16" ht="13">
      <c r="C906" s="284"/>
      <c r="D906" s="285"/>
      <c r="F906" s="23"/>
      <c r="P906" s="259"/>
    </row>
    <row r="907" spans="3:16" ht="13">
      <c r="C907" s="284"/>
      <c r="D907" s="285"/>
      <c r="F907" s="23"/>
      <c r="P907" s="259"/>
    </row>
    <row r="908" spans="3:16" ht="13">
      <c r="C908" s="284"/>
      <c r="D908" s="285"/>
      <c r="F908" s="23"/>
      <c r="P908" s="259"/>
    </row>
    <row r="909" spans="3:16" ht="13">
      <c r="C909" s="284"/>
      <c r="D909" s="285"/>
      <c r="F909" s="23"/>
      <c r="P909" s="259"/>
    </row>
    <row r="910" spans="3:16" ht="13">
      <c r="C910" s="284"/>
      <c r="D910" s="285"/>
      <c r="F910" s="23"/>
      <c r="P910" s="259"/>
    </row>
    <row r="911" spans="3:16" ht="13">
      <c r="C911" s="284"/>
      <c r="D911" s="285"/>
      <c r="F911" s="23"/>
      <c r="P911" s="259"/>
    </row>
    <row r="912" spans="3:16" ht="13">
      <c r="C912" s="284"/>
      <c r="D912" s="285"/>
      <c r="F912" s="23"/>
      <c r="P912" s="259"/>
    </row>
    <row r="913" spans="3:16" ht="13">
      <c r="C913" s="284"/>
      <c r="D913" s="285"/>
      <c r="F913" s="23"/>
      <c r="P913" s="259"/>
    </row>
    <row r="914" spans="3:16" ht="13">
      <c r="C914" s="284"/>
      <c r="D914" s="285"/>
      <c r="F914" s="23"/>
      <c r="P914" s="259"/>
    </row>
    <row r="915" spans="3:16" ht="13">
      <c r="C915" s="284"/>
      <c r="D915" s="285"/>
      <c r="F915" s="23"/>
      <c r="P915" s="259"/>
    </row>
    <row r="916" spans="3:16" ht="13">
      <c r="C916" s="284"/>
      <c r="D916" s="285"/>
      <c r="F916" s="23"/>
      <c r="P916" s="259"/>
    </row>
    <row r="917" spans="3:16" ht="13">
      <c r="C917" s="284"/>
      <c r="D917" s="285"/>
      <c r="F917" s="23"/>
      <c r="P917" s="259"/>
    </row>
    <row r="918" spans="3:16" ht="13">
      <c r="C918" s="284"/>
      <c r="D918" s="285"/>
      <c r="F918" s="23"/>
      <c r="P918" s="259"/>
    </row>
    <row r="919" spans="3:16" ht="13">
      <c r="C919" s="284"/>
      <c r="D919" s="285"/>
      <c r="F919" s="23"/>
      <c r="P919" s="259"/>
    </row>
    <row r="920" spans="3:16" ht="13">
      <c r="C920" s="284"/>
      <c r="D920" s="285"/>
      <c r="F920" s="23"/>
      <c r="P920" s="259"/>
    </row>
    <row r="921" spans="3:16" ht="13">
      <c r="C921" s="284"/>
      <c r="D921" s="285"/>
      <c r="F921" s="23"/>
      <c r="P921" s="259"/>
    </row>
    <row r="922" spans="3:16" ht="13">
      <c r="C922" s="284"/>
      <c r="D922" s="285"/>
      <c r="F922" s="23"/>
      <c r="P922" s="259"/>
    </row>
    <row r="923" spans="3:16" ht="13">
      <c r="C923" s="284"/>
      <c r="D923" s="285"/>
      <c r="F923" s="23"/>
      <c r="P923" s="259"/>
    </row>
    <row r="924" spans="3:16" ht="13">
      <c r="C924" s="284"/>
      <c r="D924" s="285"/>
      <c r="F924" s="23"/>
      <c r="P924" s="259"/>
    </row>
    <row r="925" spans="3:16" ht="13">
      <c r="C925" s="284"/>
      <c r="D925" s="285"/>
      <c r="F925" s="23"/>
      <c r="P925" s="259"/>
    </row>
    <row r="926" spans="3:16" ht="13">
      <c r="C926" s="284"/>
      <c r="D926" s="285"/>
      <c r="F926" s="23"/>
      <c r="P926" s="259"/>
    </row>
    <row r="927" spans="3:16" ht="13">
      <c r="C927" s="284"/>
      <c r="D927" s="285"/>
      <c r="F927" s="23"/>
      <c r="P927" s="259"/>
    </row>
    <row r="928" spans="3:16" ht="13">
      <c r="C928" s="284"/>
      <c r="D928" s="285"/>
      <c r="F928" s="23"/>
      <c r="P928" s="259"/>
    </row>
    <row r="929" spans="3:16" ht="13">
      <c r="C929" s="284"/>
      <c r="D929" s="285"/>
      <c r="F929" s="23"/>
      <c r="P929" s="259"/>
    </row>
    <row r="930" spans="3:16" ht="13">
      <c r="C930" s="284"/>
      <c r="D930" s="285"/>
      <c r="F930" s="23"/>
      <c r="P930" s="259"/>
    </row>
    <row r="931" spans="3:16" ht="13">
      <c r="C931" s="284"/>
      <c r="D931" s="285"/>
      <c r="F931" s="23"/>
      <c r="P931" s="259"/>
    </row>
    <row r="932" spans="3:16" ht="13">
      <c r="C932" s="284"/>
      <c r="D932" s="285"/>
      <c r="F932" s="23"/>
      <c r="P932" s="259"/>
    </row>
    <row r="933" spans="3:16" ht="13">
      <c r="C933" s="284"/>
      <c r="D933" s="285"/>
      <c r="F933" s="23"/>
      <c r="P933" s="259"/>
    </row>
    <row r="934" spans="3:16" ht="13">
      <c r="C934" s="284"/>
      <c r="D934" s="285"/>
      <c r="F934" s="23"/>
      <c r="P934" s="259"/>
    </row>
    <row r="935" spans="3:16" ht="13">
      <c r="C935" s="284"/>
      <c r="D935" s="285"/>
      <c r="F935" s="23"/>
      <c r="P935" s="259"/>
    </row>
    <row r="936" spans="3:16" ht="13">
      <c r="C936" s="284"/>
      <c r="D936" s="285"/>
      <c r="F936" s="23"/>
      <c r="P936" s="259"/>
    </row>
    <row r="937" spans="3:16" ht="13">
      <c r="C937" s="284"/>
      <c r="D937" s="285"/>
      <c r="F937" s="23"/>
      <c r="P937" s="259"/>
    </row>
    <row r="938" spans="3:16" ht="13">
      <c r="C938" s="284"/>
      <c r="D938" s="285"/>
      <c r="F938" s="23"/>
      <c r="P938" s="259"/>
    </row>
    <row r="939" spans="3:16" ht="13">
      <c r="C939" s="284"/>
      <c r="D939" s="285"/>
      <c r="F939" s="23"/>
      <c r="P939" s="259"/>
    </row>
    <row r="940" spans="3:16" ht="13">
      <c r="C940" s="284"/>
      <c r="D940" s="285"/>
      <c r="F940" s="23"/>
      <c r="P940" s="259"/>
    </row>
    <row r="941" spans="3:16" ht="13">
      <c r="C941" s="284"/>
      <c r="D941" s="285"/>
      <c r="F941" s="23"/>
      <c r="P941" s="259"/>
    </row>
    <row r="942" spans="3:16" ht="13">
      <c r="C942" s="284"/>
      <c r="D942" s="285"/>
      <c r="F942" s="23"/>
      <c r="P942" s="259"/>
    </row>
    <row r="943" spans="3:16" ht="13">
      <c r="C943" s="284"/>
      <c r="D943" s="285"/>
      <c r="F943" s="23"/>
      <c r="P943" s="259"/>
    </row>
    <row r="944" spans="3:16" ht="13">
      <c r="C944" s="284"/>
      <c r="D944" s="285"/>
      <c r="F944" s="23"/>
      <c r="P944" s="259"/>
    </row>
    <row r="945" spans="3:16" ht="13">
      <c r="C945" s="284"/>
      <c r="D945" s="285"/>
      <c r="F945" s="23"/>
      <c r="P945" s="259"/>
    </row>
    <row r="946" spans="3:16" ht="13">
      <c r="C946" s="284"/>
      <c r="D946" s="285"/>
      <c r="F946" s="23"/>
      <c r="P946" s="259"/>
    </row>
    <row r="947" spans="3:16" ht="13">
      <c r="C947" s="284"/>
      <c r="D947" s="285"/>
      <c r="F947" s="23"/>
      <c r="P947" s="259"/>
    </row>
    <row r="948" spans="3:16" ht="13">
      <c r="C948" s="284"/>
      <c r="D948" s="285"/>
      <c r="F948" s="23"/>
      <c r="P948" s="259"/>
    </row>
    <row r="949" spans="3:16" ht="13">
      <c r="C949" s="284"/>
      <c r="D949" s="285"/>
      <c r="F949" s="23"/>
      <c r="P949" s="259"/>
    </row>
    <row r="950" spans="3:16" ht="13">
      <c r="C950" s="284"/>
      <c r="D950" s="285"/>
      <c r="F950" s="23"/>
      <c r="P950" s="259"/>
    </row>
    <row r="951" spans="3:16" ht="13">
      <c r="C951" s="284"/>
      <c r="D951" s="285"/>
      <c r="F951" s="23"/>
      <c r="P951" s="259"/>
    </row>
    <row r="952" spans="3:16" ht="13">
      <c r="C952" s="284"/>
      <c r="D952" s="285"/>
      <c r="F952" s="23"/>
      <c r="P952" s="259"/>
    </row>
    <row r="953" spans="3:16" ht="13">
      <c r="C953" s="284"/>
      <c r="D953" s="285"/>
      <c r="F953" s="23"/>
      <c r="P953" s="259"/>
    </row>
    <row r="954" spans="3:16" ht="13">
      <c r="C954" s="284"/>
      <c r="D954" s="285"/>
      <c r="F954" s="23"/>
      <c r="P954" s="259"/>
    </row>
    <row r="955" spans="3:16" ht="13">
      <c r="C955" s="284"/>
      <c r="D955" s="285"/>
      <c r="F955" s="23"/>
      <c r="P955" s="259"/>
    </row>
    <row r="956" spans="3:16" ht="13">
      <c r="C956" s="284"/>
      <c r="D956" s="285"/>
      <c r="F956" s="23"/>
      <c r="P956" s="259"/>
    </row>
    <row r="957" spans="3:16" ht="13">
      <c r="C957" s="284"/>
      <c r="D957" s="285"/>
      <c r="F957" s="23"/>
      <c r="P957" s="259"/>
    </row>
    <row r="958" spans="3:16" ht="13">
      <c r="C958" s="284"/>
      <c r="D958" s="285"/>
      <c r="F958" s="23"/>
      <c r="P958" s="259"/>
    </row>
    <row r="959" spans="3:16" ht="13">
      <c r="C959" s="284"/>
      <c r="D959" s="285"/>
      <c r="F959" s="23"/>
      <c r="P959" s="259"/>
    </row>
    <row r="960" spans="3:16" ht="13">
      <c r="C960" s="284"/>
      <c r="D960" s="285"/>
      <c r="F960" s="23"/>
      <c r="P960" s="259"/>
    </row>
    <row r="961" spans="3:16" ht="13">
      <c r="C961" s="284"/>
      <c r="D961" s="285"/>
      <c r="F961" s="23"/>
      <c r="P961" s="259"/>
    </row>
    <row r="962" spans="3:16" ht="13">
      <c r="C962" s="284"/>
      <c r="D962" s="285"/>
      <c r="F962" s="23"/>
      <c r="P962" s="259"/>
    </row>
    <row r="963" spans="3:16" ht="13">
      <c r="C963" s="284"/>
      <c r="D963" s="285"/>
      <c r="F963" s="23"/>
      <c r="P963" s="259"/>
    </row>
    <row r="964" spans="3:16" ht="13">
      <c r="C964" s="284"/>
      <c r="D964" s="285"/>
      <c r="F964" s="23"/>
      <c r="P964" s="259"/>
    </row>
    <row r="965" spans="3:16" ht="13">
      <c r="C965" s="284"/>
      <c r="D965" s="285"/>
      <c r="F965" s="23"/>
      <c r="P965" s="259"/>
    </row>
    <row r="966" spans="3:16" ht="13">
      <c r="C966" s="284"/>
      <c r="D966" s="285"/>
      <c r="F966" s="23"/>
      <c r="P966" s="259"/>
    </row>
    <row r="967" spans="3:16" ht="13">
      <c r="C967" s="284"/>
      <c r="D967" s="285"/>
      <c r="F967" s="23"/>
      <c r="P967" s="259"/>
    </row>
    <row r="968" spans="3:16" ht="13">
      <c r="C968" s="284"/>
      <c r="D968" s="285"/>
      <c r="F968" s="23"/>
      <c r="P968" s="259"/>
    </row>
    <row r="969" spans="3:16" ht="13">
      <c r="C969" s="284"/>
      <c r="D969" s="285"/>
      <c r="F969" s="23"/>
      <c r="P969" s="259"/>
    </row>
    <row r="970" spans="3:16" ht="13">
      <c r="C970" s="284"/>
      <c r="D970" s="285"/>
      <c r="F970" s="23"/>
      <c r="P970" s="259"/>
    </row>
    <row r="971" spans="3:16" ht="13">
      <c r="C971" s="284"/>
      <c r="D971" s="285"/>
      <c r="F971" s="23"/>
      <c r="P971" s="259"/>
    </row>
    <row r="972" spans="3:16" ht="13">
      <c r="C972" s="284"/>
      <c r="D972" s="285"/>
      <c r="F972" s="23"/>
      <c r="P972" s="259"/>
    </row>
    <row r="973" spans="3:16" ht="13">
      <c r="C973" s="284"/>
      <c r="D973" s="285"/>
      <c r="F973" s="23"/>
      <c r="P973" s="259"/>
    </row>
    <row r="974" spans="3:16" ht="13">
      <c r="C974" s="284"/>
      <c r="D974" s="285"/>
      <c r="F974" s="23"/>
      <c r="P974" s="259"/>
    </row>
    <row r="975" spans="3:16" ht="13">
      <c r="C975" s="284"/>
      <c r="D975" s="285"/>
      <c r="F975" s="23"/>
      <c r="P975" s="259"/>
    </row>
    <row r="976" spans="3:16" ht="13">
      <c r="C976" s="284"/>
      <c r="D976" s="285"/>
      <c r="F976" s="23"/>
      <c r="P976" s="259"/>
    </row>
    <row r="977" spans="3:16" ht="13">
      <c r="C977" s="284"/>
      <c r="D977" s="285"/>
      <c r="F977" s="23"/>
      <c r="P977" s="259"/>
    </row>
    <row r="978" spans="3:16" ht="13">
      <c r="C978" s="284"/>
      <c r="D978" s="285"/>
      <c r="F978" s="23"/>
      <c r="P978" s="259"/>
    </row>
    <row r="979" spans="3:16" ht="13">
      <c r="C979" s="284"/>
      <c r="D979" s="285"/>
      <c r="F979" s="23"/>
      <c r="P979" s="259"/>
    </row>
    <row r="980" spans="3:16" ht="13">
      <c r="C980" s="284"/>
      <c r="D980" s="285"/>
      <c r="F980" s="23"/>
      <c r="P980" s="259"/>
    </row>
    <row r="981" spans="3:16" ht="13">
      <c r="C981" s="284"/>
      <c r="D981" s="285"/>
      <c r="F981" s="23"/>
      <c r="P981" s="259"/>
    </row>
    <row r="982" spans="3:16" ht="13">
      <c r="C982" s="284"/>
      <c r="D982" s="285"/>
      <c r="F982" s="23"/>
      <c r="P982" s="259"/>
    </row>
    <row r="983" spans="3:16" ht="13">
      <c r="C983" s="284"/>
      <c r="D983" s="285"/>
      <c r="F983" s="23"/>
      <c r="P983" s="259"/>
    </row>
    <row r="984" spans="3:16" ht="13">
      <c r="C984" s="284"/>
      <c r="D984" s="285"/>
      <c r="F984" s="23"/>
      <c r="P984" s="259"/>
    </row>
    <row r="985" spans="3:16" ht="13">
      <c r="C985" s="284"/>
      <c r="D985" s="285"/>
      <c r="F985" s="23"/>
      <c r="P985" s="259"/>
    </row>
    <row r="986" spans="3:16" ht="13">
      <c r="C986" s="284"/>
      <c r="D986" s="285"/>
      <c r="F986" s="23"/>
      <c r="P986" s="259"/>
    </row>
    <row r="987" spans="3:16" ht="13">
      <c r="C987" s="284"/>
      <c r="D987" s="285"/>
      <c r="F987" s="23"/>
      <c r="P987" s="259"/>
    </row>
    <row r="988" spans="3:16" ht="13">
      <c r="C988" s="284"/>
      <c r="D988" s="285"/>
      <c r="F988" s="23"/>
      <c r="P988" s="259"/>
    </row>
    <row r="989" spans="3:16" ht="13">
      <c r="C989" s="284"/>
      <c r="D989" s="285"/>
      <c r="F989" s="23"/>
      <c r="P989" s="259"/>
    </row>
    <row r="990" spans="3:16" ht="13">
      <c r="C990" s="284"/>
      <c r="D990" s="285"/>
      <c r="F990" s="23"/>
      <c r="P990" s="259"/>
    </row>
    <row r="991" spans="3:16" ht="13">
      <c r="C991" s="284"/>
      <c r="D991" s="285"/>
      <c r="F991" s="23"/>
      <c r="P991" s="259"/>
    </row>
    <row r="992" spans="3:16" ht="13">
      <c r="C992" s="284"/>
      <c r="D992" s="285"/>
      <c r="F992" s="23"/>
      <c r="P992" s="259"/>
    </row>
    <row r="993" spans="3:16" ht="13">
      <c r="C993" s="284"/>
      <c r="D993" s="285"/>
      <c r="F993" s="23"/>
      <c r="P993" s="259"/>
    </row>
    <row r="994" spans="3:16" ht="13">
      <c r="C994" s="284"/>
      <c r="D994" s="285"/>
      <c r="F994" s="23"/>
      <c r="P994" s="259"/>
    </row>
    <row r="995" spans="3:16" ht="13">
      <c r="C995" s="284"/>
      <c r="D995" s="285"/>
      <c r="F995" s="23"/>
      <c r="P995" s="259"/>
    </row>
    <row r="996" spans="3:16" ht="13">
      <c r="C996" s="284"/>
      <c r="D996" s="285"/>
      <c r="F996" s="23"/>
      <c r="P996" s="259"/>
    </row>
    <row r="997" spans="3:16" ht="13">
      <c r="C997" s="284"/>
      <c r="D997" s="285"/>
      <c r="F997" s="23"/>
      <c r="P997" s="259"/>
    </row>
    <row r="998" spans="3:16" ht="13">
      <c r="C998" s="284"/>
      <c r="D998" s="285"/>
      <c r="F998" s="23"/>
      <c r="P998" s="259"/>
    </row>
    <row r="999" spans="3:16" ht="13">
      <c r="C999" s="284"/>
      <c r="D999" s="285"/>
      <c r="F999" s="23"/>
      <c r="P999" s="259"/>
    </row>
    <row r="1000" spans="3:16" ht="13">
      <c r="C1000" s="284"/>
      <c r="D1000" s="285"/>
      <c r="F1000" s="23"/>
      <c r="P1000" s="259"/>
    </row>
    <row r="1001" spans="3:16" ht="13">
      <c r="C1001" s="284"/>
      <c r="D1001" s="285"/>
      <c r="F1001" s="23"/>
      <c r="P1001" s="259"/>
    </row>
    <row r="1002" spans="3:16" ht="13">
      <c r="C1002" s="284"/>
      <c r="D1002" s="285"/>
      <c r="F1002" s="23"/>
      <c r="P1002" s="259"/>
    </row>
    <row r="1003" spans="3:16" ht="13">
      <c r="C1003" s="284"/>
      <c r="D1003" s="285"/>
      <c r="F1003" s="23"/>
      <c r="P1003" s="259"/>
    </row>
    <row r="1004" spans="3:16" ht="13">
      <c r="C1004" s="284"/>
      <c r="D1004" s="285"/>
      <c r="F1004" s="23"/>
      <c r="P1004" s="259"/>
    </row>
    <row r="1005" spans="3:16" ht="13">
      <c r="C1005" s="284"/>
      <c r="D1005" s="285"/>
      <c r="F1005" s="23"/>
      <c r="P1005" s="259"/>
    </row>
    <row r="1006" spans="3:16" ht="13">
      <c r="C1006" s="284"/>
      <c r="D1006" s="285"/>
      <c r="F1006" s="23"/>
      <c r="P1006" s="259"/>
    </row>
    <row r="1007" spans="3:16" ht="13">
      <c r="C1007" s="284"/>
      <c r="D1007" s="285"/>
      <c r="F1007" s="23"/>
      <c r="P1007" s="259"/>
    </row>
    <row r="1008" spans="3:16" ht="13">
      <c r="C1008" s="284"/>
      <c r="D1008" s="285"/>
      <c r="F1008" s="23"/>
      <c r="P1008" s="259"/>
    </row>
    <row r="1009" spans="3:16" ht="13">
      <c r="C1009" s="284"/>
      <c r="D1009" s="285"/>
      <c r="F1009" s="23"/>
      <c r="P1009" s="259"/>
    </row>
    <row r="1010" spans="3:16" ht="13">
      <c r="C1010" s="284"/>
      <c r="D1010" s="285"/>
      <c r="F1010" s="23"/>
      <c r="P1010" s="259"/>
    </row>
    <row r="1011" spans="3:16" ht="13">
      <c r="C1011" s="284"/>
      <c r="D1011" s="285"/>
      <c r="F1011" s="23"/>
      <c r="P1011" s="259"/>
    </row>
    <row r="1012" spans="3:16" ht="13">
      <c r="C1012" s="284"/>
      <c r="D1012" s="285"/>
      <c r="F1012" s="23"/>
      <c r="P1012" s="259"/>
    </row>
    <row r="1013" spans="3:16" ht="13">
      <c r="C1013" s="284"/>
      <c r="D1013" s="285"/>
      <c r="F1013" s="23"/>
      <c r="P1013" s="259"/>
    </row>
    <row r="1014" spans="3:16" ht="13">
      <c r="C1014" s="284"/>
      <c r="D1014" s="285"/>
      <c r="F1014" s="23"/>
      <c r="P1014" s="259"/>
    </row>
    <row r="1015" spans="3:16" ht="13">
      <c r="C1015" s="284"/>
      <c r="D1015" s="285"/>
      <c r="F1015" s="23"/>
      <c r="P1015" s="259"/>
    </row>
    <row r="1016" spans="3:16" ht="13">
      <c r="C1016" s="284"/>
      <c r="D1016" s="285"/>
      <c r="F1016" s="23"/>
      <c r="P1016" s="259"/>
    </row>
    <row r="1017" spans="3:16" ht="13">
      <c r="C1017" s="284"/>
      <c r="D1017" s="285"/>
      <c r="F1017" s="23"/>
      <c r="P1017" s="259"/>
    </row>
    <row r="1018" spans="3:16" ht="13">
      <c r="C1018" s="284"/>
      <c r="D1018" s="285"/>
      <c r="F1018" s="23"/>
      <c r="P1018" s="259"/>
    </row>
    <row r="1019" spans="3:16" ht="13">
      <c r="C1019" s="284"/>
      <c r="D1019" s="285"/>
      <c r="F1019" s="23"/>
      <c r="P1019" s="259"/>
    </row>
    <row r="1020" spans="3:16" ht="13">
      <c r="C1020" s="284"/>
      <c r="D1020" s="285"/>
      <c r="F1020" s="23"/>
      <c r="P1020" s="259"/>
    </row>
    <row r="1021" spans="3:16" ht="13">
      <c r="C1021" s="284"/>
      <c r="D1021" s="285"/>
      <c r="F1021" s="23"/>
      <c r="P1021" s="259"/>
    </row>
    <row r="1022" spans="3:16" ht="13">
      <c r="C1022" s="284"/>
      <c r="D1022" s="285"/>
      <c r="F1022" s="23"/>
      <c r="P1022" s="259"/>
    </row>
    <row r="1023" spans="3:16" ht="13">
      <c r="C1023" s="284"/>
      <c r="D1023" s="285"/>
      <c r="F1023" s="23"/>
      <c r="P1023" s="259"/>
    </row>
    <row r="1024" spans="3:16" ht="13">
      <c r="C1024" s="284"/>
      <c r="D1024" s="285"/>
      <c r="F1024" s="23"/>
      <c r="P1024" s="259"/>
    </row>
    <row r="1025" spans="3:16" ht="13">
      <c r="C1025" s="284"/>
      <c r="D1025" s="285"/>
      <c r="F1025" s="23"/>
      <c r="P1025" s="259"/>
    </row>
    <row r="1026" spans="3:16" ht="13">
      <c r="C1026" s="284"/>
      <c r="D1026" s="285"/>
      <c r="F1026" s="23"/>
      <c r="P1026" s="259"/>
    </row>
    <row r="1027" spans="3:16" ht="13">
      <c r="C1027" s="284"/>
      <c r="D1027" s="285"/>
      <c r="F1027" s="23"/>
      <c r="P1027" s="259"/>
    </row>
    <row r="1028" spans="3:16" ht="13">
      <c r="C1028" s="284"/>
      <c r="D1028" s="285"/>
      <c r="F1028" s="23"/>
      <c r="P1028" s="259"/>
    </row>
    <row r="1029" spans="3:16" ht="13">
      <c r="C1029" s="284"/>
      <c r="D1029" s="285"/>
      <c r="F1029" s="23"/>
      <c r="P1029" s="259"/>
    </row>
    <row r="1030" spans="3:16" ht="13">
      <c r="C1030" s="284"/>
      <c r="D1030" s="285"/>
      <c r="F1030" s="23"/>
      <c r="P1030" s="259"/>
    </row>
    <row r="1031" spans="3:16" ht="13">
      <c r="C1031" s="284"/>
      <c r="D1031" s="285"/>
      <c r="F1031" s="23"/>
      <c r="P1031" s="259"/>
    </row>
    <row r="1032" spans="3:16" ht="13">
      <c r="C1032" s="284"/>
      <c r="D1032" s="285"/>
      <c r="F1032" s="23"/>
      <c r="P1032" s="259"/>
    </row>
    <row r="1033" spans="3:16" ht="13">
      <c r="C1033" s="284"/>
      <c r="D1033" s="285"/>
      <c r="F1033" s="23"/>
      <c r="P1033" s="259"/>
    </row>
    <row r="1034" spans="3:16" ht="13">
      <c r="C1034" s="284"/>
      <c r="D1034" s="285"/>
      <c r="F1034" s="23"/>
      <c r="P1034" s="259"/>
    </row>
    <row r="1035" spans="3:16" ht="13">
      <c r="C1035" s="284"/>
      <c r="D1035" s="285"/>
      <c r="F1035" s="23"/>
      <c r="P1035" s="259"/>
    </row>
    <row r="1036" spans="3:16" ht="13">
      <c r="C1036" s="284"/>
      <c r="D1036" s="285"/>
      <c r="F1036" s="23"/>
      <c r="P1036" s="259"/>
    </row>
    <row r="1037" spans="3:16" ht="13">
      <c r="C1037" s="284"/>
      <c r="D1037" s="285"/>
      <c r="F1037" s="23"/>
      <c r="P1037" s="259"/>
    </row>
    <row r="1038" spans="3:16" ht="13">
      <c r="C1038" s="284"/>
      <c r="D1038" s="285"/>
      <c r="F1038" s="23"/>
      <c r="P1038" s="259"/>
    </row>
    <row r="1039" spans="3:16" ht="13">
      <c r="C1039" s="284"/>
      <c r="D1039" s="285"/>
      <c r="F1039" s="23"/>
      <c r="P1039" s="259"/>
    </row>
    <row r="1040" spans="3:16" ht="13">
      <c r="C1040" s="284"/>
      <c r="D1040" s="285"/>
      <c r="F1040" s="23"/>
      <c r="P1040" s="259"/>
    </row>
    <row r="1041" spans="3:16" ht="13">
      <c r="C1041" s="284"/>
      <c r="D1041" s="285"/>
      <c r="F1041" s="23"/>
      <c r="P1041" s="259"/>
    </row>
    <row r="1042" spans="3:16" ht="13">
      <c r="C1042" s="284"/>
      <c r="D1042" s="285"/>
      <c r="F1042" s="23"/>
      <c r="P1042" s="259"/>
    </row>
    <row r="1043" spans="3:16" ht="13">
      <c r="C1043" s="284"/>
      <c r="D1043" s="285"/>
      <c r="F1043" s="23"/>
      <c r="P1043" s="259"/>
    </row>
    <row r="1044" spans="3:16" ht="13">
      <c r="C1044" s="284"/>
      <c r="D1044" s="285"/>
      <c r="F1044" s="23"/>
      <c r="P1044" s="259"/>
    </row>
    <row r="1045" spans="3:16" ht="13">
      <c r="C1045" s="284"/>
      <c r="D1045" s="285"/>
      <c r="F1045" s="23"/>
      <c r="P1045" s="259"/>
    </row>
    <row r="1046" spans="3:16" ht="13">
      <c r="C1046" s="284"/>
      <c r="D1046" s="285"/>
      <c r="F1046" s="23"/>
      <c r="P1046" s="259"/>
    </row>
    <row r="1047" spans="3:16" ht="13">
      <c r="C1047" s="284"/>
      <c r="D1047" s="285"/>
      <c r="F1047" s="23"/>
      <c r="P1047" s="259"/>
    </row>
    <row r="1048" spans="3:16" ht="13">
      <c r="C1048" s="284"/>
      <c r="D1048" s="285"/>
      <c r="F1048" s="23"/>
      <c r="P1048" s="259"/>
    </row>
    <row r="1049" spans="3:16" ht="13">
      <c r="C1049" s="284"/>
      <c r="D1049" s="285"/>
      <c r="F1049" s="23"/>
      <c r="P1049" s="259"/>
    </row>
    <row r="1050" spans="3:16" ht="13">
      <c r="C1050" s="284"/>
      <c r="D1050" s="285"/>
      <c r="F1050" s="23"/>
      <c r="P1050" s="259"/>
    </row>
    <row r="1051" spans="3:16" ht="13">
      <c r="C1051" s="284"/>
      <c r="D1051" s="285"/>
      <c r="F1051" s="23"/>
      <c r="P1051" s="259"/>
    </row>
    <row r="1052" spans="3:16" ht="13">
      <c r="C1052" s="284"/>
      <c r="D1052" s="285"/>
      <c r="F1052" s="23"/>
      <c r="P1052" s="259"/>
    </row>
    <row r="1053" spans="3:16" ht="13">
      <c r="C1053" s="284"/>
      <c r="D1053" s="285"/>
      <c r="F1053" s="23"/>
      <c r="P1053" s="259"/>
    </row>
    <row r="1054" spans="3:16" ht="13">
      <c r="C1054" s="284"/>
      <c r="D1054" s="285"/>
      <c r="F1054" s="23"/>
      <c r="P1054" s="259"/>
    </row>
    <row r="1055" spans="3:16" ht="13">
      <c r="C1055" s="284"/>
      <c r="D1055" s="285"/>
      <c r="F1055" s="23"/>
      <c r="P1055" s="259"/>
    </row>
    <row r="1056" spans="3:16" ht="13">
      <c r="C1056" s="284"/>
      <c r="D1056" s="285"/>
      <c r="F1056" s="23"/>
      <c r="P1056" s="259"/>
    </row>
    <row r="1057" spans="3:16" ht="13">
      <c r="C1057" s="284"/>
      <c r="D1057" s="285"/>
      <c r="F1057" s="23"/>
      <c r="P1057" s="259"/>
    </row>
    <row r="1058" spans="3:16" ht="13">
      <c r="C1058" s="284"/>
      <c r="D1058" s="285"/>
      <c r="F1058" s="23"/>
      <c r="P1058" s="259"/>
    </row>
    <row r="1059" spans="3:16" ht="13">
      <c r="C1059" s="284"/>
      <c r="D1059" s="285"/>
      <c r="F1059" s="23"/>
      <c r="P1059" s="259"/>
    </row>
    <row r="1060" spans="3:16" ht="13">
      <c r="C1060" s="284"/>
      <c r="D1060" s="285"/>
      <c r="F1060" s="23"/>
      <c r="P1060" s="259"/>
    </row>
    <row r="1061" spans="3:16" ht="13">
      <c r="C1061" s="284"/>
      <c r="D1061" s="285"/>
      <c r="F1061" s="23"/>
      <c r="P1061" s="259"/>
    </row>
    <row r="1062" spans="3:16" ht="13">
      <c r="C1062" s="284"/>
      <c r="D1062" s="285"/>
      <c r="F1062" s="23"/>
      <c r="P1062" s="259"/>
    </row>
    <row r="1063" spans="3:16" ht="13">
      <c r="C1063" s="284"/>
      <c r="D1063" s="285"/>
      <c r="F1063" s="23"/>
      <c r="P1063" s="259"/>
    </row>
    <row r="1064" spans="3:16" ht="13">
      <c r="C1064" s="284"/>
      <c r="D1064" s="285"/>
      <c r="F1064" s="23"/>
      <c r="P1064" s="259"/>
    </row>
    <row r="1065" spans="3:16" ht="13">
      <c r="C1065" s="284"/>
      <c r="D1065" s="285"/>
      <c r="F1065" s="23"/>
      <c r="P1065" s="259"/>
    </row>
    <row r="1066" spans="3:16" ht="13">
      <c r="C1066" s="284"/>
      <c r="D1066" s="285"/>
      <c r="F1066" s="23"/>
      <c r="P1066" s="259"/>
    </row>
    <row r="1067" spans="3:16" ht="13">
      <c r="C1067" s="284"/>
      <c r="D1067" s="285"/>
      <c r="F1067" s="23"/>
      <c r="P1067" s="259"/>
    </row>
    <row r="1068" spans="3:16" ht="13">
      <c r="C1068" s="284"/>
      <c r="D1068" s="285"/>
      <c r="F1068" s="23"/>
      <c r="P1068" s="259"/>
    </row>
    <row r="1069" spans="3:16" ht="13">
      <c r="C1069" s="284"/>
      <c r="D1069" s="285"/>
      <c r="F1069" s="23"/>
      <c r="P1069" s="259"/>
    </row>
    <row r="1070" spans="3:16" ht="13">
      <c r="C1070" s="284"/>
      <c r="D1070" s="285"/>
      <c r="F1070" s="23"/>
      <c r="P1070" s="259"/>
    </row>
    <row r="1071" spans="3:16" ht="13">
      <c r="C1071" s="284"/>
      <c r="D1071" s="285"/>
      <c r="F1071" s="23"/>
      <c r="P1071" s="259"/>
    </row>
    <row r="1072" spans="3:16" ht="13">
      <c r="C1072" s="284"/>
      <c r="D1072" s="285"/>
      <c r="F1072" s="23"/>
      <c r="P1072" s="259"/>
    </row>
    <row r="1073" spans="3:16" ht="13">
      <c r="C1073" s="284"/>
      <c r="D1073" s="285"/>
      <c r="F1073" s="23"/>
      <c r="P1073" s="259"/>
    </row>
    <row r="1074" spans="3:16" ht="13">
      <c r="C1074" s="284"/>
      <c r="D1074" s="285"/>
      <c r="F1074" s="23"/>
      <c r="P1074" s="259"/>
    </row>
    <row r="1075" spans="3:16" ht="13">
      <c r="C1075" s="284"/>
      <c r="D1075" s="285"/>
      <c r="F1075" s="23"/>
      <c r="P1075" s="259"/>
    </row>
    <row r="1076" spans="3:16" ht="13">
      <c r="C1076" s="284"/>
      <c r="D1076" s="285"/>
      <c r="F1076" s="23"/>
      <c r="P1076" s="259"/>
    </row>
    <row r="1077" spans="3:16" ht="13">
      <c r="C1077" s="284"/>
      <c r="D1077" s="285"/>
      <c r="F1077" s="23"/>
      <c r="P1077" s="259"/>
    </row>
    <row r="1078" spans="3:16" ht="13">
      <c r="C1078" s="284"/>
      <c r="D1078" s="285"/>
      <c r="F1078" s="23"/>
      <c r="P1078" s="259"/>
    </row>
    <row r="1079" spans="3:16" ht="13">
      <c r="C1079" s="284"/>
      <c r="D1079" s="285"/>
      <c r="F1079" s="23"/>
      <c r="P1079" s="259"/>
    </row>
    <row r="1080" spans="3:16" ht="13">
      <c r="C1080" s="284"/>
      <c r="D1080" s="285"/>
      <c r="F1080" s="23"/>
      <c r="P1080" s="259"/>
    </row>
    <row r="1081" spans="3:16" ht="13">
      <c r="C1081" s="284"/>
      <c r="D1081" s="285"/>
      <c r="F1081" s="23"/>
      <c r="P1081" s="259"/>
    </row>
    <row r="1082" spans="3:16" ht="13">
      <c r="C1082" s="284"/>
      <c r="D1082" s="285"/>
      <c r="F1082" s="23"/>
      <c r="P1082" s="259"/>
    </row>
    <row r="1083" spans="3:16" ht="13">
      <c r="C1083" s="284"/>
      <c r="D1083" s="285"/>
      <c r="F1083" s="23"/>
      <c r="P1083" s="259"/>
    </row>
    <row r="1084" spans="3:16" ht="13">
      <c r="C1084" s="284"/>
      <c r="D1084" s="285"/>
      <c r="F1084" s="23"/>
      <c r="P1084" s="259"/>
    </row>
    <row r="1085" spans="3:16" ht="13">
      <c r="C1085" s="284"/>
      <c r="D1085" s="285"/>
      <c r="F1085" s="23"/>
      <c r="P1085" s="259"/>
    </row>
    <row r="1086" spans="3:16" ht="13">
      <c r="C1086" s="284"/>
      <c r="D1086" s="285"/>
      <c r="F1086" s="23"/>
      <c r="P1086" s="259"/>
    </row>
    <row r="1087" spans="3:16" ht="13">
      <c r="C1087" s="284"/>
      <c r="D1087" s="285"/>
      <c r="F1087" s="23"/>
      <c r="P1087" s="259"/>
    </row>
    <row r="1088" spans="3:16" ht="13">
      <c r="C1088" s="284"/>
      <c r="D1088" s="285"/>
      <c r="F1088" s="23"/>
      <c r="P1088" s="259"/>
    </row>
    <row r="1089" spans="3:16" ht="13">
      <c r="C1089" s="284"/>
      <c r="D1089" s="285"/>
      <c r="F1089" s="23"/>
      <c r="P1089" s="259"/>
    </row>
    <row r="1090" spans="3:16" ht="13">
      <c r="C1090" s="284"/>
      <c r="D1090" s="285"/>
      <c r="F1090" s="23"/>
      <c r="P1090" s="259"/>
    </row>
    <row r="1091" spans="3:16" ht="13">
      <c r="C1091" s="284"/>
      <c r="D1091" s="285"/>
      <c r="F1091" s="23"/>
      <c r="P1091" s="259"/>
    </row>
    <row r="1092" spans="3:16" ht="13">
      <c r="C1092" s="284"/>
      <c r="D1092" s="285"/>
      <c r="F1092" s="23"/>
      <c r="P1092" s="259"/>
    </row>
    <row r="1093" spans="3:16" ht="13">
      <c r="C1093" s="284"/>
      <c r="D1093" s="285"/>
      <c r="F1093" s="23"/>
      <c r="P1093" s="259"/>
    </row>
    <row r="1094" spans="3:16" ht="13">
      <c r="C1094" s="284"/>
      <c r="D1094" s="285"/>
      <c r="F1094" s="23"/>
      <c r="P1094" s="259"/>
    </row>
    <row r="1095" spans="3:16" ht="13">
      <c r="C1095" s="284"/>
      <c r="D1095" s="285"/>
      <c r="F1095" s="23"/>
      <c r="P1095" s="259"/>
    </row>
    <row r="1096" spans="3:16" ht="13">
      <c r="C1096" s="284"/>
      <c r="D1096" s="285"/>
      <c r="F1096" s="23"/>
      <c r="P1096" s="259"/>
    </row>
    <row r="1097" spans="3:16" ht="13">
      <c r="C1097" s="284"/>
      <c r="D1097" s="285"/>
      <c r="F1097" s="23"/>
      <c r="P1097" s="259"/>
    </row>
    <row r="1098" spans="3:16" ht="13">
      <c r="C1098" s="284"/>
      <c r="D1098" s="285"/>
      <c r="F1098" s="23"/>
      <c r="P1098" s="259"/>
    </row>
    <row r="1099" spans="3:16" ht="13">
      <c r="C1099" s="284"/>
      <c r="D1099" s="285"/>
      <c r="F1099" s="23"/>
      <c r="P1099" s="259"/>
    </row>
    <row r="1100" spans="3:16" ht="13">
      <c r="C1100" s="284"/>
      <c r="D1100" s="285"/>
      <c r="F1100" s="23"/>
      <c r="P1100" s="259"/>
    </row>
    <row r="1101" spans="3:16" ht="13">
      <c r="C1101" s="284"/>
      <c r="D1101" s="285"/>
      <c r="F1101" s="23"/>
      <c r="P1101" s="259"/>
    </row>
    <row r="1102" spans="3:16" ht="13">
      <c r="C1102" s="284"/>
      <c r="D1102" s="285"/>
      <c r="F1102" s="23"/>
      <c r="P1102" s="259"/>
    </row>
    <row r="1103" spans="3:16" ht="13">
      <c r="C1103" s="284"/>
      <c r="D1103" s="285"/>
      <c r="F1103" s="23"/>
      <c r="P1103" s="259"/>
    </row>
    <row r="1104" spans="3:16" ht="13">
      <c r="C1104" s="284"/>
      <c r="D1104" s="285"/>
      <c r="F1104" s="23"/>
      <c r="P1104" s="259"/>
    </row>
    <row r="1105" spans="3:16" ht="13">
      <c r="C1105" s="284"/>
      <c r="D1105" s="285"/>
      <c r="F1105" s="23"/>
      <c r="P1105" s="259"/>
    </row>
    <row r="1106" spans="3:16" ht="13">
      <c r="C1106" s="284"/>
      <c r="D1106" s="285"/>
      <c r="F1106" s="23"/>
      <c r="P1106" s="259"/>
    </row>
    <row r="1107" spans="3:16" ht="13">
      <c r="C1107" s="284"/>
      <c r="D1107" s="285"/>
      <c r="F1107" s="23"/>
      <c r="P1107" s="259"/>
    </row>
    <row r="1108" spans="3:16" ht="13">
      <c r="C1108" s="284"/>
      <c r="D1108" s="285"/>
      <c r="F1108" s="23"/>
      <c r="P1108" s="259"/>
    </row>
    <row r="1109" spans="3:16" ht="13">
      <c r="C1109" s="284"/>
      <c r="D1109" s="285"/>
      <c r="F1109" s="23"/>
      <c r="P1109" s="259"/>
    </row>
    <row r="1110" spans="3:16" ht="13">
      <c r="C1110" s="284"/>
      <c r="D1110" s="285"/>
      <c r="F1110" s="23"/>
      <c r="P1110" s="259"/>
    </row>
    <row r="1111" spans="3:16" ht="13">
      <c r="C1111" s="284"/>
      <c r="D1111" s="285"/>
      <c r="F1111" s="23"/>
      <c r="P1111" s="259"/>
    </row>
    <row r="1112" spans="3:16" ht="13">
      <c r="C1112" s="284"/>
      <c r="D1112" s="285"/>
      <c r="F1112" s="23"/>
      <c r="P1112" s="259"/>
    </row>
    <row r="1113" spans="3:16" ht="13">
      <c r="C1113" s="284"/>
      <c r="D1113" s="285"/>
      <c r="F1113" s="23"/>
      <c r="P1113" s="259"/>
    </row>
    <row r="1114" spans="3:16" ht="13">
      <c r="C1114" s="284"/>
      <c r="D1114" s="285"/>
      <c r="F1114" s="23"/>
      <c r="P1114" s="259"/>
    </row>
    <row r="1115" spans="3:16" ht="13">
      <c r="C1115" s="284"/>
      <c r="D1115" s="285"/>
      <c r="F1115" s="23"/>
      <c r="P1115" s="259"/>
    </row>
    <row r="1116" spans="3:16" ht="13">
      <c r="C1116" s="284"/>
      <c r="D1116" s="285"/>
      <c r="F1116" s="23"/>
      <c r="P1116" s="259"/>
    </row>
    <row r="1117" spans="3:16" ht="13">
      <c r="C1117" s="284"/>
      <c r="D1117" s="285"/>
      <c r="F1117" s="23"/>
      <c r="P1117" s="259"/>
    </row>
    <row r="1118" spans="3:16" ht="13">
      <c r="C1118" s="284"/>
      <c r="D1118" s="285"/>
      <c r="F1118" s="23"/>
      <c r="P1118" s="259"/>
    </row>
    <row r="1119" spans="3:16" ht="13">
      <c r="C1119" s="284"/>
      <c r="D1119" s="285"/>
      <c r="F1119" s="23"/>
      <c r="P1119" s="259"/>
    </row>
    <row r="1120" spans="3:16" ht="13">
      <c r="C1120" s="284"/>
      <c r="D1120" s="285"/>
      <c r="F1120" s="23"/>
      <c r="P1120" s="259"/>
    </row>
    <row r="1121" spans="3:16" ht="13">
      <c r="C1121" s="284"/>
      <c r="D1121" s="285"/>
      <c r="F1121" s="23"/>
      <c r="P1121" s="259"/>
    </row>
    <row r="1122" spans="3:16" ht="13">
      <c r="C1122" s="284"/>
      <c r="D1122" s="285"/>
      <c r="F1122" s="23"/>
      <c r="P1122" s="259"/>
    </row>
    <row r="1123" spans="3:16" ht="13">
      <c r="C1123" s="284"/>
      <c r="D1123" s="285"/>
      <c r="F1123" s="23"/>
      <c r="P1123" s="259"/>
    </row>
    <row r="1124" spans="3:16" ht="13">
      <c r="C1124" s="284"/>
      <c r="D1124" s="285"/>
      <c r="F1124" s="23"/>
      <c r="P1124" s="259"/>
    </row>
    <row r="1125" spans="3:16" ht="13">
      <c r="C1125" s="284"/>
      <c r="D1125" s="285"/>
      <c r="F1125" s="23"/>
      <c r="P1125" s="259"/>
    </row>
    <row r="1126" spans="3:16" ht="13">
      <c r="C1126" s="284"/>
      <c r="D1126" s="285"/>
      <c r="F1126" s="23"/>
      <c r="P1126" s="259"/>
    </row>
    <row r="1127" spans="3:16" ht="13">
      <c r="C1127" s="284"/>
      <c r="D1127" s="285"/>
      <c r="F1127" s="23"/>
      <c r="P1127" s="259"/>
    </row>
    <row r="1128" spans="3:16" ht="13">
      <c r="C1128" s="284"/>
      <c r="D1128" s="285"/>
      <c r="F1128" s="23"/>
      <c r="P1128" s="259"/>
    </row>
    <row r="1129" spans="3:16" ht="13">
      <c r="C1129" s="284"/>
      <c r="D1129" s="285"/>
      <c r="F1129" s="23"/>
      <c r="P1129" s="259"/>
    </row>
    <row r="1130" spans="3:16" ht="13">
      <c r="C1130" s="284"/>
      <c r="D1130" s="285"/>
      <c r="F1130" s="23"/>
      <c r="P1130" s="259"/>
    </row>
    <row r="1131" spans="3:16" ht="13">
      <c r="C1131" s="284"/>
      <c r="D1131" s="285"/>
      <c r="F1131" s="23"/>
      <c r="P1131" s="259"/>
    </row>
    <row r="1132" spans="3:16" ht="13">
      <c r="C1132" s="284"/>
      <c r="D1132" s="285"/>
      <c r="F1132" s="23"/>
      <c r="P1132" s="259"/>
    </row>
    <row r="1133" spans="3:16" ht="13">
      <c r="C1133" s="284"/>
      <c r="D1133" s="285"/>
      <c r="F1133" s="23"/>
      <c r="P1133" s="259"/>
    </row>
    <row r="1134" spans="3:16" ht="13">
      <c r="C1134" s="284"/>
      <c r="D1134" s="285"/>
      <c r="F1134" s="23"/>
      <c r="P1134" s="259"/>
    </row>
    <row r="1135" spans="3:16" ht="13">
      <c r="C1135" s="284"/>
      <c r="D1135" s="285"/>
      <c r="F1135" s="23"/>
      <c r="P1135" s="259"/>
    </row>
    <row r="1136" spans="3:16" ht="13">
      <c r="C1136" s="284"/>
      <c r="D1136" s="285"/>
      <c r="F1136" s="23"/>
      <c r="P1136" s="259"/>
    </row>
    <row r="1137" spans="3:16" ht="13">
      <c r="C1137" s="284"/>
      <c r="D1137" s="285"/>
      <c r="F1137" s="23"/>
      <c r="P1137" s="259"/>
    </row>
    <row r="1138" spans="3:16" ht="13">
      <c r="C1138" s="284"/>
      <c r="D1138" s="285"/>
      <c r="F1138" s="23"/>
      <c r="P1138" s="259"/>
    </row>
    <row r="1139" spans="3:16" ht="13">
      <c r="C1139" s="284"/>
      <c r="D1139" s="285"/>
      <c r="F1139" s="23"/>
      <c r="P1139" s="259"/>
    </row>
    <row r="1140" spans="3:16" ht="13">
      <c r="C1140" s="284"/>
      <c r="D1140" s="285"/>
      <c r="F1140" s="23"/>
      <c r="P1140" s="259"/>
    </row>
    <row r="1141" spans="3:16" ht="13">
      <c r="C1141" s="284"/>
      <c r="D1141" s="285"/>
      <c r="F1141" s="23"/>
      <c r="P1141" s="259"/>
    </row>
    <row r="1142" spans="3:16" ht="13">
      <c r="C1142" s="284"/>
      <c r="D1142" s="285"/>
      <c r="F1142" s="23"/>
      <c r="P1142" s="259"/>
    </row>
    <row r="1143" spans="3:16" ht="13">
      <c r="C1143" s="284"/>
      <c r="D1143" s="285"/>
      <c r="F1143" s="23"/>
      <c r="P1143" s="259"/>
    </row>
    <row r="1144" spans="3:16" ht="13">
      <c r="C1144" s="284"/>
      <c r="D1144" s="285"/>
      <c r="F1144" s="23"/>
      <c r="P1144" s="259"/>
    </row>
    <row r="1145" spans="3:16" ht="13">
      <c r="C1145" s="284"/>
      <c r="D1145" s="285"/>
      <c r="F1145" s="23"/>
      <c r="P1145" s="259"/>
    </row>
    <row r="1146" spans="3:16" ht="13">
      <c r="C1146" s="284"/>
      <c r="D1146" s="285"/>
      <c r="F1146" s="23"/>
      <c r="P1146" s="259"/>
    </row>
    <row r="1147" spans="3:16" ht="13">
      <c r="C1147" s="284"/>
      <c r="D1147" s="285"/>
      <c r="F1147" s="23"/>
      <c r="P1147" s="259"/>
    </row>
    <row r="1148" spans="3:16" ht="13">
      <c r="C1148" s="284"/>
      <c r="D1148" s="285"/>
      <c r="F1148" s="23"/>
      <c r="P1148" s="259"/>
    </row>
    <row r="1149" spans="3:16" ht="13">
      <c r="C1149" s="284"/>
      <c r="D1149" s="285"/>
      <c r="F1149" s="23"/>
      <c r="P1149" s="259"/>
    </row>
    <row r="1150" spans="3:16" ht="13">
      <c r="C1150" s="284"/>
      <c r="D1150" s="285"/>
      <c r="F1150" s="23"/>
      <c r="P1150" s="259"/>
    </row>
    <row r="1151" spans="3:16" ht="13">
      <c r="C1151" s="284"/>
      <c r="D1151" s="285"/>
      <c r="F1151" s="23"/>
      <c r="P1151" s="259"/>
    </row>
    <row r="1152" spans="3:16" ht="13">
      <c r="C1152" s="284"/>
      <c r="D1152" s="285"/>
      <c r="F1152" s="23"/>
      <c r="P1152" s="259"/>
    </row>
    <row r="1153" spans="3:16" ht="13">
      <c r="C1153" s="284"/>
      <c r="D1153" s="285"/>
      <c r="F1153" s="23"/>
      <c r="P1153" s="259"/>
    </row>
    <row r="1154" spans="3:16" ht="13">
      <c r="C1154" s="284"/>
      <c r="D1154" s="285"/>
      <c r="F1154" s="23"/>
      <c r="P1154" s="259"/>
    </row>
    <row r="1155" spans="3:16" ht="13">
      <c r="C1155" s="284"/>
      <c r="D1155" s="285"/>
      <c r="F1155" s="23"/>
      <c r="P1155" s="259"/>
    </row>
    <row r="1156" spans="3:16" ht="13">
      <c r="C1156" s="284"/>
      <c r="D1156" s="285"/>
      <c r="F1156" s="23"/>
      <c r="P1156" s="259"/>
    </row>
    <row r="1157" spans="3:16" ht="13">
      <c r="C1157" s="284"/>
      <c r="D1157" s="285"/>
      <c r="F1157" s="23"/>
      <c r="P1157" s="259"/>
    </row>
    <row r="1158" spans="3:16" ht="13">
      <c r="C1158" s="284"/>
      <c r="D1158" s="285"/>
      <c r="F1158" s="23"/>
      <c r="P1158" s="259"/>
    </row>
    <row r="1159" spans="3:16" ht="13">
      <c r="C1159" s="284"/>
      <c r="D1159" s="285"/>
      <c r="F1159" s="23"/>
      <c r="P1159" s="259"/>
    </row>
    <row r="1160" spans="3:16" ht="13">
      <c r="C1160" s="284"/>
      <c r="D1160" s="285"/>
      <c r="F1160" s="23"/>
      <c r="P1160" s="259"/>
    </row>
    <row r="1161" spans="3:16" ht="13">
      <c r="C1161" s="284"/>
      <c r="D1161" s="285"/>
      <c r="F1161" s="23"/>
      <c r="P1161" s="259"/>
    </row>
    <row r="1162" spans="3:16" ht="13">
      <c r="C1162" s="284"/>
      <c r="D1162" s="285"/>
      <c r="F1162" s="23"/>
      <c r="P1162" s="259"/>
    </row>
    <row r="1163" spans="3:16" ht="13">
      <c r="C1163" s="284"/>
      <c r="D1163" s="285"/>
      <c r="F1163" s="23"/>
      <c r="P1163" s="259"/>
    </row>
    <row r="1164" spans="3:16" ht="13">
      <c r="C1164" s="284"/>
      <c r="D1164" s="285"/>
      <c r="F1164" s="23"/>
      <c r="P1164" s="259"/>
    </row>
    <row r="1165" spans="3:16" ht="13">
      <c r="C1165" s="284"/>
      <c r="D1165" s="285"/>
      <c r="F1165" s="23"/>
      <c r="P1165" s="259"/>
    </row>
    <row r="1166" spans="3:16" ht="13">
      <c r="C1166" s="284"/>
      <c r="D1166" s="285"/>
      <c r="F1166" s="23"/>
      <c r="P1166" s="259"/>
    </row>
    <row r="1167" spans="3:16" ht="13">
      <c r="C1167" s="284"/>
      <c r="D1167" s="285"/>
      <c r="F1167" s="23"/>
      <c r="P1167" s="259"/>
    </row>
    <row r="1168" spans="3:16" ht="13">
      <c r="C1168" s="284"/>
      <c r="D1168" s="285"/>
      <c r="F1168" s="23"/>
      <c r="P1168" s="259"/>
    </row>
    <row r="1169" spans="3:16" ht="13">
      <c r="C1169" s="284"/>
      <c r="D1169" s="285"/>
      <c r="F1169" s="23"/>
      <c r="P1169" s="259"/>
    </row>
    <row r="1170" spans="3:16" ht="13">
      <c r="C1170" s="284"/>
      <c r="D1170" s="285"/>
      <c r="F1170" s="23"/>
      <c r="P1170" s="259"/>
    </row>
    <row r="1171" spans="3:16" ht="13">
      <c r="C1171" s="284"/>
      <c r="D1171" s="285"/>
      <c r="F1171" s="23"/>
      <c r="P1171" s="259"/>
    </row>
    <row r="1172" spans="3:16" ht="13">
      <c r="C1172" s="284"/>
      <c r="D1172" s="285"/>
      <c r="F1172" s="23"/>
      <c r="P1172" s="259"/>
    </row>
    <row r="1173" spans="3:16" ht="13">
      <c r="C1173" s="284"/>
      <c r="D1173" s="285"/>
      <c r="F1173" s="23"/>
      <c r="P1173" s="259"/>
    </row>
    <row r="1174" spans="3:16" ht="13">
      <c r="C1174" s="284"/>
      <c r="D1174" s="285"/>
      <c r="F1174" s="23"/>
      <c r="P1174" s="259"/>
    </row>
    <row r="1175" spans="3:16" ht="13">
      <c r="C1175" s="284"/>
      <c r="D1175" s="285"/>
      <c r="F1175" s="23"/>
      <c r="P1175" s="259"/>
    </row>
    <row r="1176" spans="3:16" ht="13">
      <c r="C1176" s="284"/>
      <c r="D1176" s="285"/>
      <c r="F1176" s="23"/>
      <c r="P1176" s="259"/>
    </row>
    <row r="1177" spans="3:16" ht="13">
      <c r="C1177" s="284"/>
      <c r="D1177" s="285"/>
      <c r="F1177" s="23"/>
      <c r="P1177" s="259"/>
    </row>
    <row r="1178" spans="3:16" ht="13">
      <c r="C1178" s="284"/>
      <c r="D1178" s="285"/>
      <c r="F1178" s="23"/>
      <c r="P1178" s="259"/>
    </row>
    <row r="1179" spans="3:16" ht="13">
      <c r="C1179" s="284"/>
      <c r="D1179" s="285"/>
      <c r="F1179" s="23"/>
      <c r="P1179" s="259"/>
    </row>
    <row r="1180" spans="3:16" ht="13">
      <c r="C1180" s="284"/>
      <c r="D1180" s="285"/>
      <c r="F1180" s="23"/>
      <c r="P1180" s="259"/>
    </row>
    <row r="1181" spans="3:16" ht="13">
      <c r="C1181" s="284"/>
      <c r="D1181" s="285"/>
      <c r="F1181" s="23"/>
      <c r="P1181" s="259"/>
    </row>
    <row r="1182" spans="3:16" ht="13">
      <c r="C1182" s="284"/>
      <c r="D1182" s="285"/>
      <c r="F1182" s="23"/>
      <c r="P1182" s="259"/>
    </row>
    <row r="1183" spans="3:16" ht="13">
      <c r="C1183" s="284"/>
      <c r="D1183" s="285"/>
      <c r="F1183" s="23"/>
      <c r="P1183" s="259"/>
    </row>
    <row r="1184" spans="3:16" ht="13">
      <c r="C1184" s="284"/>
      <c r="D1184" s="285"/>
      <c r="F1184" s="23"/>
      <c r="P1184" s="259"/>
    </row>
    <row r="1185" spans="3:16" ht="13">
      <c r="C1185" s="284"/>
      <c r="D1185" s="285"/>
      <c r="F1185" s="23"/>
      <c r="P1185" s="259"/>
    </row>
    <row r="1186" spans="3:16" ht="13">
      <c r="C1186" s="284"/>
      <c r="D1186" s="285"/>
      <c r="F1186" s="23"/>
      <c r="P1186" s="259"/>
    </row>
  </sheetData>
  <autoFilter ref="A1:R1186" xr:uid="{00000000-0009-0000-0000-000003000000}"/>
  <conditionalFormatting sqref="J224:J230 K224:K231 L228:L231 J237:J239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J78"/>
  <sheetViews>
    <sheetView workbookViewId="0"/>
  </sheetViews>
  <sheetFormatPr baseColWidth="10" defaultColWidth="12.6640625" defaultRowHeight="15.75" customHeight="1"/>
  <cols>
    <col min="1" max="1" width="23.83203125" customWidth="1"/>
    <col min="3" max="3" width="14" customWidth="1"/>
    <col min="5" max="5" width="31.1640625" customWidth="1"/>
    <col min="10" max="10" width="18.33203125" customWidth="1"/>
  </cols>
  <sheetData>
    <row r="2" spans="1:10" ht="15.75" customHeight="1">
      <c r="A2" s="324" t="s">
        <v>432</v>
      </c>
      <c r="B2" s="10" t="s">
        <v>433</v>
      </c>
      <c r="C2" s="10" t="s">
        <v>434</v>
      </c>
      <c r="D2" s="38" t="s">
        <v>2</v>
      </c>
      <c r="E2" s="73"/>
      <c r="F2" s="10" t="s">
        <v>435</v>
      </c>
      <c r="G2" s="10" t="s">
        <v>436</v>
      </c>
      <c r="H2" s="10" t="s">
        <v>4</v>
      </c>
      <c r="I2" s="10" t="s">
        <v>437</v>
      </c>
      <c r="J2" s="10"/>
    </row>
    <row r="3" spans="1:10" ht="15.75" customHeight="1">
      <c r="A3" s="108">
        <f>Facturacion!J219-Facturacion!O219</f>
        <v>0</v>
      </c>
      <c r="B3" s="22">
        <f>FacAnual!G5</f>
        <v>1640991.2150000001</v>
      </c>
      <c r="C3" s="23" t="s">
        <v>438</v>
      </c>
      <c r="D3" s="25">
        <v>6180</v>
      </c>
      <c r="F3" s="325">
        <v>6180</v>
      </c>
      <c r="G3" s="43">
        <f t="shared" ref="G3:G14" si="0">F3/H3</f>
        <v>140.45454545454547</v>
      </c>
      <c r="H3" s="23">
        <v>44</v>
      </c>
      <c r="I3" s="23">
        <v>0</v>
      </c>
    </row>
    <row r="4" spans="1:10" ht="15.75" customHeight="1">
      <c r="A4" s="10"/>
      <c r="B4" s="22">
        <f>FacAnual!G6</f>
        <v>1465599.2</v>
      </c>
      <c r="C4" s="23" t="s">
        <v>439</v>
      </c>
      <c r="D4" s="25">
        <v>6180</v>
      </c>
      <c r="F4" s="325">
        <v>6180</v>
      </c>
      <c r="G4" s="43" t="e">
        <f t="shared" si="0"/>
        <v>#REF!</v>
      </c>
      <c r="H4" s="23" t="e">
        <f t="shared" ref="H4:H14" si="1">#REF!</f>
        <v>#REF!</v>
      </c>
      <c r="I4" s="23">
        <v>0</v>
      </c>
    </row>
    <row r="5" spans="1:10" ht="15.75" customHeight="1">
      <c r="A5" s="22"/>
      <c r="B5" s="22">
        <f>FacAnual!G7</f>
        <v>848181.20700000005</v>
      </c>
      <c r="C5" s="23" t="s">
        <v>82</v>
      </c>
      <c r="D5" s="25">
        <v>6180</v>
      </c>
      <c r="F5" s="325">
        <v>6180</v>
      </c>
      <c r="G5" s="43" t="e">
        <f t="shared" si="0"/>
        <v>#REF!</v>
      </c>
      <c r="H5" s="23" t="e">
        <f t="shared" si="1"/>
        <v>#REF!</v>
      </c>
      <c r="I5" s="23">
        <v>0</v>
      </c>
      <c r="J5" s="10"/>
    </row>
    <row r="6" spans="1:10" ht="15.75" customHeight="1">
      <c r="A6" s="10"/>
      <c r="B6" s="22">
        <f>FacAnual!G8</f>
        <v>541656.348</v>
      </c>
      <c r="C6" s="23" t="s">
        <v>84</v>
      </c>
      <c r="D6" s="25">
        <v>0</v>
      </c>
      <c r="F6" s="325">
        <v>0</v>
      </c>
      <c r="G6" s="43" t="e">
        <f t="shared" si="0"/>
        <v>#REF!</v>
      </c>
      <c r="H6" s="23" t="e">
        <f t="shared" si="1"/>
        <v>#REF!</v>
      </c>
      <c r="I6" s="23">
        <v>0</v>
      </c>
    </row>
    <row r="7" spans="1:10" ht="15.75" customHeight="1">
      <c r="A7" s="326"/>
      <c r="B7" s="22">
        <f>FacAnual!G9</f>
        <v>759891.58000000007</v>
      </c>
      <c r="C7" s="23" t="s">
        <v>85</v>
      </c>
      <c r="D7" s="25">
        <v>0</v>
      </c>
      <c r="E7" s="73"/>
      <c r="F7" s="325">
        <v>0</v>
      </c>
      <c r="G7" s="43" t="e">
        <f t="shared" si="0"/>
        <v>#REF!</v>
      </c>
      <c r="H7" s="23" t="e">
        <f t="shared" si="1"/>
        <v>#REF!</v>
      </c>
      <c r="I7" s="23">
        <v>0</v>
      </c>
    </row>
    <row r="8" spans="1:10" ht="15.75" customHeight="1">
      <c r="B8" s="22">
        <f>FacAnual!G10</f>
        <v>1766018.4900000002</v>
      </c>
      <c r="C8" s="23" t="s">
        <v>86</v>
      </c>
      <c r="D8" s="25">
        <v>0</v>
      </c>
      <c r="F8" s="325">
        <v>0</v>
      </c>
      <c r="G8" s="43" t="e">
        <f t="shared" si="0"/>
        <v>#REF!</v>
      </c>
      <c r="H8" s="23" t="e">
        <f t="shared" si="1"/>
        <v>#REF!</v>
      </c>
      <c r="I8" s="23">
        <v>0</v>
      </c>
    </row>
    <row r="9" spans="1:10" ht="15.75" customHeight="1">
      <c r="B9" s="22">
        <f>FacAnual!G11</f>
        <v>677262.6</v>
      </c>
      <c r="C9" s="23" t="s">
        <v>87</v>
      </c>
      <c r="D9" s="25">
        <v>0</v>
      </c>
      <c r="F9" s="325">
        <v>0</v>
      </c>
      <c r="G9" s="43" t="e">
        <f t="shared" si="0"/>
        <v>#REF!</v>
      </c>
      <c r="H9" s="23" t="e">
        <f t="shared" si="1"/>
        <v>#REF!</v>
      </c>
      <c r="I9" s="23">
        <v>0</v>
      </c>
      <c r="J9" s="10"/>
    </row>
    <row r="10" spans="1:10" ht="15.75" customHeight="1">
      <c r="A10" s="75" t="s">
        <v>440</v>
      </c>
      <c r="B10" s="22">
        <f>FacAnual!G12</f>
        <v>770225.22090000007</v>
      </c>
      <c r="C10" s="23" t="s">
        <v>88</v>
      </c>
      <c r="D10" s="25">
        <v>0</v>
      </c>
      <c r="F10" s="325">
        <v>0</v>
      </c>
      <c r="G10" s="43" t="e">
        <f t="shared" si="0"/>
        <v>#REF!</v>
      </c>
      <c r="H10" s="23" t="e">
        <f t="shared" si="1"/>
        <v>#REF!</v>
      </c>
      <c r="I10" s="23">
        <v>0</v>
      </c>
    </row>
    <row r="11" spans="1:10" ht="15.75" customHeight="1">
      <c r="A11" s="327">
        <v>0.12</v>
      </c>
      <c r="B11" s="22">
        <f>FacAnual!G13</f>
        <v>1003857.8300000001</v>
      </c>
      <c r="C11" s="23" t="s">
        <v>89</v>
      </c>
      <c r="D11" s="25">
        <v>0</v>
      </c>
      <c r="F11" s="325">
        <v>0</v>
      </c>
      <c r="G11" s="43" t="e">
        <f t="shared" si="0"/>
        <v>#REF!</v>
      </c>
      <c r="H11" s="23" t="e">
        <f t="shared" si="1"/>
        <v>#REF!</v>
      </c>
      <c r="I11" s="23">
        <v>0</v>
      </c>
    </row>
    <row r="12" spans="1:10" ht="15.75" customHeight="1">
      <c r="A12" s="23">
        <v>0.36</v>
      </c>
      <c r="B12" s="22">
        <f>FacAnual!G14</f>
        <v>947768.54249999998</v>
      </c>
      <c r="C12" s="23" t="s">
        <v>91</v>
      </c>
      <c r="D12" s="25">
        <v>0</v>
      </c>
      <c r="F12" s="325">
        <v>0</v>
      </c>
      <c r="G12" s="43" t="e">
        <f t="shared" si="0"/>
        <v>#REF!</v>
      </c>
      <c r="H12" s="23" t="e">
        <f t="shared" si="1"/>
        <v>#REF!</v>
      </c>
      <c r="I12" s="23">
        <v>0</v>
      </c>
      <c r="J12" s="10"/>
    </row>
    <row r="13" spans="1:10" ht="15.75" customHeight="1">
      <c r="A13" s="327">
        <v>0.48</v>
      </c>
      <c r="B13" s="22">
        <f>FacAnual!G15</f>
        <v>959663.81149999995</v>
      </c>
      <c r="C13" s="23" t="s">
        <v>92</v>
      </c>
      <c r="D13" s="25">
        <v>0</v>
      </c>
      <c r="F13" s="325">
        <v>0</v>
      </c>
      <c r="G13" s="43" t="e">
        <f t="shared" si="0"/>
        <v>#REF!</v>
      </c>
      <c r="H13" s="23" t="e">
        <f t="shared" si="1"/>
        <v>#REF!</v>
      </c>
      <c r="I13" s="23">
        <v>0</v>
      </c>
    </row>
    <row r="14" spans="1:10" ht="15.75" customHeight="1">
      <c r="B14" s="22">
        <f>FacAnual!G16</f>
        <v>1778545.8802199999</v>
      </c>
      <c r="C14" s="23" t="s">
        <v>93</v>
      </c>
      <c r="D14" s="25">
        <v>0</v>
      </c>
      <c r="F14" s="325">
        <f>B14*0.0829</f>
        <v>147441.45347023799</v>
      </c>
      <c r="G14" s="43" t="e">
        <f t="shared" si="0"/>
        <v>#REF!</v>
      </c>
      <c r="H14" s="23" t="e">
        <f t="shared" si="1"/>
        <v>#REF!</v>
      </c>
      <c r="I14" s="23">
        <v>0</v>
      </c>
    </row>
    <row r="15" spans="1:10" ht="15.75" customHeight="1">
      <c r="C15" s="10" t="s">
        <v>441</v>
      </c>
      <c r="D15" s="22">
        <f>SUM(D3:D14)</f>
        <v>18540</v>
      </c>
      <c r="F15" s="10" t="s">
        <v>442</v>
      </c>
      <c r="G15" s="10" t="s">
        <v>436</v>
      </c>
      <c r="H15" s="10"/>
      <c r="I15" s="10" t="s">
        <v>437</v>
      </c>
    </row>
    <row r="16" spans="1:10" ht="15.75" customHeight="1">
      <c r="C16" s="10" t="s">
        <v>443</v>
      </c>
      <c r="D16" s="69">
        <f>(F16-D15)</f>
        <v>147441.45347023799</v>
      </c>
      <c r="E16" s="34" t="s">
        <v>444</v>
      </c>
      <c r="F16" s="43">
        <f t="shared" ref="F16:G16" si="2">SUM(F3:F15)</f>
        <v>165981.45347023799</v>
      </c>
      <c r="G16" s="43" t="e">
        <f t="shared" si="2"/>
        <v>#REF!</v>
      </c>
      <c r="I16">
        <f>SUM(I3:I15)</f>
        <v>0</v>
      </c>
      <c r="J16" s="10"/>
    </row>
    <row r="17" spans="1:10" ht="15.75" customHeight="1">
      <c r="C17" s="10"/>
    </row>
    <row r="18" spans="1:10" ht="15.75" customHeight="1">
      <c r="C18" s="23"/>
      <c r="E18" s="328" t="s">
        <v>445</v>
      </c>
      <c r="F18" s="81">
        <f>I16</f>
        <v>0</v>
      </c>
    </row>
    <row r="19" spans="1:10" ht="15.75" customHeight="1">
      <c r="E19" s="328" t="s">
        <v>446</v>
      </c>
      <c r="F19" s="81">
        <f>A3</f>
        <v>0</v>
      </c>
      <c r="J19" s="10"/>
    </row>
    <row r="20" spans="1:10" ht="15.75" customHeight="1">
      <c r="E20" s="329">
        <v>0.36</v>
      </c>
      <c r="F20" s="81">
        <f>F19*0.36</f>
        <v>0</v>
      </c>
    </row>
    <row r="21" spans="1:10" ht="15.75" customHeight="1">
      <c r="E21" s="330">
        <v>0.48</v>
      </c>
      <c r="F21" s="81">
        <f>F19*0.48</f>
        <v>0</v>
      </c>
    </row>
    <row r="22" spans="1:10" ht="15.75" customHeight="1">
      <c r="E22" s="328" t="s">
        <v>447</v>
      </c>
      <c r="F22" s="81">
        <f>D15</f>
        <v>18540</v>
      </c>
    </row>
    <row r="23" spans="1:10" ht="15.75" customHeight="1">
      <c r="E23" s="331" t="s">
        <v>448</v>
      </c>
      <c r="F23" s="81">
        <f>(F21-F18)*0.25</f>
        <v>0</v>
      </c>
    </row>
    <row r="24" spans="1:10" ht="15.75" customHeight="1">
      <c r="E24" s="332" t="s">
        <v>449</v>
      </c>
      <c r="F24" s="333">
        <f>(F20-F18)*0.25</f>
        <v>0</v>
      </c>
    </row>
    <row r="25" spans="1:10" ht="15.75" customHeight="1">
      <c r="E25" s="331" t="s">
        <v>450</v>
      </c>
      <c r="F25" s="334">
        <f>(F23-F22)*0</f>
        <v>0</v>
      </c>
      <c r="H25" s="10"/>
    </row>
    <row r="26" spans="1:10" ht="15.75" customHeight="1">
      <c r="E26" s="332" t="s">
        <v>451</v>
      </c>
      <c r="F26" s="333">
        <f>(F24-F22)*0</f>
        <v>0</v>
      </c>
      <c r="H26" s="10"/>
    </row>
    <row r="28" spans="1:10" ht="15.75" customHeight="1">
      <c r="A28" s="335" t="s">
        <v>452</v>
      </c>
      <c r="B28" s="10" t="s">
        <v>433</v>
      </c>
      <c r="C28" s="10" t="s">
        <v>434</v>
      </c>
      <c r="D28" s="38" t="s">
        <v>2</v>
      </c>
      <c r="E28" s="73"/>
      <c r="F28" s="10" t="s">
        <v>435</v>
      </c>
      <c r="G28" s="10" t="s">
        <v>436</v>
      </c>
      <c r="H28" s="10" t="s">
        <v>4</v>
      </c>
      <c r="I28" s="10" t="s">
        <v>437</v>
      </c>
    </row>
    <row r="29" spans="1:10" ht="15.75" customHeight="1">
      <c r="A29" s="108">
        <f>Facturacion!J216</f>
        <v>10039517.815159999</v>
      </c>
      <c r="B29" s="22">
        <f>FacAnual!G85</f>
        <v>1568778.63</v>
      </c>
      <c r="C29" s="23" t="s">
        <v>438</v>
      </c>
      <c r="D29" s="25"/>
      <c r="F29" s="325">
        <v>0</v>
      </c>
      <c r="G29" s="43">
        <f t="shared" ref="G29:G40" si="3">F29/H29</f>
        <v>0</v>
      </c>
      <c r="H29" s="23">
        <v>39.9</v>
      </c>
      <c r="I29" s="23">
        <v>0</v>
      </c>
    </row>
    <row r="30" spans="1:10" ht="15.75" customHeight="1">
      <c r="A30" s="10"/>
      <c r="B30" s="22">
        <f>FacAnual!G86</f>
        <v>725819.20627999993</v>
      </c>
      <c r="C30" s="23" t="s">
        <v>81</v>
      </c>
      <c r="D30" s="25"/>
      <c r="F30" s="325">
        <v>0</v>
      </c>
      <c r="G30" s="43">
        <f t="shared" si="3"/>
        <v>0</v>
      </c>
      <c r="H30" s="23">
        <v>39.9</v>
      </c>
      <c r="I30" s="23">
        <v>0</v>
      </c>
    </row>
    <row r="31" spans="1:10" ht="15.75" customHeight="1">
      <c r="A31" s="22"/>
      <c r="B31" s="22">
        <f>FacAnual!G87</f>
        <v>663936.48600000003</v>
      </c>
      <c r="C31" s="23" t="s">
        <v>82</v>
      </c>
      <c r="D31" s="25"/>
      <c r="F31" s="325">
        <v>0</v>
      </c>
      <c r="G31" s="43">
        <f t="shared" si="3"/>
        <v>0</v>
      </c>
      <c r="H31" s="23">
        <v>39.9</v>
      </c>
      <c r="I31" s="23">
        <v>0</v>
      </c>
    </row>
    <row r="32" spans="1:10" ht="15.75" customHeight="1">
      <c r="A32" s="10"/>
      <c r="B32" s="22">
        <f>FacAnual!G88</f>
        <v>812738.99200000009</v>
      </c>
      <c r="C32" s="23" t="s">
        <v>84</v>
      </c>
      <c r="D32" s="25">
        <v>0</v>
      </c>
      <c r="F32" s="325">
        <v>0</v>
      </c>
      <c r="G32" s="43">
        <f t="shared" si="3"/>
        <v>0</v>
      </c>
      <c r="H32" s="23">
        <v>39.9</v>
      </c>
      <c r="I32" s="23">
        <v>0</v>
      </c>
    </row>
    <row r="33" spans="1:9" ht="15.75" customHeight="1">
      <c r="A33" s="326"/>
      <c r="B33" s="22">
        <f>FacAnual!G89</f>
        <v>1419839.0760000004</v>
      </c>
      <c r="C33" s="23" t="s">
        <v>85</v>
      </c>
      <c r="D33" s="25">
        <v>0</v>
      </c>
      <c r="E33" s="73"/>
      <c r="F33" s="325">
        <v>0</v>
      </c>
      <c r="G33" s="43">
        <f t="shared" si="3"/>
        <v>0</v>
      </c>
      <c r="H33" s="23">
        <v>39.9</v>
      </c>
      <c r="I33" s="23">
        <v>0</v>
      </c>
    </row>
    <row r="34" spans="1:9" ht="15.75" customHeight="1">
      <c r="B34" s="22">
        <f>FacAnual!G90</f>
        <v>881912.53</v>
      </c>
      <c r="C34" s="23" t="s">
        <v>86</v>
      </c>
      <c r="D34" s="25">
        <v>0</v>
      </c>
      <c r="F34" s="325">
        <v>0</v>
      </c>
      <c r="G34" s="43">
        <f t="shared" si="3"/>
        <v>0</v>
      </c>
      <c r="H34" s="23">
        <v>39.9</v>
      </c>
      <c r="I34" s="23">
        <v>0</v>
      </c>
    </row>
    <row r="35" spans="1:9" ht="15.75" customHeight="1">
      <c r="B35" s="22">
        <f>FacAnual!G91</f>
        <v>1119540.99</v>
      </c>
      <c r="C35" s="23" t="s">
        <v>87</v>
      </c>
      <c r="D35" s="25">
        <v>0</v>
      </c>
      <c r="F35" s="325">
        <v>0</v>
      </c>
      <c r="G35" s="43">
        <f t="shared" si="3"/>
        <v>0</v>
      </c>
      <c r="H35" s="23">
        <v>39.9</v>
      </c>
      <c r="I35" s="23">
        <v>0</v>
      </c>
    </row>
    <row r="36" spans="1:9" ht="15.75" customHeight="1">
      <c r="A36" s="75" t="s">
        <v>440</v>
      </c>
      <c r="B36" s="22">
        <f>FacAnual!G92</f>
        <v>1047323.6499999999</v>
      </c>
      <c r="C36" s="23" t="s">
        <v>88</v>
      </c>
      <c r="D36" s="25">
        <v>8110</v>
      </c>
      <c r="F36" s="22">
        <v>8110</v>
      </c>
      <c r="G36" s="43">
        <f t="shared" si="3"/>
        <v>203.25814536340852</v>
      </c>
      <c r="H36" s="23">
        <v>39.9</v>
      </c>
      <c r="I36" s="23">
        <v>0</v>
      </c>
    </row>
    <row r="37" spans="1:9" ht="15.75" customHeight="1">
      <c r="A37" s="327">
        <v>0.12</v>
      </c>
      <c r="B37" s="22">
        <f>FacAnual!G93</f>
        <v>1765931.2675299998</v>
      </c>
      <c r="C37" s="23" t="s">
        <v>89</v>
      </c>
      <c r="D37" s="25">
        <v>8110</v>
      </c>
      <c r="F37" s="22">
        <v>8110</v>
      </c>
      <c r="G37" s="43">
        <f t="shared" si="3"/>
        <v>203.25814536340852</v>
      </c>
      <c r="H37" s="23">
        <v>39.9</v>
      </c>
      <c r="I37" s="23">
        <v>0</v>
      </c>
    </row>
    <row r="38" spans="1:9" ht="15.75" customHeight="1">
      <c r="A38" s="23">
        <v>0.36</v>
      </c>
      <c r="C38" s="23" t="s">
        <v>91</v>
      </c>
      <c r="D38" s="25">
        <v>0</v>
      </c>
      <c r="F38" s="22">
        <v>8110</v>
      </c>
      <c r="G38" s="43">
        <f t="shared" si="3"/>
        <v>203.25814536340852</v>
      </c>
      <c r="H38" s="23">
        <v>39.9</v>
      </c>
      <c r="I38" s="23">
        <v>0</v>
      </c>
    </row>
    <row r="39" spans="1:9" ht="15.75" customHeight="1">
      <c r="A39" s="327">
        <v>0.48</v>
      </c>
      <c r="C39" s="23" t="s">
        <v>92</v>
      </c>
      <c r="D39" s="25">
        <v>0</v>
      </c>
      <c r="F39" s="22">
        <v>8110</v>
      </c>
      <c r="G39" s="43">
        <f t="shared" si="3"/>
        <v>203.25814536340852</v>
      </c>
      <c r="H39" s="23">
        <v>39.9</v>
      </c>
      <c r="I39" s="23">
        <v>0</v>
      </c>
    </row>
    <row r="40" spans="1:9" ht="15.75" customHeight="1">
      <c r="C40" s="23" t="s">
        <v>93</v>
      </c>
      <c r="D40" s="25">
        <v>0</v>
      </c>
      <c r="F40" s="22">
        <v>8110</v>
      </c>
      <c r="G40" s="43">
        <f t="shared" si="3"/>
        <v>203.25814536340852</v>
      </c>
      <c r="H40" s="23">
        <v>39.9</v>
      </c>
      <c r="I40" s="23">
        <v>0</v>
      </c>
    </row>
    <row r="41" spans="1:9" ht="15.75" customHeight="1">
      <c r="C41" s="10" t="s">
        <v>441</v>
      </c>
      <c r="D41" s="22">
        <f>SUM(D29:D40)</f>
        <v>16220</v>
      </c>
      <c r="F41" s="10" t="s">
        <v>442</v>
      </c>
      <c r="G41" s="10" t="s">
        <v>436</v>
      </c>
      <c r="H41" s="10"/>
      <c r="I41" s="10" t="s">
        <v>437</v>
      </c>
    </row>
    <row r="42" spans="1:9" ht="15.75" customHeight="1">
      <c r="C42" s="10" t="s">
        <v>443</v>
      </c>
      <c r="D42" s="69">
        <f>(F42-D41)</f>
        <v>24330</v>
      </c>
      <c r="E42" s="34" t="s">
        <v>444</v>
      </c>
      <c r="F42" s="43">
        <f t="shared" ref="F42:G42" si="4">SUM(F29:F41)</f>
        <v>40550</v>
      </c>
      <c r="G42" s="43">
        <f t="shared" si="4"/>
        <v>1016.2907268170426</v>
      </c>
      <c r="I42">
        <f>SUM(I29:I41)</f>
        <v>0</v>
      </c>
    </row>
    <row r="43" spans="1:9" ht="15.75" customHeight="1">
      <c r="C43" s="10"/>
    </row>
    <row r="44" spans="1:9" ht="15.75" customHeight="1">
      <c r="C44" s="23"/>
      <c r="E44" s="328" t="s">
        <v>445</v>
      </c>
      <c r="F44" s="81">
        <f>I42</f>
        <v>0</v>
      </c>
    </row>
    <row r="45" spans="1:9" ht="15.75" customHeight="1">
      <c r="E45" s="328" t="s">
        <v>446</v>
      </c>
      <c r="F45" s="81">
        <f>A29</f>
        <v>10039517.815159999</v>
      </c>
    </row>
    <row r="46" spans="1:9" ht="15.75" customHeight="1">
      <c r="E46" s="329">
        <v>0.36</v>
      </c>
      <c r="F46" s="81">
        <f>F45*0.36</f>
        <v>3614226.4134575995</v>
      </c>
    </row>
    <row r="47" spans="1:9" ht="15.75" customHeight="1">
      <c r="E47" s="330">
        <v>0.48</v>
      </c>
      <c r="F47" s="81">
        <f>F45*0.48</f>
        <v>4818968.5512767993</v>
      </c>
    </row>
    <row r="48" spans="1:9" ht="15.75" customHeight="1">
      <c r="E48" s="328" t="s">
        <v>447</v>
      </c>
      <c r="F48" s="81">
        <f>D41</f>
        <v>16220</v>
      </c>
    </row>
    <row r="49" spans="1:9" ht="15.75" customHeight="1">
      <c r="E49" s="331" t="s">
        <v>448</v>
      </c>
      <c r="F49" s="81">
        <f>(F47-F44)*0.25</f>
        <v>1204742.1378191998</v>
      </c>
    </row>
    <row r="50" spans="1:9" ht="15.75" customHeight="1">
      <c r="E50" s="332" t="s">
        <v>449</v>
      </c>
      <c r="F50" s="333">
        <f>(F46-F44)*0.25</f>
        <v>903556.60336439987</v>
      </c>
    </row>
    <row r="51" spans="1:9" ht="15.75" customHeight="1">
      <c r="E51" s="331" t="s">
        <v>450</v>
      </c>
      <c r="F51" s="334">
        <f>(F49-F48)*0</f>
        <v>0</v>
      </c>
      <c r="H51" s="10"/>
    </row>
    <row r="52" spans="1:9" ht="15.75" customHeight="1">
      <c r="E52" s="332" t="s">
        <v>451</v>
      </c>
      <c r="F52" s="333">
        <f>(F50-F48)*0</f>
        <v>0</v>
      </c>
      <c r="H52" s="10"/>
    </row>
    <row r="54" spans="1:9" ht="15.75" customHeight="1">
      <c r="A54" s="335" t="s">
        <v>453</v>
      </c>
      <c r="B54" s="10" t="s">
        <v>433</v>
      </c>
      <c r="C54" s="10" t="s">
        <v>434</v>
      </c>
      <c r="D54" s="38" t="s">
        <v>2</v>
      </c>
      <c r="E54" s="73"/>
      <c r="F54" s="10" t="s">
        <v>435</v>
      </c>
      <c r="G54" s="10" t="s">
        <v>436</v>
      </c>
      <c r="H54" s="10" t="s">
        <v>4</v>
      </c>
      <c r="I54" s="10" t="s">
        <v>437</v>
      </c>
    </row>
    <row r="55" spans="1:9" ht="15.75" customHeight="1">
      <c r="A55" s="109">
        <f>Facturacion!J242</f>
        <v>0</v>
      </c>
      <c r="B55">
        <f>FacAnual!G111</f>
        <v>0</v>
      </c>
      <c r="C55" s="23" t="s">
        <v>438</v>
      </c>
      <c r="D55" s="25">
        <v>8110</v>
      </c>
      <c r="F55" s="325">
        <v>0</v>
      </c>
      <c r="G55" s="43">
        <f t="shared" ref="G55:G66" si="5">F55/H55</f>
        <v>0</v>
      </c>
      <c r="H55" s="23">
        <v>39.9</v>
      </c>
      <c r="I55" s="23">
        <v>0</v>
      </c>
    </row>
    <row r="56" spans="1:9" ht="15.75" customHeight="1">
      <c r="A56" s="10"/>
      <c r="B56">
        <f>FacAnual!G112</f>
        <v>0</v>
      </c>
      <c r="C56" s="23" t="s">
        <v>81</v>
      </c>
      <c r="D56" s="25">
        <v>8110</v>
      </c>
      <c r="F56" s="325">
        <v>0</v>
      </c>
      <c r="G56" s="43">
        <f t="shared" si="5"/>
        <v>0</v>
      </c>
      <c r="H56" s="23">
        <v>39.9</v>
      </c>
      <c r="I56" s="23">
        <v>0</v>
      </c>
    </row>
    <row r="57" spans="1:9" ht="15.75" customHeight="1">
      <c r="A57" s="22"/>
      <c r="B57">
        <f>FacAnual!G113</f>
        <v>0</v>
      </c>
      <c r="C57" s="23" t="s">
        <v>82</v>
      </c>
      <c r="D57" s="25">
        <v>0</v>
      </c>
      <c r="F57" s="325">
        <v>0</v>
      </c>
      <c r="G57" s="43">
        <f t="shared" si="5"/>
        <v>0</v>
      </c>
      <c r="H57" s="23">
        <v>39.9</v>
      </c>
      <c r="I57" s="23">
        <v>0</v>
      </c>
    </row>
    <row r="58" spans="1:9" ht="15.75" customHeight="1">
      <c r="A58" s="10"/>
      <c r="B58">
        <f>FacAnual!G114</f>
        <v>0</v>
      </c>
      <c r="C58" s="23" t="s">
        <v>84</v>
      </c>
      <c r="D58" s="25">
        <v>0</v>
      </c>
      <c r="F58" s="325">
        <v>0</v>
      </c>
      <c r="G58" s="43">
        <f t="shared" si="5"/>
        <v>0</v>
      </c>
      <c r="H58" s="23">
        <v>39.9</v>
      </c>
      <c r="I58" s="23">
        <v>0</v>
      </c>
    </row>
    <row r="59" spans="1:9" ht="15.75" customHeight="1">
      <c r="A59" s="326"/>
      <c r="B59">
        <f>FacAnual!G115</f>
        <v>0</v>
      </c>
      <c r="C59" s="23" t="s">
        <v>85</v>
      </c>
      <c r="D59" s="25">
        <v>0</v>
      </c>
      <c r="E59" s="73"/>
      <c r="F59" s="325">
        <v>0</v>
      </c>
      <c r="G59" s="43">
        <f t="shared" si="5"/>
        <v>0</v>
      </c>
      <c r="H59" s="23">
        <v>39.9</v>
      </c>
      <c r="I59" s="23">
        <v>0</v>
      </c>
    </row>
    <row r="60" spans="1:9" ht="15.75" customHeight="1">
      <c r="B60">
        <f>FacAnual!G116</f>
        <v>0</v>
      </c>
      <c r="C60" s="23" t="s">
        <v>86</v>
      </c>
      <c r="D60" s="25">
        <v>0</v>
      </c>
      <c r="F60" s="325">
        <v>0</v>
      </c>
      <c r="G60" s="43">
        <f t="shared" si="5"/>
        <v>0</v>
      </c>
      <c r="H60" s="23">
        <v>39.9</v>
      </c>
      <c r="I60" s="23">
        <v>0</v>
      </c>
    </row>
    <row r="61" spans="1:9" ht="15.75" customHeight="1">
      <c r="B61">
        <f>FacAnual!G117</f>
        <v>0</v>
      </c>
      <c r="C61" s="23" t="s">
        <v>87</v>
      </c>
      <c r="D61" s="25">
        <v>0</v>
      </c>
      <c r="F61" s="325">
        <v>0</v>
      </c>
      <c r="G61" s="43">
        <f t="shared" si="5"/>
        <v>0</v>
      </c>
      <c r="H61" s="23">
        <v>39.9</v>
      </c>
      <c r="I61" s="23">
        <v>0</v>
      </c>
    </row>
    <row r="62" spans="1:9" ht="15.75" customHeight="1">
      <c r="A62" s="75" t="s">
        <v>440</v>
      </c>
      <c r="B62">
        <f>FacAnual!G118</f>
        <v>0</v>
      </c>
      <c r="C62" s="23" t="s">
        <v>88</v>
      </c>
      <c r="D62" s="25">
        <v>0</v>
      </c>
      <c r="F62" s="325">
        <v>0</v>
      </c>
      <c r="G62" s="43">
        <f t="shared" si="5"/>
        <v>0</v>
      </c>
      <c r="H62" s="23">
        <v>39.9</v>
      </c>
      <c r="I62" s="23">
        <v>0</v>
      </c>
    </row>
    <row r="63" spans="1:9" ht="15.75" customHeight="1">
      <c r="A63" s="327">
        <v>0.12</v>
      </c>
      <c r="B63">
        <f>FacAnual!G119</f>
        <v>0</v>
      </c>
      <c r="C63" s="23" t="s">
        <v>89</v>
      </c>
      <c r="D63" s="25">
        <v>0</v>
      </c>
      <c r="F63" s="325">
        <v>0</v>
      </c>
      <c r="G63" s="43">
        <f t="shared" si="5"/>
        <v>0</v>
      </c>
      <c r="H63" s="23">
        <v>39.9</v>
      </c>
      <c r="I63" s="23">
        <v>0</v>
      </c>
    </row>
    <row r="64" spans="1:9" ht="15.75" customHeight="1">
      <c r="A64" s="23">
        <v>0.36</v>
      </c>
      <c r="C64" s="23" t="s">
        <v>91</v>
      </c>
      <c r="D64" s="25">
        <v>0</v>
      </c>
      <c r="F64" s="325">
        <v>0</v>
      </c>
      <c r="G64" s="43">
        <f t="shared" si="5"/>
        <v>0</v>
      </c>
      <c r="H64" s="23">
        <v>39.9</v>
      </c>
      <c r="I64" s="23">
        <v>0</v>
      </c>
    </row>
    <row r="65" spans="1:9" ht="13">
      <c r="A65" s="327">
        <v>0.48</v>
      </c>
      <c r="C65" s="23" t="s">
        <v>92</v>
      </c>
      <c r="D65" s="25">
        <v>0</v>
      </c>
      <c r="F65" s="325">
        <v>0</v>
      </c>
      <c r="G65" s="43">
        <f t="shared" si="5"/>
        <v>0</v>
      </c>
      <c r="H65" s="23">
        <v>39.9</v>
      </c>
      <c r="I65" s="23">
        <v>0</v>
      </c>
    </row>
    <row r="66" spans="1:9" ht="13">
      <c r="C66" s="23" t="s">
        <v>93</v>
      </c>
      <c r="D66" s="25">
        <v>0</v>
      </c>
      <c r="F66" s="325">
        <v>0</v>
      </c>
      <c r="G66" s="43">
        <f t="shared" si="5"/>
        <v>0</v>
      </c>
      <c r="H66" s="23">
        <v>39.9</v>
      </c>
      <c r="I66" s="23">
        <v>0</v>
      </c>
    </row>
    <row r="67" spans="1:9" ht="13">
      <c r="C67" s="10" t="s">
        <v>441</v>
      </c>
      <c r="D67" s="22">
        <f>SUM(D55:D66)</f>
        <v>16220</v>
      </c>
      <c r="F67" s="10" t="s">
        <v>442</v>
      </c>
      <c r="G67" s="10" t="s">
        <v>436</v>
      </c>
      <c r="H67" s="10"/>
      <c r="I67" s="10" t="s">
        <v>437</v>
      </c>
    </row>
    <row r="68" spans="1:9" ht="13">
      <c r="C68" s="10" t="s">
        <v>443</v>
      </c>
      <c r="D68" s="69">
        <f>(F68-D67)</f>
        <v>-16220</v>
      </c>
      <c r="E68" s="34" t="s">
        <v>444</v>
      </c>
      <c r="F68" s="43">
        <f t="shared" ref="F68:G68" si="6">SUM(F55:F67)</f>
        <v>0</v>
      </c>
      <c r="G68" s="43">
        <f t="shared" si="6"/>
        <v>0</v>
      </c>
      <c r="I68">
        <f>SUM(I55:I67)</f>
        <v>0</v>
      </c>
    </row>
    <row r="69" spans="1:9" ht="13">
      <c r="C69" s="10"/>
    </row>
    <row r="70" spans="1:9" ht="13">
      <c r="C70" s="23"/>
      <c r="E70" s="328" t="s">
        <v>445</v>
      </c>
      <c r="F70" s="81">
        <f>I68</f>
        <v>0</v>
      </c>
    </row>
    <row r="71" spans="1:9" ht="13">
      <c r="E71" s="328" t="s">
        <v>446</v>
      </c>
      <c r="F71" s="81">
        <f>A55</f>
        <v>0</v>
      </c>
    </row>
    <row r="72" spans="1:9" ht="13">
      <c r="E72" s="329">
        <v>0.36</v>
      </c>
      <c r="F72" s="81">
        <f>F71*0.36</f>
        <v>0</v>
      </c>
    </row>
    <row r="73" spans="1:9" ht="13">
      <c r="E73" s="330">
        <v>0.48</v>
      </c>
      <c r="F73" s="81">
        <f>F71*0.48</f>
        <v>0</v>
      </c>
    </row>
    <row r="74" spans="1:9" ht="13">
      <c r="E74" s="328" t="s">
        <v>447</v>
      </c>
      <c r="F74" s="81">
        <f>D67</f>
        <v>16220</v>
      </c>
    </row>
    <row r="75" spans="1:9" ht="13">
      <c r="E75" s="331" t="s">
        <v>448</v>
      </c>
      <c r="F75" s="81">
        <f>(F73-F70)*0.25</f>
        <v>0</v>
      </c>
    </row>
    <row r="76" spans="1:9" ht="13">
      <c r="E76" s="332" t="s">
        <v>449</v>
      </c>
      <c r="F76" s="333">
        <f>(F72-F70)*0.25</f>
        <v>0</v>
      </c>
    </row>
    <row r="77" spans="1:9" ht="13">
      <c r="E77" s="331" t="s">
        <v>450</v>
      </c>
      <c r="F77" s="334">
        <f>(F75-F74)*0</f>
        <v>0</v>
      </c>
      <c r="H77" s="10"/>
    </row>
    <row r="78" spans="1:9" ht="13">
      <c r="E78" s="332" t="s">
        <v>451</v>
      </c>
      <c r="F78" s="333">
        <f>(F76-F74)*0</f>
        <v>0</v>
      </c>
      <c r="H78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A146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6.83203125" customWidth="1"/>
    <col min="3" max="3" width="11.33203125" customWidth="1"/>
    <col min="4" max="4" width="22.83203125" customWidth="1"/>
    <col min="5" max="5" width="26.1640625" customWidth="1"/>
    <col min="6" max="6" width="19.6640625" customWidth="1"/>
    <col min="13" max="13" width="6.6640625" customWidth="1"/>
    <col min="14" max="14" width="3.33203125" customWidth="1"/>
    <col min="17" max="17" width="6.33203125" customWidth="1"/>
    <col min="18" max="18" width="6.83203125" customWidth="1"/>
    <col min="19" max="19" width="10.5" customWidth="1"/>
    <col min="20" max="20" width="11.83203125" customWidth="1"/>
    <col min="21" max="21" width="14.6640625" customWidth="1"/>
    <col min="22" max="22" width="16.6640625" customWidth="1"/>
    <col min="23" max="23" width="13.83203125" customWidth="1"/>
    <col min="24" max="24" width="14.1640625" customWidth="1"/>
    <col min="25" max="25" width="11.33203125" customWidth="1"/>
  </cols>
  <sheetData>
    <row r="1" spans="1:27" ht="28">
      <c r="A1" s="337" t="s">
        <v>465</v>
      </c>
      <c r="B1" s="337" t="s">
        <v>466</v>
      </c>
      <c r="C1" s="338" t="s">
        <v>467</v>
      </c>
      <c r="D1" s="338" t="s">
        <v>468</v>
      </c>
      <c r="E1" s="338" t="s">
        <v>454</v>
      </c>
      <c r="F1" s="338" t="s">
        <v>455</v>
      </c>
      <c r="G1" s="338" t="s">
        <v>469</v>
      </c>
      <c r="H1" s="339" t="s">
        <v>470</v>
      </c>
      <c r="I1" s="339" t="s">
        <v>471</v>
      </c>
      <c r="J1" s="339" t="s">
        <v>472</v>
      </c>
      <c r="K1" s="339" t="s">
        <v>411</v>
      </c>
      <c r="L1" s="339" t="s">
        <v>473</v>
      </c>
      <c r="M1" s="340" t="s">
        <v>4</v>
      </c>
      <c r="Q1" s="45"/>
      <c r="R1" s="341"/>
      <c r="S1" s="45"/>
      <c r="T1" s="45"/>
      <c r="U1" s="45"/>
      <c r="V1" s="45"/>
      <c r="W1" s="45"/>
      <c r="X1" s="45"/>
      <c r="Y1" s="45"/>
      <c r="Z1" s="45"/>
      <c r="AA1" s="45"/>
    </row>
    <row r="2" spans="1:27" ht="13">
      <c r="A2" s="54">
        <v>2022</v>
      </c>
      <c r="B2" s="342">
        <v>44769</v>
      </c>
      <c r="C2" s="343" t="s">
        <v>474</v>
      </c>
      <c r="D2" s="343" t="s">
        <v>475</v>
      </c>
      <c r="E2" s="344" t="s">
        <v>476</v>
      </c>
      <c r="F2" s="343" t="s">
        <v>477</v>
      </c>
      <c r="G2" s="345"/>
      <c r="H2" s="344">
        <v>2450</v>
      </c>
      <c r="I2" s="344">
        <v>2450</v>
      </c>
      <c r="J2" s="345"/>
      <c r="K2" s="345"/>
      <c r="L2" s="345"/>
      <c r="M2" s="343"/>
      <c r="O2" s="45"/>
      <c r="P2" s="341"/>
      <c r="Q2" s="45"/>
      <c r="S2" s="45"/>
      <c r="T2" s="341"/>
      <c r="U2" s="45"/>
      <c r="AA2" s="45"/>
    </row>
    <row r="3" spans="1:27" ht="13">
      <c r="A3" s="54">
        <v>2022</v>
      </c>
      <c r="B3" s="342">
        <v>44774</v>
      </c>
      <c r="C3" s="343" t="s">
        <v>474</v>
      </c>
      <c r="D3" s="343" t="s">
        <v>478</v>
      </c>
      <c r="E3" s="344" t="s">
        <v>479</v>
      </c>
      <c r="F3" s="344" t="s">
        <v>480</v>
      </c>
      <c r="G3" s="345"/>
      <c r="H3" s="344">
        <v>40</v>
      </c>
      <c r="I3" s="344">
        <v>40</v>
      </c>
      <c r="J3" s="345"/>
      <c r="K3" s="345"/>
      <c r="L3" s="345"/>
      <c r="M3" s="343"/>
      <c r="N3" s="45"/>
      <c r="O3" s="54"/>
      <c r="P3" s="346"/>
      <c r="S3" s="54"/>
      <c r="T3" s="346"/>
      <c r="AA3" s="45"/>
    </row>
    <row r="4" spans="1:27" ht="13">
      <c r="A4" s="54">
        <v>2022</v>
      </c>
      <c r="B4" s="342">
        <v>44774</v>
      </c>
      <c r="C4" s="343" t="s">
        <v>481</v>
      </c>
      <c r="D4" s="343" t="s">
        <v>482</v>
      </c>
      <c r="E4" s="344" t="s">
        <v>458</v>
      </c>
      <c r="F4" s="343" t="s">
        <v>459</v>
      </c>
      <c r="G4" s="345"/>
      <c r="H4" s="344">
        <v>4026</v>
      </c>
      <c r="I4" s="344">
        <v>4026</v>
      </c>
      <c r="J4" s="345"/>
      <c r="K4" s="345"/>
      <c r="L4" s="345"/>
      <c r="M4" s="343"/>
      <c r="N4" s="45"/>
      <c r="O4" s="54"/>
      <c r="P4" s="346"/>
      <c r="Q4" s="45"/>
      <c r="S4" s="54"/>
      <c r="T4" s="346"/>
      <c r="U4" s="45"/>
      <c r="AA4" s="45"/>
    </row>
    <row r="5" spans="1:27" ht="13">
      <c r="A5" s="54">
        <v>2022</v>
      </c>
      <c r="B5" s="342">
        <v>44774</v>
      </c>
      <c r="C5" s="343" t="s">
        <v>481</v>
      </c>
      <c r="D5" s="343" t="s">
        <v>482</v>
      </c>
      <c r="E5" s="344" t="s">
        <v>460</v>
      </c>
      <c r="F5" s="343" t="s">
        <v>459</v>
      </c>
      <c r="G5" s="345"/>
      <c r="H5" s="344">
        <v>3294</v>
      </c>
      <c r="I5" s="344">
        <v>3294</v>
      </c>
      <c r="J5" s="345"/>
      <c r="K5" s="345"/>
      <c r="L5" s="345"/>
      <c r="M5" s="343"/>
      <c r="N5" s="45"/>
      <c r="O5" s="45"/>
      <c r="P5" s="45"/>
      <c r="Q5" s="45"/>
      <c r="AA5" s="45"/>
    </row>
    <row r="6" spans="1:27" ht="13">
      <c r="A6" s="54">
        <v>2022</v>
      </c>
      <c r="B6" s="342">
        <v>44774</v>
      </c>
      <c r="C6" s="343" t="s">
        <v>474</v>
      </c>
      <c r="D6" s="343" t="s">
        <v>482</v>
      </c>
      <c r="E6" s="344" t="s">
        <v>483</v>
      </c>
      <c r="F6" s="343" t="s">
        <v>459</v>
      </c>
      <c r="G6" s="345"/>
      <c r="H6" s="344">
        <v>843</v>
      </c>
      <c r="I6" s="344">
        <v>843</v>
      </c>
      <c r="J6" s="345"/>
      <c r="K6" s="345"/>
      <c r="L6" s="345"/>
      <c r="M6" s="343"/>
      <c r="N6" s="45"/>
      <c r="O6" s="45"/>
      <c r="P6" s="45"/>
      <c r="Q6" s="45"/>
      <c r="AA6" s="45"/>
    </row>
    <row r="7" spans="1:27" ht="13">
      <c r="A7" s="54">
        <v>2022</v>
      </c>
      <c r="B7" s="342">
        <v>44774</v>
      </c>
      <c r="C7" s="343" t="s">
        <v>481</v>
      </c>
      <c r="D7" s="343" t="s">
        <v>484</v>
      </c>
      <c r="E7" s="344" t="s">
        <v>63</v>
      </c>
      <c r="F7" s="344" t="s">
        <v>485</v>
      </c>
      <c r="G7" s="345"/>
      <c r="H7" s="344">
        <v>4.68</v>
      </c>
      <c r="I7" s="344">
        <v>4.68</v>
      </c>
      <c r="J7" s="345">
        <v>36.33</v>
      </c>
      <c r="K7" s="345">
        <v>36.33</v>
      </c>
      <c r="L7" s="345"/>
      <c r="M7" s="343"/>
      <c r="N7" s="45"/>
      <c r="O7" s="45"/>
      <c r="P7" s="45"/>
      <c r="Q7" s="45"/>
      <c r="R7" s="347"/>
      <c r="S7" s="348"/>
      <c r="T7" s="348"/>
      <c r="U7" s="349" t="s">
        <v>486</v>
      </c>
      <c r="V7" s="348"/>
      <c r="W7" s="348"/>
      <c r="X7" s="348"/>
      <c r="Y7" s="348"/>
      <c r="Z7" s="350"/>
      <c r="AA7" s="45"/>
    </row>
    <row r="8" spans="1:27" ht="13">
      <c r="A8" s="54">
        <v>2022</v>
      </c>
      <c r="B8" s="342">
        <v>44774</v>
      </c>
      <c r="C8" s="343" t="s">
        <v>481</v>
      </c>
      <c r="D8" s="343" t="s">
        <v>484</v>
      </c>
      <c r="E8" s="344" t="s">
        <v>487</v>
      </c>
      <c r="F8" s="343" t="s">
        <v>488</v>
      </c>
      <c r="G8" s="345"/>
      <c r="H8" s="344"/>
      <c r="I8" s="344"/>
      <c r="J8" s="345">
        <v>48518</v>
      </c>
      <c r="K8" s="345">
        <v>48518</v>
      </c>
      <c r="L8" s="345"/>
      <c r="M8" s="343"/>
      <c r="N8" s="45"/>
      <c r="O8" s="45"/>
      <c r="P8" s="45"/>
      <c r="Q8" s="45"/>
      <c r="R8" s="351" t="s">
        <v>475</v>
      </c>
      <c r="S8" s="351" t="s">
        <v>489</v>
      </c>
      <c r="T8" s="351" t="s">
        <v>490</v>
      </c>
      <c r="U8" s="351" t="s">
        <v>491</v>
      </c>
      <c r="V8" s="351" t="s">
        <v>482</v>
      </c>
      <c r="W8" s="351" t="s">
        <v>492</v>
      </c>
      <c r="X8" s="351" t="s">
        <v>493</v>
      </c>
      <c r="Y8" s="351" t="s">
        <v>494</v>
      </c>
      <c r="Z8" s="351" t="s">
        <v>484</v>
      </c>
      <c r="AA8" s="45"/>
    </row>
    <row r="9" spans="1:27" ht="13">
      <c r="A9" s="54">
        <v>2022</v>
      </c>
      <c r="B9" s="342">
        <v>44774</v>
      </c>
      <c r="C9" s="343" t="s">
        <v>481</v>
      </c>
      <c r="D9" s="343" t="s">
        <v>482</v>
      </c>
      <c r="E9" s="344" t="s">
        <v>495</v>
      </c>
      <c r="F9" s="343" t="s">
        <v>496</v>
      </c>
      <c r="G9" s="345"/>
      <c r="H9" s="344"/>
      <c r="I9" s="344"/>
      <c r="J9" s="345">
        <v>192212</v>
      </c>
      <c r="K9" s="345">
        <v>192212</v>
      </c>
      <c r="L9" s="345"/>
      <c r="M9" s="343"/>
      <c r="N9" s="45"/>
      <c r="O9" s="45"/>
      <c r="P9" s="45"/>
      <c r="Q9" s="45"/>
      <c r="R9" s="352" t="s">
        <v>477</v>
      </c>
      <c r="S9" s="352" t="s">
        <v>463</v>
      </c>
      <c r="T9" s="352" t="s">
        <v>497</v>
      </c>
      <c r="U9" s="352" t="s">
        <v>498</v>
      </c>
      <c r="V9" s="352" t="s">
        <v>499</v>
      </c>
      <c r="W9" s="352" t="s">
        <v>500</v>
      </c>
      <c r="X9" s="352" t="s">
        <v>501</v>
      </c>
      <c r="Y9" s="352" t="s">
        <v>502</v>
      </c>
      <c r="Z9" s="352" t="s">
        <v>503</v>
      </c>
      <c r="AA9" s="45"/>
    </row>
    <row r="10" spans="1:27" ht="13">
      <c r="A10" s="54">
        <v>2022</v>
      </c>
      <c r="B10" s="353">
        <v>44783</v>
      </c>
      <c r="C10" s="354" t="s">
        <v>474</v>
      </c>
      <c r="D10" s="354" t="s">
        <v>475</v>
      </c>
      <c r="E10" s="355" t="s">
        <v>504</v>
      </c>
      <c r="F10" s="354" t="s">
        <v>505</v>
      </c>
      <c r="G10" s="356">
        <v>383700</v>
      </c>
      <c r="H10" s="355">
        <v>90</v>
      </c>
      <c r="I10" s="355">
        <v>90</v>
      </c>
      <c r="J10" s="356"/>
      <c r="K10" s="356"/>
      <c r="L10" s="356"/>
      <c r="M10" s="354"/>
      <c r="N10" s="45"/>
      <c r="O10" s="45"/>
      <c r="P10" s="45"/>
      <c r="Q10" s="45"/>
      <c r="R10" s="352" t="s">
        <v>506</v>
      </c>
      <c r="S10" s="352" t="s">
        <v>507</v>
      </c>
      <c r="T10" s="352" t="s">
        <v>50</v>
      </c>
      <c r="U10" s="352" t="s">
        <v>508</v>
      </c>
      <c r="V10" s="352" t="s">
        <v>509</v>
      </c>
      <c r="W10" s="352" t="s">
        <v>510</v>
      </c>
      <c r="X10" s="352" t="s">
        <v>511</v>
      </c>
      <c r="Y10" s="352" t="s">
        <v>512</v>
      </c>
      <c r="Z10" s="352" t="s">
        <v>513</v>
      </c>
      <c r="AA10" s="45"/>
    </row>
    <row r="11" spans="1:27" ht="13">
      <c r="A11" s="54">
        <v>2022</v>
      </c>
      <c r="B11" s="353">
        <v>44788</v>
      </c>
      <c r="C11" s="354" t="s">
        <v>481</v>
      </c>
      <c r="D11" s="354" t="s">
        <v>493</v>
      </c>
      <c r="E11" s="355" t="s">
        <v>479</v>
      </c>
      <c r="F11" s="344" t="s">
        <v>514</v>
      </c>
      <c r="G11" s="355"/>
      <c r="H11" s="356"/>
      <c r="I11" s="356"/>
      <c r="J11" s="355">
        <v>1232</v>
      </c>
      <c r="K11" s="355"/>
      <c r="L11" s="356"/>
      <c r="M11" s="354"/>
      <c r="N11" s="45"/>
      <c r="Q11" s="45"/>
      <c r="R11" s="352" t="s">
        <v>505</v>
      </c>
      <c r="S11" s="352" t="s">
        <v>515</v>
      </c>
      <c r="T11" s="352" t="s">
        <v>516</v>
      </c>
      <c r="U11" s="352" t="s">
        <v>517</v>
      </c>
      <c r="V11" s="352" t="s">
        <v>518</v>
      </c>
      <c r="W11" s="352" t="s">
        <v>519</v>
      </c>
      <c r="X11" s="352" t="s">
        <v>520</v>
      </c>
      <c r="Y11" s="352" t="s">
        <v>521</v>
      </c>
      <c r="Z11" s="357"/>
      <c r="AA11" s="45"/>
    </row>
    <row r="12" spans="1:27" ht="13">
      <c r="A12" s="54">
        <v>2022</v>
      </c>
      <c r="B12" s="353">
        <v>44791</v>
      </c>
      <c r="C12" s="354" t="s">
        <v>481</v>
      </c>
      <c r="D12" s="354" t="s">
        <v>494</v>
      </c>
      <c r="E12" s="355" t="s">
        <v>502</v>
      </c>
      <c r="F12" s="354" t="s">
        <v>522</v>
      </c>
      <c r="G12" s="355"/>
      <c r="H12" s="356"/>
      <c r="I12" s="356"/>
      <c r="J12" s="355">
        <v>50616</v>
      </c>
      <c r="K12" s="355">
        <v>1232</v>
      </c>
      <c r="L12" s="356"/>
      <c r="M12" s="354"/>
      <c r="N12" s="45"/>
      <c r="Q12" s="45"/>
      <c r="R12" s="352"/>
      <c r="S12" s="352" t="s">
        <v>463</v>
      </c>
      <c r="T12" s="352"/>
      <c r="U12" s="352" t="s">
        <v>523</v>
      </c>
      <c r="V12" s="352" t="s">
        <v>133</v>
      </c>
      <c r="W12" s="352" t="s">
        <v>524</v>
      </c>
      <c r="X12" s="352" t="s">
        <v>514</v>
      </c>
      <c r="Y12" s="352"/>
      <c r="Z12" s="352"/>
      <c r="AA12" s="45"/>
    </row>
    <row r="13" spans="1:27" ht="13">
      <c r="A13" s="54">
        <v>2022</v>
      </c>
      <c r="B13" s="353">
        <v>44791</v>
      </c>
      <c r="C13" s="354" t="s">
        <v>481</v>
      </c>
      <c r="D13" s="354" t="s">
        <v>493</v>
      </c>
      <c r="E13" s="355" t="s">
        <v>63</v>
      </c>
      <c r="F13" s="344" t="s">
        <v>485</v>
      </c>
      <c r="G13" s="355"/>
      <c r="H13" s="356">
        <v>1.9</v>
      </c>
      <c r="I13" s="356">
        <v>1.9</v>
      </c>
      <c r="J13" s="355"/>
      <c r="K13" s="355">
        <v>50616</v>
      </c>
      <c r="L13" s="356"/>
      <c r="M13" s="354"/>
      <c r="N13" s="45"/>
      <c r="O13" s="358"/>
      <c r="P13" s="359"/>
      <c r="Q13" s="45"/>
      <c r="R13" s="352"/>
      <c r="S13" s="352" t="s">
        <v>525</v>
      </c>
      <c r="T13" s="352"/>
      <c r="U13" s="352" t="s">
        <v>526</v>
      </c>
      <c r="V13" s="352" t="s">
        <v>460</v>
      </c>
      <c r="W13" s="352" t="s">
        <v>493</v>
      </c>
      <c r="X13" s="352" t="s">
        <v>527</v>
      </c>
      <c r="Y13" s="352"/>
      <c r="Z13" s="352"/>
      <c r="AA13" s="45"/>
    </row>
    <row r="14" spans="1:27" ht="13">
      <c r="A14" s="54">
        <v>2022</v>
      </c>
      <c r="B14" s="353">
        <v>44792</v>
      </c>
      <c r="C14" s="354" t="s">
        <v>481</v>
      </c>
      <c r="D14" s="354" t="s">
        <v>494</v>
      </c>
      <c r="E14" s="355" t="s">
        <v>512</v>
      </c>
      <c r="F14" s="354" t="s">
        <v>528</v>
      </c>
      <c r="G14" s="355"/>
      <c r="H14" s="356"/>
      <c r="I14" s="356"/>
      <c r="J14" s="355">
        <v>98006</v>
      </c>
      <c r="K14" s="355">
        <v>98006</v>
      </c>
      <c r="L14" s="356"/>
      <c r="M14" s="354"/>
      <c r="N14" s="45"/>
      <c r="O14" s="358" t="s">
        <v>457</v>
      </c>
      <c r="P14" s="359"/>
      <c r="Q14" s="45"/>
      <c r="R14" s="352"/>
      <c r="S14" s="352" t="s">
        <v>529</v>
      </c>
      <c r="T14" s="352"/>
      <c r="U14" s="352" t="s">
        <v>69</v>
      </c>
      <c r="V14" s="352" t="s">
        <v>458</v>
      </c>
      <c r="W14" s="352" t="s">
        <v>530</v>
      </c>
      <c r="X14" s="352"/>
      <c r="Y14" s="352"/>
      <c r="Z14" s="352"/>
      <c r="AA14" s="45"/>
    </row>
    <row r="15" spans="1:27" ht="13">
      <c r="A15" s="54">
        <v>2022</v>
      </c>
      <c r="B15" s="353">
        <v>44792</v>
      </c>
      <c r="C15" s="354" t="s">
        <v>481</v>
      </c>
      <c r="D15" s="354" t="s">
        <v>493</v>
      </c>
      <c r="E15" s="355" t="s">
        <v>63</v>
      </c>
      <c r="F15" s="344" t="s">
        <v>485</v>
      </c>
      <c r="G15" s="355"/>
      <c r="H15" s="356">
        <v>1.9</v>
      </c>
      <c r="I15" s="356">
        <v>1.9</v>
      </c>
      <c r="J15" s="355"/>
      <c r="K15" s="355"/>
      <c r="L15" s="356"/>
      <c r="M15" s="354"/>
      <c r="N15" s="45"/>
      <c r="O15" s="358"/>
      <c r="P15" s="359"/>
      <c r="Q15" s="45"/>
      <c r="R15" s="352"/>
      <c r="S15" s="352" t="s">
        <v>531</v>
      </c>
      <c r="T15" s="352"/>
      <c r="U15" s="352" t="s">
        <v>532</v>
      </c>
      <c r="V15" s="352" t="s">
        <v>483</v>
      </c>
      <c r="W15" s="352"/>
      <c r="X15" s="352"/>
      <c r="Y15" s="352"/>
      <c r="Z15" s="352"/>
      <c r="AA15" s="45"/>
    </row>
    <row r="16" spans="1:27" ht="13">
      <c r="A16" s="54">
        <v>2022</v>
      </c>
      <c r="B16" s="353">
        <v>44804</v>
      </c>
      <c r="C16" s="354" t="s">
        <v>481</v>
      </c>
      <c r="D16" s="354" t="s">
        <v>482</v>
      </c>
      <c r="E16" s="355" t="s">
        <v>460</v>
      </c>
      <c r="F16" s="354" t="s">
        <v>459</v>
      </c>
      <c r="G16" s="355"/>
      <c r="H16" s="356">
        <v>3294</v>
      </c>
      <c r="I16" s="356">
        <v>2700</v>
      </c>
      <c r="J16" s="355"/>
      <c r="K16" s="355"/>
      <c r="L16" s="356">
        <f>594*M16</f>
        <v>24220.35</v>
      </c>
      <c r="M16" s="354">
        <v>40.774999999999999</v>
      </c>
      <c r="N16" s="45"/>
      <c r="O16" s="360">
        <f>SUM(Facturacion!I29:I31)</f>
        <v>169449.54859800002</v>
      </c>
      <c r="P16" s="359"/>
      <c r="Q16" s="45"/>
      <c r="R16" s="352"/>
      <c r="S16" s="352" t="s">
        <v>533</v>
      </c>
      <c r="T16" s="352"/>
      <c r="U16" s="352" t="s">
        <v>534</v>
      </c>
      <c r="V16" s="352" t="s">
        <v>535</v>
      </c>
      <c r="W16" s="352"/>
      <c r="X16" s="352"/>
      <c r="Y16" s="352"/>
      <c r="Z16" s="352"/>
      <c r="AA16" s="45"/>
    </row>
    <row r="17" spans="1:27" ht="13">
      <c r="A17" s="54">
        <v>2022</v>
      </c>
      <c r="B17" s="353">
        <v>44804</v>
      </c>
      <c r="C17" s="354" t="s">
        <v>481</v>
      </c>
      <c r="D17" s="354" t="s">
        <v>482</v>
      </c>
      <c r="E17" s="355" t="s">
        <v>458</v>
      </c>
      <c r="F17" s="354" t="s">
        <v>459</v>
      </c>
      <c r="G17" s="355"/>
      <c r="H17" s="356">
        <v>4026</v>
      </c>
      <c r="I17" s="356">
        <v>3300</v>
      </c>
      <c r="J17" s="355"/>
      <c r="K17" s="355"/>
      <c r="L17" s="356">
        <f>726*M17</f>
        <v>29602.649999999998</v>
      </c>
      <c r="M17" s="354">
        <v>40.774999999999999</v>
      </c>
      <c r="N17" s="45"/>
      <c r="O17" s="358" t="s">
        <v>461</v>
      </c>
      <c r="P17" s="358" t="s">
        <v>462</v>
      </c>
      <c r="Q17" s="45"/>
      <c r="R17" s="352"/>
      <c r="S17" s="352"/>
      <c r="T17" s="352"/>
      <c r="U17" s="352" t="s">
        <v>536</v>
      </c>
      <c r="V17" s="352" t="s">
        <v>537</v>
      </c>
      <c r="W17" s="352"/>
      <c r="X17" s="352"/>
      <c r="Y17" s="352"/>
      <c r="Z17" s="352"/>
      <c r="AA17" s="45"/>
    </row>
    <row r="18" spans="1:27" ht="13">
      <c r="A18" s="54">
        <v>2022</v>
      </c>
      <c r="B18" s="353">
        <v>44804</v>
      </c>
      <c r="C18" s="354" t="s">
        <v>481</v>
      </c>
      <c r="D18" s="354" t="s">
        <v>489</v>
      </c>
      <c r="E18" s="355" t="s">
        <v>463</v>
      </c>
      <c r="F18" s="354" t="s">
        <v>464</v>
      </c>
      <c r="G18" s="355"/>
      <c r="H18" s="356"/>
      <c r="I18" s="356"/>
      <c r="J18" s="355">
        <v>6100</v>
      </c>
      <c r="K18" s="355">
        <v>5000</v>
      </c>
      <c r="L18" s="356">
        <v>1100</v>
      </c>
      <c r="M18" s="354"/>
      <c r="N18" s="45"/>
      <c r="O18" s="360">
        <f>SUM(L2:L19)</f>
        <v>54923</v>
      </c>
      <c r="P18" s="361">
        <f>O16-O18</f>
        <v>114526.54859800002</v>
      </c>
      <c r="Q18" s="45"/>
      <c r="R18" s="352"/>
      <c r="S18" s="352"/>
      <c r="T18" s="352"/>
      <c r="U18" s="352"/>
      <c r="V18" s="352" t="s">
        <v>538</v>
      </c>
      <c r="W18" s="352"/>
      <c r="X18" s="352"/>
      <c r="Y18" s="352"/>
      <c r="Z18" s="352"/>
      <c r="AA18" s="45"/>
    </row>
    <row r="19" spans="1:27" ht="13">
      <c r="A19" s="54">
        <v>2022</v>
      </c>
      <c r="B19" s="353">
        <v>44804</v>
      </c>
      <c r="C19" s="354" t="s">
        <v>481</v>
      </c>
      <c r="D19" s="354" t="s">
        <v>493</v>
      </c>
      <c r="E19" s="355" t="s">
        <v>63</v>
      </c>
      <c r="F19" s="344" t="s">
        <v>539</v>
      </c>
      <c r="G19" s="355"/>
      <c r="H19" s="356"/>
      <c r="I19" s="356"/>
      <c r="J19" s="355">
        <v>743.11</v>
      </c>
      <c r="K19" s="355">
        <v>743.11</v>
      </c>
      <c r="L19" s="356"/>
      <c r="M19" s="354"/>
      <c r="N19" s="45"/>
      <c r="O19" s="360"/>
      <c r="P19" s="361"/>
      <c r="Q19" s="45"/>
      <c r="R19" s="352"/>
      <c r="S19" s="352"/>
      <c r="T19" s="352"/>
      <c r="U19" s="352"/>
      <c r="V19" s="352" t="s">
        <v>540</v>
      </c>
      <c r="W19" s="352"/>
      <c r="X19" s="352"/>
      <c r="Y19" s="352"/>
      <c r="Z19" s="352"/>
      <c r="AA19" s="45"/>
    </row>
    <row r="20" spans="1:27" ht="13">
      <c r="A20" s="54">
        <v>2022</v>
      </c>
      <c r="B20" s="362">
        <v>44805</v>
      </c>
      <c r="C20" s="363" t="s">
        <v>474</v>
      </c>
      <c r="D20" s="363" t="s">
        <v>482</v>
      </c>
      <c r="E20" s="364" t="s">
        <v>483</v>
      </c>
      <c r="F20" s="363" t="s">
        <v>459</v>
      </c>
      <c r="G20" s="364"/>
      <c r="H20" s="365">
        <v>713</v>
      </c>
      <c r="I20" s="365">
        <v>713</v>
      </c>
      <c r="J20" s="364"/>
      <c r="K20" s="364"/>
      <c r="L20" s="365"/>
      <c r="M20" s="363"/>
      <c r="N20" s="45"/>
      <c r="O20" s="366"/>
      <c r="P20" s="111"/>
      <c r="Q20" s="45"/>
      <c r="R20" s="352"/>
      <c r="S20" s="352"/>
      <c r="T20" s="352"/>
      <c r="U20" s="352"/>
      <c r="V20" s="352"/>
      <c r="W20" s="352"/>
      <c r="X20" s="352"/>
      <c r="Y20" s="352"/>
      <c r="Z20" s="352"/>
      <c r="AA20" s="45"/>
    </row>
    <row r="21" spans="1:27" ht="13">
      <c r="A21" s="54">
        <v>2022</v>
      </c>
      <c r="B21" s="362">
        <v>44805</v>
      </c>
      <c r="C21" s="363" t="s">
        <v>474</v>
      </c>
      <c r="D21" s="363" t="s">
        <v>482</v>
      </c>
      <c r="E21" s="364" t="s">
        <v>541</v>
      </c>
      <c r="F21" s="363" t="s">
        <v>459</v>
      </c>
      <c r="G21" s="364"/>
      <c r="H21" s="365">
        <v>514</v>
      </c>
      <c r="I21" s="365">
        <v>514</v>
      </c>
      <c r="J21" s="364"/>
      <c r="K21" s="364"/>
      <c r="L21" s="365"/>
      <c r="M21" s="363"/>
      <c r="N21" s="45"/>
      <c r="O21" s="366"/>
      <c r="P21" s="111"/>
      <c r="Q21" s="45"/>
      <c r="R21" s="352"/>
      <c r="S21" s="352"/>
      <c r="T21" s="352"/>
      <c r="U21" s="352"/>
      <c r="V21" s="352"/>
      <c r="W21" s="352"/>
      <c r="X21" s="352"/>
      <c r="Y21" s="352"/>
      <c r="Z21" s="352"/>
      <c r="AA21" s="45"/>
    </row>
    <row r="22" spans="1:27" ht="13">
      <c r="A22" s="54">
        <v>2022</v>
      </c>
      <c r="B22" s="362">
        <v>44805</v>
      </c>
      <c r="C22" s="363" t="s">
        <v>474</v>
      </c>
      <c r="D22" s="363" t="s">
        <v>482</v>
      </c>
      <c r="E22" s="364" t="s">
        <v>535</v>
      </c>
      <c r="F22" s="363" t="s">
        <v>459</v>
      </c>
      <c r="G22" s="364"/>
      <c r="H22" s="365">
        <v>514</v>
      </c>
      <c r="I22" s="365">
        <v>514</v>
      </c>
      <c r="J22" s="364"/>
      <c r="K22" s="364"/>
      <c r="L22" s="365"/>
      <c r="M22" s="363"/>
      <c r="N22" s="45"/>
      <c r="O22" s="366"/>
      <c r="P22" s="111"/>
      <c r="Q22" s="45"/>
      <c r="R22" s="367"/>
      <c r="S22" s="367"/>
      <c r="T22" s="367"/>
      <c r="U22" s="367"/>
      <c r="V22" s="367"/>
      <c r="W22" s="367"/>
      <c r="X22" s="367"/>
      <c r="Y22" s="367"/>
      <c r="Z22" s="45"/>
      <c r="AA22" s="45"/>
    </row>
    <row r="23" spans="1:27" ht="13">
      <c r="A23" s="54">
        <v>2022</v>
      </c>
      <c r="B23" s="362">
        <v>44805</v>
      </c>
      <c r="C23" s="363" t="s">
        <v>474</v>
      </c>
      <c r="D23" s="363" t="s">
        <v>482</v>
      </c>
      <c r="E23" s="364" t="s">
        <v>542</v>
      </c>
      <c r="F23" s="363" t="s">
        <v>459</v>
      </c>
      <c r="G23" s="364"/>
      <c r="H23" s="365">
        <v>60</v>
      </c>
      <c r="I23" s="365">
        <v>60</v>
      </c>
      <c r="J23" s="364"/>
      <c r="K23" s="364"/>
      <c r="L23" s="365"/>
      <c r="M23" s="363"/>
      <c r="N23" s="45"/>
      <c r="O23" s="366"/>
      <c r="P23" s="111"/>
      <c r="Q23" s="45"/>
      <c r="R23" s="367"/>
      <c r="S23" s="367"/>
      <c r="T23" s="367"/>
      <c r="U23" s="367"/>
      <c r="V23" s="367"/>
      <c r="W23" s="367"/>
      <c r="X23" s="367"/>
      <c r="Y23" s="367"/>
      <c r="Z23" s="45"/>
      <c r="AA23" s="45"/>
    </row>
    <row r="24" spans="1:27" ht="13">
      <c r="A24" s="54">
        <v>2022</v>
      </c>
      <c r="B24" s="362">
        <v>44805</v>
      </c>
      <c r="C24" s="363" t="s">
        <v>481</v>
      </c>
      <c r="D24" s="363" t="s">
        <v>484</v>
      </c>
      <c r="E24" s="364" t="s">
        <v>63</v>
      </c>
      <c r="F24" s="363" t="s">
        <v>480</v>
      </c>
      <c r="G24" s="364"/>
      <c r="H24" s="365"/>
      <c r="I24" s="365"/>
      <c r="J24" s="364">
        <v>82.57</v>
      </c>
      <c r="K24" s="364">
        <v>82.57</v>
      </c>
      <c r="L24" s="365"/>
      <c r="M24" s="363"/>
      <c r="N24" s="45"/>
      <c r="O24" s="366"/>
      <c r="P24" s="111"/>
      <c r="Q24" s="45"/>
      <c r="R24" s="367"/>
      <c r="S24" s="367"/>
      <c r="T24" s="367"/>
      <c r="U24" s="367"/>
      <c r="V24" s="367"/>
      <c r="W24" s="367"/>
      <c r="X24" s="367"/>
      <c r="Y24" s="367"/>
      <c r="Z24" s="45"/>
      <c r="AA24" s="45"/>
    </row>
    <row r="25" spans="1:27" ht="13">
      <c r="A25" s="54">
        <v>2022</v>
      </c>
      <c r="B25" s="362">
        <v>44805</v>
      </c>
      <c r="C25" s="363" t="s">
        <v>481</v>
      </c>
      <c r="D25" s="363" t="s">
        <v>484</v>
      </c>
      <c r="E25" s="364" t="s">
        <v>487</v>
      </c>
      <c r="F25" s="363" t="s">
        <v>488</v>
      </c>
      <c r="G25" s="364"/>
      <c r="H25" s="365"/>
      <c r="I25" s="365"/>
      <c r="J25" s="364">
        <v>48518</v>
      </c>
      <c r="K25" s="364">
        <v>48518</v>
      </c>
      <c r="L25" s="365"/>
      <c r="M25" s="363"/>
      <c r="N25" s="45"/>
      <c r="O25" s="366"/>
      <c r="P25" s="111"/>
      <c r="Q25" s="45"/>
      <c r="R25" s="367"/>
      <c r="S25" s="367"/>
      <c r="T25" s="367"/>
      <c r="U25" s="367"/>
      <c r="V25" s="367"/>
      <c r="W25" s="367"/>
      <c r="X25" s="367"/>
      <c r="Y25" s="367"/>
      <c r="Z25" s="45"/>
      <c r="AA25" s="45"/>
    </row>
    <row r="26" spans="1:27" ht="13">
      <c r="A26" s="54">
        <v>2022</v>
      </c>
      <c r="B26" s="362">
        <v>44805</v>
      </c>
      <c r="C26" s="363" t="s">
        <v>481</v>
      </c>
      <c r="D26" s="363" t="s">
        <v>482</v>
      </c>
      <c r="E26" s="364" t="s">
        <v>495</v>
      </c>
      <c r="F26" s="363" t="s">
        <v>496</v>
      </c>
      <c r="G26" s="364"/>
      <c r="H26" s="365"/>
      <c r="I26" s="365"/>
      <c r="J26" s="364">
        <v>192212</v>
      </c>
      <c r="K26" s="364">
        <v>192212</v>
      </c>
      <c r="L26" s="365"/>
      <c r="M26" s="363"/>
      <c r="N26" s="45"/>
      <c r="O26" s="366"/>
      <c r="P26" s="111"/>
      <c r="Q26" s="45"/>
      <c r="R26" s="367"/>
      <c r="S26" s="367"/>
      <c r="T26" s="367"/>
      <c r="U26" s="367"/>
      <c r="V26" s="367"/>
      <c r="W26" s="367"/>
      <c r="X26" s="367"/>
      <c r="Y26" s="367"/>
      <c r="Z26" s="45"/>
      <c r="AA26" s="45"/>
    </row>
    <row r="27" spans="1:27" ht="13">
      <c r="A27" s="54">
        <v>2022</v>
      </c>
      <c r="B27" s="362">
        <v>44805</v>
      </c>
      <c r="C27" s="363" t="s">
        <v>481</v>
      </c>
      <c r="D27" s="363" t="s">
        <v>484</v>
      </c>
      <c r="E27" s="364" t="s">
        <v>63</v>
      </c>
      <c r="F27" s="363" t="s">
        <v>480</v>
      </c>
      <c r="G27" s="364"/>
      <c r="H27" s="365">
        <v>0.87</v>
      </c>
      <c r="I27" s="365">
        <v>0.87</v>
      </c>
      <c r="J27" s="364">
        <v>36.090000000000003</v>
      </c>
      <c r="K27" s="364">
        <v>36.090000000000003</v>
      </c>
      <c r="L27" s="365"/>
      <c r="M27" s="363"/>
      <c r="N27" s="45"/>
      <c r="O27" s="366"/>
      <c r="P27" s="111"/>
      <c r="Q27" s="45"/>
      <c r="R27" s="367"/>
      <c r="S27" s="367"/>
      <c r="T27" s="367"/>
      <c r="U27" s="367"/>
      <c r="V27" s="367"/>
      <c r="W27" s="367"/>
      <c r="X27" s="367"/>
      <c r="Y27" s="367"/>
      <c r="Z27" s="45"/>
      <c r="AA27" s="45"/>
    </row>
    <row r="28" spans="1:27" ht="13">
      <c r="A28" s="54">
        <v>2022</v>
      </c>
      <c r="B28" s="362">
        <v>44805</v>
      </c>
      <c r="C28" s="363" t="s">
        <v>474</v>
      </c>
      <c r="D28" s="363" t="s">
        <v>478</v>
      </c>
      <c r="E28" s="364" t="s">
        <v>479</v>
      </c>
      <c r="F28" s="363" t="s">
        <v>480</v>
      </c>
      <c r="G28" s="364"/>
      <c r="H28" s="365">
        <v>240</v>
      </c>
      <c r="I28" s="365">
        <v>240</v>
      </c>
      <c r="J28" s="364"/>
      <c r="K28" s="364"/>
      <c r="L28" s="365"/>
      <c r="M28" s="363"/>
      <c r="N28" s="45"/>
      <c r="O28" s="366"/>
      <c r="P28" s="111"/>
      <c r="Q28" s="45"/>
      <c r="R28" s="367"/>
      <c r="S28" s="367"/>
      <c r="T28" s="367"/>
      <c r="U28" s="367"/>
      <c r="V28" s="367"/>
      <c r="W28" s="367"/>
      <c r="X28" s="367"/>
      <c r="Y28" s="367"/>
      <c r="Z28" s="45"/>
      <c r="AA28" s="45"/>
    </row>
    <row r="29" spans="1:27" ht="13">
      <c r="A29" s="54">
        <v>2022</v>
      </c>
      <c r="B29" s="362">
        <v>44811</v>
      </c>
      <c r="C29" s="363" t="s">
        <v>481</v>
      </c>
      <c r="D29" s="363" t="s">
        <v>493</v>
      </c>
      <c r="E29" s="364" t="s">
        <v>63</v>
      </c>
      <c r="F29" s="363" t="s">
        <v>480</v>
      </c>
      <c r="G29" s="364"/>
      <c r="H29" s="365">
        <v>1.9</v>
      </c>
      <c r="I29" s="365">
        <v>1.9</v>
      </c>
      <c r="J29" s="364"/>
      <c r="K29" s="364"/>
      <c r="L29" s="365"/>
      <c r="M29" s="363"/>
      <c r="N29" s="45"/>
      <c r="O29" s="366"/>
      <c r="P29" s="111"/>
      <c r="Q29" s="45"/>
      <c r="R29" s="367"/>
      <c r="S29" s="367"/>
      <c r="T29" s="367"/>
      <c r="U29" s="367"/>
      <c r="V29" s="367"/>
      <c r="W29" s="367"/>
      <c r="X29" s="367"/>
      <c r="Y29" s="367"/>
      <c r="Z29" s="45"/>
      <c r="AA29" s="45"/>
    </row>
    <row r="30" spans="1:27" ht="13">
      <c r="A30" s="54">
        <v>2022</v>
      </c>
      <c r="B30" s="362">
        <v>44813</v>
      </c>
      <c r="C30" s="363" t="s">
        <v>481</v>
      </c>
      <c r="D30" s="363" t="s">
        <v>494</v>
      </c>
      <c r="E30" s="364" t="s">
        <v>502</v>
      </c>
      <c r="F30" s="363" t="s">
        <v>522</v>
      </c>
      <c r="G30" s="364"/>
      <c r="H30" s="365"/>
      <c r="I30" s="365"/>
      <c r="J30" s="364">
        <v>58402</v>
      </c>
      <c r="K30" s="364">
        <v>58402</v>
      </c>
      <c r="L30" s="365"/>
      <c r="M30" s="363"/>
      <c r="N30" s="45"/>
      <c r="O30" s="366"/>
      <c r="P30" s="111"/>
      <c r="Q30" s="45"/>
      <c r="R30" s="367"/>
      <c r="S30" s="367"/>
      <c r="T30" s="367"/>
      <c r="U30" s="367"/>
      <c r="V30" s="367"/>
      <c r="W30" s="367"/>
      <c r="X30" s="367"/>
      <c r="Y30" s="367"/>
      <c r="Z30" s="45"/>
      <c r="AA30" s="45"/>
    </row>
    <row r="31" spans="1:27" ht="13">
      <c r="A31" s="54">
        <v>2022</v>
      </c>
      <c r="B31" s="362">
        <v>44813</v>
      </c>
      <c r="C31" s="363" t="s">
        <v>481</v>
      </c>
      <c r="D31" s="363" t="s">
        <v>494</v>
      </c>
      <c r="E31" s="364" t="s">
        <v>502</v>
      </c>
      <c r="F31" s="363" t="s">
        <v>543</v>
      </c>
      <c r="G31" s="364"/>
      <c r="H31" s="365"/>
      <c r="I31" s="365"/>
      <c r="J31" s="364">
        <v>2767</v>
      </c>
      <c r="K31" s="364">
        <v>2767</v>
      </c>
      <c r="L31" s="365"/>
      <c r="M31" s="363"/>
      <c r="N31" s="45"/>
      <c r="O31" s="366"/>
      <c r="P31" s="111"/>
      <c r="Q31" s="45"/>
      <c r="R31" s="367"/>
      <c r="S31" s="367"/>
      <c r="T31" s="367"/>
      <c r="U31" s="367"/>
      <c r="V31" s="367"/>
      <c r="W31" s="367"/>
      <c r="X31" s="367"/>
      <c r="Y31" s="367"/>
      <c r="Z31" s="45"/>
      <c r="AA31" s="45"/>
    </row>
    <row r="32" spans="1:27" ht="13">
      <c r="A32" s="54">
        <v>2022</v>
      </c>
      <c r="B32" s="362">
        <v>44819</v>
      </c>
      <c r="C32" s="363" t="s">
        <v>481</v>
      </c>
      <c r="D32" s="363" t="s">
        <v>493</v>
      </c>
      <c r="E32" s="364" t="s">
        <v>479</v>
      </c>
      <c r="F32" s="363" t="s">
        <v>514</v>
      </c>
      <c r="G32" s="364"/>
      <c r="H32" s="365"/>
      <c r="I32" s="365"/>
      <c r="J32" s="364">
        <v>1232</v>
      </c>
      <c r="K32" s="364">
        <v>1232</v>
      </c>
      <c r="L32" s="365"/>
      <c r="M32" s="363"/>
      <c r="N32" s="45"/>
      <c r="O32" s="366"/>
      <c r="P32" s="111"/>
      <c r="Q32" s="45"/>
      <c r="R32" s="367"/>
      <c r="S32" s="367"/>
      <c r="T32" s="367"/>
      <c r="U32" s="367"/>
      <c r="V32" s="367"/>
      <c r="W32" s="367"/>
      <c r="X32" s="367"/>
      <c r="Y32" s="367"/>
      <c r="Z32" s="45"/>
      <c r="AA32" s="45"/>
    </row>
    <row r="33" spans="1:27" ht="13">
      <c r="A33" s="54">
        <v>2022</v>
      </c>
      <c r="B33" s="362">
        <v>44821</v>
      </c>
      <c r="C33" s="363" t="s">
        <v>481</v>
      </c>
      <c r="D33" s="363" t="s">
        <v>494</v>
      </c>
      <c r="E33" s="364" t="s">
        <v>521</v>
      </c>
      <c r="F33" s="363" t="s">
        <v>544</v>
      </c>
      <c r="G33" s="364"/>
      <c r="H33" s="365"/>
      <c r="I33" s="365"/>
      <c r="J33" s="364">
        <v>793</v>
      </c>
      <c r="K33" s="364">
        <f>J33-L33</f>
        <v>650.04999999999995</v>
      </c>
      <c r="L33" s="365">
        <v>142.94999999999999</v>
      </c>
      <c r="M33" s="363"/>
      <c r="N33" s="45"/>
      <c r="O33" s="368" t="s">
        <v>457</v>
      </c>
      <c r="P33" s="369"/>
      <c r="Q33" s="45"/>
      <c r="R33" s="367"/>
      <c r="T33" s="367"/>
      <c r="U33" s="367"/>
      <c r="V33" s="367"/>
      <c r="X33" s="367"/>
      <c r="Y33" s="367"/>
      <c r="Z33" s="45"/>
      <c r="AA33" s="45"/>
    </row>
    <row r="34" spans="1:27" ht="13">
      <c r="A34" s="54">
        <v>2022</v>
      </c>
      <c r="B34" s="362">
        <v>44834</v>
      </c>
      <c r="C34" s="370" t="s">
        <v>474</v>
      </c>
      <c r="D34" s="370" t="s">
        <v>545</v>
      </c>
      <c r="E34" s="371" t="s">
        <v>525</v>
      </c>
      <c r="F34" s="370" t="s">
        <v>546</v>
      </c>
      <c r="G34" s="371"/>
      <c r="H34" s="372">
        <v>272</v>
      </c>
      <c r="I34" s="372">
        <v>272</v>
      </c>
      <c r="J34" s="371"/>
      <c r="K34" s="365"/>
      <c r="L34" s="365"/>
      <c r="M34" s="363"/>
      <c r="N34" s="45"/>
      <c r="O34" s="373">
        <f>SUM(Facturacion!I32:I35)</f>
        <v>152225.22260000001</v>
      </c>
      <c r="P34" s="369"/>
      <c r="Q34" s="45"/>
      <c r="R34" s="367"/>
      <c r="T34" s="367"/>
      <c r="U34" s="367"/>
      <c r="V34" s="367"/>
      <c r="X34" s="367"/>
      <c r="Y34" s="367"/>
      <c r="Z34" s="45"/>
      <c r="AA34" s="45"/>
    </row>
    <row r="35" spans="1:27" ht="13">
      <c r="A35" s="54">
        <v>2022</v>
      </c>
      <c r="B35" s="362">
        <v>44834</v>
      </c>
      <c r="C35" s="363" t="s">
        <v>481</v>
      </c>
      <c r="D35" s="363" t="s">
        <v>482</v>
      </c>
      <c r="E35" s="364" t="s">
        <v>460</v>
      </c>
      <c r="F35" s="363" t="s">
        <v>459</v>
      </c>
      <c r="G35" s="364"/>
      <c r="H35" s="365">
        <v>3294</v>
      </c>
      <c r="I35" s="365">
        <v>2700</v>
      </c>
      <c r="J35" s="364"/>
      <c r="K35" s="364"/>
      <c r="L35" s="365">
        <f>594*M35</f>
        <v>24704.460000000003</v>
      </c>
      <c r="M35" s="363">
        <v>41.59</v>
      </c>
      <c r="N35" s="45"/>
      <c r="O35" s="368" t="s">
        <v>461</v>
      </c>
      <c r="P35" s="368" t="s">
        <v>462</v>
      </c>
      <c r="Q35" s="45"/>
      <c r="R35" s="367"/>
      <c r="S35" s="367"/>
      <c r="T35" s="367"/>
      <c r="U35" s="367"/>
      <c r="V35" s="367"/>
      <c r="W35" s="367"/>
      <c r="X35" s="367"/>
      <c r="Y35" s="367"/>
      <c r="Z35" s="45"/>
      <c r="AA35" s="45"/>
    </row>
    <row r="36" spans="1:27" ht="13">
      <c r="A36" s="54">
        <v>2022</v>
      </c>
      <c r="B36" s="362">
        <v>44834</v>
      </c>
      <c r="C36" s="363" t="s">
        <v>481</v>
      </c>
      <c r="D36" s="363" t="s">
        <v>482</v>
      </c>
      <c r="E36" s="364" t="s">
        <v>458</v>
      </c>
      <c r="F36" s="363" t="s">
        <v>459</v>
      </c>
      <c r="G36" s="364"/>
      <c r="H36" s="365">
        <v>4636</v>
      </c>
      <c r="I36" s="365">
        <v>3300</v>
      </c>
      <c r="J36" s="364"/>
      <c r="K36" s="364"/>
      <c r="L36" s="365">
        <f>836*M36</f>
        <v>34769.240000000005</v>
      </c>
      <c r="M36" s="363">
        <v>41.59</v>
      </c>
      <c r="N36" s="45"/>
      <c r="O36" s="373">
        <f>SUM(L20:L39)</f>
        <v>60716.650000000009</v>
      </c>
      <c r="P36" s="374">
        <f>O34-O36</f>
        <v>91508.5726</v>
      </c>
      <c r="Q36" s="45"/>
      <c r="R36" s="367"/>
      <c r="S36" s="367"/>
      <c r="T36" s="367"/>
      <c r="U36" s="367"/>
      <c r="V36" s="367"/>
      <c r="W36" s="367"/>
      <c r="X36" s="367"/>
      <c r="Y36" s="367"/>
      <c r="Z36" s="45"/>
      <c r="AA36" s="45"/>
    </row>
    <row r="37" spans="1:27" ht="13">
      <c r="A37" s="54">
        <v>2022</v>
      </c>
      <c r="B37" s="362">
        <v>44834</v>
      </c>
      <c r="C37" s="363" t="s">
        <v>481</v>
      </c>
      <c r="D37" s="363" t="s">
        <v>489</v>
      </c>
      <c r="E37" s="364" t="s">
        <v>463</v>
      </c>
      <c r="F37" s="363" t="s">
        <v>464</v>
      </c>
      <c r="G37" s="364"/>
      <c r="H37" s="365"/>
      <c r="I37" s="365"/>
      <c r="J37" s="364">
        <v>6100</v>
      </c>
      <c r="K37" s="364">
        <v>5000</v>
      </c>
      <c r="L37" s="365">
        <v>1100</v>
      </c>
      <c r="M37" s="363"/>
      <c r="N37" s="45"/>
      <c r="Q37" s="45"/>
      <c r="R37" s="367"/>
      <c r="S37" s="375"/>
      <c r="T37" s="375"/>
      <c r="U37" s="367"/>
      <c r="V37" s="367"/>
      <c r="W37" s="367"/>
      <c r="X37" s="367"/>
      <c r="Y37" s="367"/>
      <c r="Z37" s="45"/>
      <c r="AA37" s="45"/>
    </row>
    <row r="38" spans="1:27" ht="13">
      <c r="A38" s="54">
        <v>2022</v>
      </c>
      <c r="B38" s="362">
        <v>44834</v>
      </c>
      <c r="C38" s="363" t="s">
        <v>481</v>
      </c>
      <c r="D38" s="363" t="s">
        <v>493</v>
      </c>
      <c r="E38" s="364" t="s">
        <v>63</v>
      </c>
      <c r="F38" s="363" t="s">
        <v>539</v>
      </c>
      <c r="G38" s="364"/>
      <c r="H38" s="365"/>
      <c r="I38" s="365"/>
      <c r="J38" s="364">
        <v>749.17</v>
      </c>
      <c r="K38" s="364">
        <v>749.17</v>
      </c>
      <c r="L38" s="365"/>
      <c r="M38" s="363"/>
      <c r="N38" s="45"/>
      <c r="Q38" s="45"/>
      <c r="R38" s="367"/>
      <c r="S38" s="375"/>
      <c r="T38" s="375"/>
      <c r="U38" s="367"/>
      <c r="V38" s="367"/>
      <c r="W38" s="367"/>
      <c r="X38" s="367"/>
      <c r="Y38" s="367"/>
      <c r="Z38" s="45"/>
      <c r="AA38" s="45"/>
    </row>
    <row r="39" spans="1:27" ht="13">
      <c r="A39" s="54">
        <v>2022</v>
      </c>
      <c r="B39" s="362">
        <v>44834</v>
      </c>
      <c r="C39" s="363" t="s">
        <v>481</v>
      </c>
      <c r="D39" s="363" t="s">
        <v>493</v>
      </c>
      <c r="E39" s="364" t="s">
        <v>63</v>
      </c>
      <c r="F39" s="363" t="s">
        <v>480</v>
      </c>
      <c r="G39" s="364"/>
      <c r="H39" s="365">
        <v>1.9</v>
      </c>
      <c r="I39" s="365"/>
      <c r="J39" s="364">
        <v>83.24</v>
      </c>
      <c r="K39" s="364">
        <v>83.24</v>
      </c>
      <c r="L39" s="365"/>
      <c r="M39" s="363"/>
      <c r="N39" s="45"/>
      <c r="Q39" s="45"/>
      <c r="R39" s="367"/>
      <c r="S39" s="375"/>
      <c r="T39" s="375"/>
      <c r="U39" s="367"/>
      <c r="V39" s="367"/>
      <c r="W39" s="367"/>
      <c r="X39" s="367"/>
      <c r="Y39" s="367"/>
      <c r="Z39" s="45"/>
      <c r="AA39" s="45"/>
    </row>
    <row r="40" spans="1:27" ht="13">
      <c r="A40" s="54">
        <v>2022</v>
      </c>
      <c r="B40" s="376">
        <v>44837</v>
      </c>
      <c r="C40" s="377" t="s">
        <v>481</v>
      </c>
      <c r="D40" s="377" t="s">
        <v>493</v>
      </c>
      <c r="E40" s="377" t="s">
        <v>63</v>
      </c>
      <c r="F40" s="377" t="s">
        <v>480</v>
      </c>
      <c r="G40" s="378"/>
      <c r="H40" s="378">
        <v>2.77</v>
      </c>
      <c r="I40" s="378">
        <v>2.77</v>
      </c>
      <c r="J40" s="378">
        <v>36.31</v>
      </c>
      <c r="K40" s="378">
        <v>36.31</v>
      </c>
      <c r="L40" s="378"/>
      <c r="M40" s="377"/>
      <c r="N40" s="45"/>
      <c r="Q40" s="45"/>
      <c r="R40" s="367"/>
      <c r="S40" s="375"/>
      <c r="T40" s="375"/>
      <c r="U40" s="367"/>
      <c r="V40" s="367"/>
      <c r="W40" s="367"/>
      <c r="X40" s="367"/>
      <c r="Y40" s="367"/>
      <c r="Z40" s="45"/>
      <c r="AA40" s="45"/>
    </row>
    <row r="41" spans="1:27" ht="13">
      <c r="A41" s="54">
        <v>2022</v>
      </c>
      <c r="B41" s="376">
        <v>44837</v>
      </c>
      <c r="C41" s="377" t="s">
        <v>481</v>
      </c>
      <c r="D41" s="377" t="s">
        <v>484</v>
      </c>
      <c r="E41" s="377" t="s">
        <v>487</v>
      </c>
      <c r="F41" s="377" t="s">
        <v>488</v>
      </c>
      <c r="G41" s="378"/>
      <c r="H41" s="378"/>
      <c r="I41" s="378"/>
      <c r="J41" s="378">
        <v>48518</v>
      </c>
      <c r="K41" s="378">
        <v>48518</v>
      </c>
      <c r="L41" s="378"/>
      <c r="M41" s="377"/>
      <c r="N41" s="45"/>
      <c r="Q41" s="45"/>
      <c r="R41" s="367"/>
      <c r="S41" s="375"/>
      <c r="T41" s="375"/>
      <c r="U41" s="367"/>
      <c r="V41" s="367"/>
      <c r="W41" s="367"/>
      <c r="X41" s="367"/>
      <c r="Y41" s="367"/>
      <c r="Z41" s="45"/>
      <c r="AA41" s="45"/>
    </row>
    <row r="42" spans="1:27" ht="13">
      <c r="A42" s="54">
        <v>2022</v>
      </c>
      <c r="B42" s="376">
        <v>44837</v>
      </c>
      <c r="C42" s="377" t="s">
        <v>481</v>
      </c>
      <c r="D42" s="377" t="s">
        <v>482</v>
      </c>
      <c r="E42" s="377" t="s">
        <v>495</v>
      </c>
      <c r="F42" s="377" t="s">
        <v>496</v>
      </c>
      <c r="G42" s="378"/>
      <c r="H42" s="378"/>
      <c r="I42" s="378"/>
      <c r="J42" s="378">
        <v>192212</v>
      </c>
      <c r="K42" s="378">
        <v>192212</v>
      </c>
      <c r="L42" s="378"/>
      <c r="M42" s="377"/>
      <c r="N42" s="45"/>
      <c r="Q42" s="45"/>
      <c r="R42" s="367"/>
      <c r="S42" s="375"/>
      <c r="T42" s="375"/>
      <c r="U42" s="367"/>
      <c r="V42" s="367"/>
      <c r="W42" s="367"/>
      <c r="X42" s="367"/>
      <c r="Y42" s="367"/>
      <c r="Z42" s="45"/>
      <c r="AA42" s="45"/>
    </row>
    <row r="43" spans="1:27" ht="13">
      <c r="A43" s="54">
        <v>2022</v>
      </c>
      <c r="B43" s="376">
        <v>44838</v>
      </c>
      <c r="C43" s="377" t="s">
        <v>474</v>
      </c>
      <c r="D43" s="377" t="s">
        <v>482</v>
      </c>
      <c r="E43" s="377" t="s">
        <v>483</v>
      </c>
      <c r="F43" s="377" t="s">
        <v>459</v>
      </c>
      <c r="G43" s="378"/>
      <c r="H43" s="378">
        <v>700</v>
      </c>
      <c r="I43" s="378">
        <v>700</v>
      </c>
      <c r="J43" s="378"/>
      <c r="K43" s="378"/>
      <c r="L43" s="378"/>
      <c r="M43" s="377"/>
      <c r="N43" s="45"/>
      <c r="Q43" s="45"/>
      <c r="R43" s="367"/>
      <c r="S43" s="375"/>
      <c r="T43" s="375"/>
      <c r="U43" s="367"/>
      <c r="V43" s="367"/>
      <c r="W43" s="367"/>
      <c r="X43" s="367"/>
      <c r="Y43" s="367"/>
      <c r="Z43" s="45"/>
      <c r="AA43" s="45"/>
    </row>
    <row r="44" spans="1:27" ht="13">
      <c r="A44" s="54">
        <v>2022</v>
      </c>
      <c r="B44" s="376">
        <v>44838</v>
      </c>
      <c r="C44" s="377" t="s">
        <v>474</v>
      </c>
      <c r="D44" s="377" t="s">
        <v>482</v>
      </c>
      <c r="E44" s="377" t="s">
        <v>541</v>
      </c>
      <c r="F44" s="377" t="s">
        <v>459</v>
      </c>
      <c r="G44" s="378"/>
      <c r="H44" s="378">
        <v>510</v>
      </c>
      <c r="I44" s="378">
        <v>510</v>
      </c>
      <c r="J44" s="378"/>
      <c r="K44" s="378"/>
      <c r="L44" s="378"/>
      <c r="M44" s="377"/>
      <c r="N44" s="45"/>
      <c r="Q44" s="45"/>
      <c r="R44" s="367"/>
      <c r="S44" s="375"/>
      <c r="T44" s="375"/>
      <c r="U44" s="367"/>
      <c r="V44" s="367"/>
      <c r="W44" s="367"/>
      <c r="X44" s="367"/>
      <c r="Y44" s="367"/>
      <c r="Z44" s="45"/>
      <c r="AA44" s="45"/>
    </row>
    <row r="45" spans="1:27" ht="13">
      <c r="A45" s="54">
        <v>2022</v>
      </c>
      <c r="B45" s="376">
        <v>44838</v>
      </c>
      <c r="C45" s="377" t="s">
        <v>474</v>
      </c>
      <c r="D45" s="377" t="s">
        <v>482</v>
      </c>
      <c r="E45" s="377" t="s">
        <v>535</v>
      </c>
      <c r="F45" s="377" t="s">
        <v>459</v>
      </c>
      <c r="G45" s="378"/>
      <c r="H45" s="378">
        <v>510</v>
      </c>
      <c r="I45" s="378">
        <v>510</v>
      </c>
      <c r="J45" s="378"/>
      <c r="K45" s="378"/>
      <c r="L45" s="378"/>
      <c r="M45" s="377"/>
      <c r="N45" s="45"/>
      <c r="Q45" s="45"/>
      <c r="R45" s="367"/>
      <c r="S45" s="375"/>
      <c r="T45" s="375"/>
      <c r="U45" s="367"/>
      <c r="V45" s="367"/>
      <c r="W45" s="367"/>
      <c r="X45" s="367"/>
      <c r="Y45" s="367"/>
      <c r="Z45" s="45"/>
      <c r="AA45" s="45"/>
    </row>
    <row r="46" spans="1:27" ht="13">
      <c r="A46" s="54">
        <v>2022</v>
      </c>
      <c r="B46" s="376">
        <v>44838</v>
      </c>
      <c r="C46" s="377" t="s">
        <v>474</v>
      </c>
      <c r="D46" s="377" t="s">
        <v>478</v>
      </c>
      <c r="E46" s="377" t="s">
        <v>479</v>
      </c>
      <c r="F46" s="377" t="s">
        <v>547</v>
      </c>
      <c r="G46" s="378"/>
      <c r="H46" s="378">
        <v>120</v>
      </c>
      <c r="I46" s="378">
        <v>120</v>
      </c>
      <c r="J46" s="378"/>
      <c r="K46" s="378"/>
      <c r="L46" s="378"/>
      <c r="M46" s="377"/>
      <c r="N46" s="45"/>
      <c r="Q46" s="45"/>
      <c r="R46" s="367"/>
      <c r="S46" s="375"/>
      <c r="T46" s="375"/>
      <c r="U46" s="367"/>
      <c r="V46" s="367"/>
      <c r="W46" s="367"/>
      <c r="X46" s="367"/>
      <c r="Y46" s="367"/>
      <c r="Z46" s="45"/>
      <c r="AA46" s="45"/>
    </row>
    <row r="47" spans="1:27" ht="13">
      <c r="A47" s="54">
        <v>2022</v>
      </c>
      <c r="B47" s="376">
        <v>44845</v>
      </c>
      <c r="C47" s="377" t="s">
        <v>481</v>
      </c>
      <c r="D47" s="377" t="s">
        <v>494</v>
      </c>
      <c r="E47" s="377" t="s">
        <v>502</v>
      </c>
      <c r="F47" s="377" t="s">
        <v>543</v>
      </c>
      <c r="G47" s="378"/>
      <c r="H47" s="378"/>
      <c r="I47" s="378"/>
      <c r="J47" s="378">
        <v>2767</v>
      </c>
      <c r="K47" s="378">
        <v>2767</v>
      </c>
      <c r="L47" s="378"/>
      <c r="M47" s="377"/>
      <c r="N47" s="45"/>
      <c r="Q47" s="45"/>
      <c r="R47" s="367"/>
      <c r="S47" s="375"/>
      <c r="T47" s="375"/>
      <c r="U47" s="367"/>
      <c r="V47" s="367"/>
      <c r="W47" s="367"/>
      <c r="X47" s="367"/>
      <c r="Y47" s="367"/>
      <c r="Z47" s="45"/>
      <c r="AA47" s="45"/>
    </row>
    <row r="48" spans="1:27" ht="13">
      <c r="A48" s="54">
        <v>2022</v>
      </c>
      <c r="B48" s="376">
        <v>44845</v>
      </c>
      <c r="C48" s="377" t="s">
        <v>481</v>
      </c>
      <c r="D48" s="377" t="s">
        <v>494</v>
      </c>
      <c r="E48" s="377" t="s">
        <v>502</v>
      </c>
      <c r="F48" s="377" t="s">
        <v>522</v>
      </c>
      <c r="G48" s="378"/>
      <c r="H48" s="378"/>
      <c r="I48" s="378"/>
      <c r="J48" s="378">
        <v>58402</v>
      </c>
      <c r="K48" s="378">
        <v>58402</v>
      </c>
      <c r="L48" s="378"/>
      <c r="M48" s="377"/>
      <c r="N48" s="45"/>
      <c r="Q48" s="45"/>
      <c r="R48" s="367"/>
      <c r="S48" s="375"/>
      <c r="T48" s="375"/>
      <c r="U48" s="367"/>
      <c r="V48" s="367"/>
      <c r="W48" s="367"/>
      <c r="X48" s="367"/>
      <c r="Y48" s="367"/>
      <c r="Z48" s="45"/>
      <c r="AA48" s="45"/>
    </row>
    <row r="49" spans="1:27" ht="13">
      <c r="A49" s="54">
        <v>2022</v>
      </c>
      <c r="B49" s="376">
        <v>44848</v>
      </c>
      <c r="C49" s="377" t="s">
        <v>481</v>
      </c>
      <c r="D49" s="377" t="s">
        <v>478</v>
      </c>
      <c r="E49" s="377" t="s">
        <v>479</v>
      </c>
      <c r="F49" s="377" t="s">
        <v>480</v>
      </c>
      <c r="G49" s="378"/>
      <c r="H49" s="378">
        <v>25</v>
      </c>
      <c r="I49" s="378">
        <v>25</v>
      </c>
      <c r="J49" s="378"/>
      <c r="K49" s="378"/>
      <c r="L49" s="378"/>
      <c r="M49" s="377"/>
      <c r="N49" s="45"/>
      <c r="Q49" s="45"/>
      <c r="R49" s="367"/>
      <c r="S49" s="375"/>
      <c r="T49" s="375"/>
      <c r="U49" s="367"/>
      <c r="V49" s="367"/>
      <c r="W49" s="367"/>
      <c r="X49" s="367"/>
      <c r="Y49" s="367"/>
      <c r="Z49" s="45"/>
      <c r="AA49" s="45"/>
    </row>
    <row r="50" spans="1:27" ht="13">
      <c r="A50" s="54">
        <v>2022</v>
      </c>
      <c r="B50" s="376">
        <v>44848</v>
      </c>
      <c r="C50" s="377" t="s">
        <v>481</v>
      </c>
      <c r="D50" s="377" t="s">
        <v>493</v>
      </c>
      <c r="E50" s="377" t="s">
        <v>479</v>
      </c>
      <c r="F50" s="377" t="s">
        <v>514</v>
      </c>
      <c r="G50" s="378"/>
      <c r="H50" s="378"/>
      <c r="I50" s="378"/>
      <c r="J50" s="378">
        <v>1232</v>
      </c>
      <c r="K50" s="378">
        <v>1232</v>
      </c>
      <c r="L50" s="378"/>
      <c r="M50" s="377"/>
      <c r="N50" s="45"/>
      <c r="Q50" s="45"/>
      <c r="R50" s="367"/>
      <c r="S50" s="375"/>
      <c r="T50" s="375"/>
      <c r="U50" s="367"/>
      <c r="V50" s="367"/>
      <c r="W50" s="367"/>
      <c r="X50" s="367"/>
      <c r="Y50" s="367"/>
      <c r="Z50" s="45"/>
      <c r="AA50" s="45"/>
    </row>
    <row r="51" spans="1:27" ht="13">
      <c r="A51" s="54">
        <v>2022</v>
      </c>
      <c r="B51" s="376">
        <v>44854</v>
      </c>
      <c r="C51" s="377" t="s">
        <v>481</v>
      </c>
      <c r="D51" s="377" t="s">
        <v>494</v>
      </c>
      <c r="E51" s="377" t="s">
        <v>521</v>
      </c>
      <c r="F51" s="377" t="s">
        <v>544</v>
      </c>
      <c r="G51" s="378"/>
      <c r="H51" s="378"/>
      <c r="I51" s="378"/>
      <c r="J51" s="378">
        <v>753</v>
      </c>
      <c r="K51" s="378">
        <v>617.24</v>
      </c>
      <c r="L51" s="378">
        <v>135.79</v>
      </c>
      <c r="M51" s="377"/>
      <c r="N51" s="45"/>
      <c r="O51" s="379" t="s">
        <v>457</v>
      </c>
      <c r="P51" s="380"/>
      <c r="Q51" s="45"/>
      <c r="R51" s="367"/>
      <c r="S51" s="375"/>
      <c r="T51" s="375"/>
      <c r="U51" s="367"/>
      <c r="V51" s="367"/>
      <c r="W51" s="367"/>
      <c r="X51" s="367"/>
      <c r="Y51" s="367"/>
      <c r="Z51" s="45"/>
      <c r="AA51" s="45"/>
    </row>
    <row r="52" spans="1:27" ht="13">
      <c r="A52" s="54">
        <v>2022</v>
      </c>
      <c r="B52" s="381">
        <v>44858</v>
      </c>
      <c r="C52" s="377" t="s">
        <v>481</v>
      </c>
      <c r="D52" s="377" t="s">
        <v>491</v>
      </c>
      <c r="E52" s="378" t="s">
        <v>548</v>
      </c>
      <c r="F52" s="377" t="s">
        <v>549</v>
      </c>
      <c r="G52" s="378"/>
      <c r="H52" s="382">
        <v>24</v>
      </c>
      <c r="I52" s="382">
        <v>24</v>
      </c>
      <c r="J52" s="378"/>
      <c r="K52" s="378"/>
      <c r="L52" s="382"/>
      <c r="M52" s="377"/>
      <c r="N52" s="45"/>
      <c r="O52" s="379"/>
      <c r="P52" s="380"/>
      <c r="Q52" s="45"/>
      <c r="R52" s="45"/>
      <c r="S52" s="68"/>
      <c r="T52" s="68"/>
      <c r="U52" s="45"/>
      <c r="V52" s="45"/>
      <c r="W52" s="45"/>
      <c r="X52" s="45"/>
      <c r="Y52" s="45"/>
      <c r="Z52" s="45"/>
      <c r="AA52" s="45"/>
    </row>
    <row r="53" spans="1:27" ht="13">
      <c r="A53" s="54">
        <v>2022</v>
      </c>
      <c r="B53" s="381">
        <v>44858</v>
      </c>
      <c r="C53" s="377" t="s">
        <v>481</v>
      </c>
      <c r="D53" s="377" t="s">
        <v>493</v>
      </c>
      <c r="E53" s="378" t="s">
        <v>479</v>
      </c>
      <c r="F53" s="377" t="s">
        <v>480</v>
      </c>
      <c r="G53" s="378"/>
      <c r="H53" s="382">
        <v>0.88</v>
      </c>
      <c r="I53" s="382">
        <v>0.88</v>
      </c>
      <c r="J53" s="378"/>
      <c r="K53" s="378"/>
      <c r="L53" s="382"/>
      <c r="M53" s="377"/>
      <c r="N53" s="45"/>
      <c r="O53" s="383">
        <f>SUM(Facturacion!I36:I39)</f>
        <v>141570.22934999998</v>
      </c>
      <c r="P53" s="380"/>
      <c r="Q53" s="45"/>
      <c r="R53" s="45"/>
      <c r="S53" s="68"/>
      <c r="T53" s="68"/>
      <c r="U53" s="45"/>
      <c r="V53" s="45"/>
      <c r="W53" s="45"/>
      <c r="X53" s="45"/>
      <c r="Y53" s="45"/>
      <c r="Z53" s="45"/>
      <c r="AA53" s="45"/>
    </row>
    <row r="54" spans="1:27" ht="13">
      <c r="A54" s="54">
        <v>2022</v>
      </c>
      <c r="B54" s="381">
        <v>44861</v>
      </c>
      <c r="C54" s="377" t="s">
        <v>481</v>
      </c>
      <c r="D54" s="377" t="s">
        <v>493</v>
      </c>
      <c r="E54" s="378" t="s">
        <v>493</v>
      </c>
      <c r="F54" s="377" t="s">
        <v>550</v>
      </c>
      <c r="G54" s="378"/>
      <c r="H54" s="384"/>
      <c r="I54" s="384"/>
      <c r="J54" s="378">
        <v>20000</v>
      </c>
      <c r="K54" s="378">
        <v>20000</v>
      </c>
      <c r="L54" s="382"/>
      <c r="M54" s="377"/>
      <c r="N54" s="45"/>
      <c r="O54" s="379" t="s">
        <v>461</v>
      </c>
      <c r="P54" s="379" t="s">
        <v>462</v>
      </c>
      <c r="Q54" s="45"/>
      <c r="R54" s="45"/>
      <c r="S54" s="68"/>
      <c r="T54" s="68"/>
      <c r="U54" s="45"/>
      <c r="V54" s="45"/>
      <c r="W54" s="45"/>
      <c r="X54" s="45"/>
      <c r="Y54" s="45"/>
      <c r="Z54" s="45"/>
      <c r="AA54" s="45"/>
    </row>
    <row r="55" spans="1:27" ht="13">
      <c r="A55" s="54">
        <v>2022</v>
      </c>
      <c r="B55" s="381">
        <v>44861</v>
      </c>
      <c r="C55" s="377" t="s">
        <v>474</v>
      </c>
      <c r="D55" s="377" t="s">
        <v>551</v>
      </c>
      <c r="E55" s="378" t="s">
        <v>552</v>
      </c>
      <c r="F55" s="377" t="s">
        <v>553</v>
      </c>
      <c r="G55" s="378"/>
      <c r="H55" s="382">
        <v>900.21</v>
      </c>
      <c r="I55" s="382">
        <v>900.21</v>
      </c>
      <c r="J55" s="378"/>
      <c r="K55" s="378"/>
      <c r="L55" s="382"/>
      <c r="M55" s="377"/>
      <c r="N55" s="45"/>
      <c r="O55" s="383">
        <f>SUM(L40:L59)</f>
        <v>59249.460000000006</v>
      </c>
      <c r="P55" s="385">
        <f>O53-O55</f>
        <v>82320.769349999973</v>
      </c>
      <c r="Q55" s="45"/>
      <c r="R55" s="45"/>
      <c r="S55" s="68"/>
      <c r="T55" s="68"/>
      <c r="U55" s="45"/>
      <c r="V55" s="45"/>
      <c r="W55" s="45"/>
      <c r="X55" s="45"/>
      <c r="Y55" s="45"/>
      <c r="Z55" s="45"/>
      <c r="AA55" s="45"/>
    </row>
    <row r="56" spans="1:27" ht="13">
      <c r="A56" s="54">
        <v>2022</v>
      </c>
      <c r="B56" s="381">
        <v>44865</v>
      </c>
      <c r="C56" s="377" t="s">
        <v>481</v>
      </c>
      <c r="D56" s="377" t="s">
        <v>482</v>
      </c>
      <c r="E56" s="378" t="s">
        <v>460</v>
      </c>
      <c r="F56" s="377" t="s">
        <v>459</v>
      </c>
      <c r="G56" s="378"/>
      <c r="H56" s="382">
        <v>3294</v>
      </c>
      <c r="I56" s="382">
        <v>2700</v>
      </c>
      <c r="J56" s="378"/>
      <c r="K56" s="378"/>
      <c r="L56" s="382">
        <f>594*M56</f>
        <v>24097.986000000001</v>
      </c>
      <c r="M56" s="377">
        <v>40.569000000000003</v>
      </c>
      <c r="N56" s="45"/>
      <c r="Q56" s="45"/>
      <c r="R56" s="45"/>
      <c r="S56" s="68"/>
      <c r="T56" s="68"/>
      <c r="U56" s="45"/>
      <c r="V56" s="45"/>
      <c r="W56" s="45"/>
      <c r="X56" s="45"/>
      <c r="Y56" s="45"/>
      <c r="Z56" s="45"/>
      <c r="AA56" s="45"/>
    </row>
    <row r="57" spans="1:27" ht="13">
      <c r="A57" s="54">
        <v>2022</v>
      </c>
      <c r="B57" s="381">
        <v>44865</v>
      </c>
      <c r="C57" s="377" t="s">
        <v>481</v>
      </c>
      <c r="D57" s="377" t="s">
        <v>482</v>
      </c>
      <c r="E57" s="378" t="s">
        <v>458</v>
      </c>
      <c r="F57" s="377" t="s">
        <v>459</v>
      </c>
      <c r="G57" s="378"/>
      <c r="H57" s="382">
        <v>4636</v>
      </c>
      <c r="I57" s="382">
        <v>3300</v>
      </c>
      <c r="J57" s="378"/>
      <c r="K57" s="378"/>
      <c r="L57" s="382">
        <f>836*M57</f>
        <v>33915.684000000001</v>
      </c>
      <c r="M57" s="377">
        <v>40.569000000000003</v>
      </c>
      <c r="N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 ht="13">
      <c r="A58" s="54">
        <v>2022</v>
      </c>
      <c r="B58" s="381">
        <v>44865</v>
      </c>
      <c r="C58" s="377" t="s">
        <v>481</v>
      </c>
      <c r="D58" s="377" t="s">
        <v>489</v>
      </c>
      <c r="E58" s="378" t="s">
        <v>463</v>
      </c>
      <c r="F58" s="377" t="s">
        <v>464</v>
      </c>
      <c r="G58" s="378"/>
      <c r="H58" s="382"/>
      <c r="I58" s="382"/>
      <c r="J58" s="378">
        <v>6100</v>
      </c>
      <c r="K58" s="378">
        <v>5000</v>
      </c>
      <c r="L58" s="382">
        <v>1100</v>
      </c>
      <c r="M58" s="377"/>
      <c r="N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 ht="13">
      <c r="A59" s="54">
        <v>2022</v>
      </c>
      <c r="B59" s="381">
        <v>44865</v>
      </c>
      <c r="C59" s="377" t="s">
        <v>481</v>
      </c>
      <c r="D59" s="377" t="s">
        <v>493</v>
      </c>
      <c r="E59" s="378" t="s">
        <v>63</v>
      </c>
      <c r="F59" s="377" t="s">
        <v>539</v>
      </c>
      <c r="G59" s="378"/>
      <c r="H59" s="382">
        <v>1.9</v>
      </c>
      <c r="I59" s="382">
        <v>1.9</v>
      </c>
      <c r="J59" s="378">
        <v>755.47</v>
      </c>
      <c r="K59" s="378">
        <v>755.47</v>
      </c>
      <c r="L59" s="382"/>
      <c r="M59" s="377"/>
      <c r="N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 ht="13">
      <c r="A60" s="54">
        <v>2022</v>
      </c>
      <c r="B60" s="386">
        <v>44866</v>
      </c>
      <c r="C60" s="387" t="s">
        <v>481</v>
      </c>
      <c r="D60" s="387" t="s">
        <v>484</v>
      </c>
      <c r="E60" s="388" t="s">
        <v>63</v>
      </c>
      <c r="F60" s="387" t="s">
        <v>480</v>
      </c>
      <c r="G60" s="388"/>
      <c r="H60" s="388">
        <v>0.88</v>
      </c>
      <c r="I60" s="388">
        <v>0.88</v>
      </c>
      <c r="J60" s="388">
        <v>36.19</v>
      </c>
      <c r="K60" s="388">
        <v>36.19</v>
      </c>
      <c r="L60" s="388"/>
      <c r="M60" s="387"/>
      <c r="N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 ht="13">
      <c r="A61" s="54">
        <v>2022</v>
      </c>
      <c r="B61" s="386">
        <v>44866</v>
      </c>
      <c r="C61" s="387" t="s">
        <v>474</v>
      </c>
      <c r="D61" s="387" t="s">
        <v>478</v>
      </c>
      <c r="E61" s="388" t="s">
        <v>479</v>
      </c>
      <c r="F61" s="387" t="s">
        <v>547</v>
      </c>
      <c r="G61" s="388"/>
      <c r="H61" s="388">
        <v>120</v>
      </c>
      <c r="I61" s="388">
        <v>120</v>
      </c>
      <c r="J61" s="388"/>
      <c r="K61" s="388"/>
      <c r="L61" s="388"/>
      <c r="M61" s="387"/>
      <c r="N61" s="68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 ht="13">
      <c r="A62" s="54">
        <v>2022</v>
      </c>
      <c r="B62" s="386">
        <v>44866</v>
      </c>
      <c r="C62" s="387" t="s">
        <v>474</v>
      </c>
      <c r="D62" s="387" t="s">
        <v>482</v>
      </c>
      <c r="E62" s="388" t="s">
        <v>541</v>
      </c>
      <c r="F62" s="387" t="s">
        <v>459</v>
      </c>
      <c r="G62" s="388"/>
      <c r="H62" s="388">
        <v>482</v>
      </c>
      <c r="I62" s="388">
        <v>482</v>
      </c>
      <c r="J62" s="388"/>
      <c r="K62" s="388"/>
      <c r="L62" s="388"/>
      <c r="M62" s="387"/>
      <c r="N62" s="68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 ht="13">
      <c r="A63" s="54">
        <v>2022</v>
      </c>
      <c r="B63" s="386">
        <v>44866</v>
      </c>
      <c r="C63" s="387" t="s">
        <v>474</v>
      </c>
      <c r="D63" s="387" t="s">
        <v>482</v>
      </c>
      <c r="E63" s="388" t="s">
        <v>535</v>
      </c>
      <c r="F63" s="387" t="s">
        <v>459</v>
      </c>
      <c r="G63" s="388"/>
      <c r="H63" s="388">
        <v>482</v>
      </c>
      <c r="I63" s="388">
        <v>482</v>
      </c>
      <c r="J63" s="388"/>
      <c r="K63" s="388"/>
      <c r="L63" s="388"/>
      <c r="M63" s="387"/>
      <c r="N63" s="68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 ht="13">
      <c r="A64" s="54">
        <v>2022</v>
      </c>
      <c r="B64" s="386">
        <v>44866</v>
      </c>
      <c r="C64" s="387" t="s">
        <v>474</v>
      </c>
      <c r="D64" s="387" t="s">
        <v>482</v>
      </c>
      <c r="E64" s="388" t="s">
        <v>483</v>
      </c>
      <c r="F64" s="387" t="s">
        <v>459</v>
      </c>
      <c r="G64" s="388"/>
      <c r="H64" s="388">
        <v>700</v>
      </c>
      <c r="I64" s="388">
        <v>700</v>
      </c>
      <c r="J64" s="388"/>
      <c r="K64" s="388"/>
      <c r="L64" s="388"/>
      <c r="M64" s="387"/>
      <c r="N64" s="68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 ht="13">
      <c r="A65" s="54">
        <v>2022</v>
      </c>
      <c r="B65" s="386">
        <v>44866</v>
      </c>
      <c r="C65" s="387" t="s">
        <v>481</v>
      </c>
      <c r="D65" s="387" t="s">
        <v>484</v>
      </c>
      <c r="E65" s="388" t="s">
        <v>487</v>
      </c>
      <c r="F65" s="387" t="s">
        <v>488</v>
      </c>
      <c r="G65" s="388"/>
      <c r="H65" s="388"/>
      <c r="I65" s="388"/>
      <c r="J65" s="388">
        <v>48518</v>
      </c>
      <c r="K65" s="388">
        <v>48518</v>
      </c>
      <c r="L65" s="388"/>
      <c r="M65" s="387"/>
      <c r="N65" s="68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 ht="13">
      <c r="A66" s="54">
        <v>2022</v>
      </c>
      <c r="B66" s="386">
        <v>44866</v>
      </c>
      <c r="C66" s="387" t="s">
        <v>481</v>
      </c>
      <c r="D66" s="387" t="s">
        <v>554</v>
      </c>
      <c r="E66" s="388" t="s">
        <v>495</v>
      </c>
      <c r="F66" s="387" t="s">
        <v>496</v>
      </c>
      <c r="G66" s="388"/>
      <c r="H66" s="388"/>
      <c r="I66" s="388"/>
      <c r="J66" s="388">
        <v>192212</v>
      </c>
      <c r="K66" s="388">
        <v>192212</v>
      </c>
      <c r="L66" s="388"/>
      <c r="M66" s="387"/>
      <c r="N66" s="68"/>
      <c r="O66" s="389" t="s">
        <v>457</v>
      </c>
      <c r="P66" s="390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 ht="13">
      <c r="A67" s="54">
        <v>2022</v>
      </c>
      <c r="B67" s="386">
        <v>44869</v>
      </c>
      <c r="C67" s="387" t="s">
        <v>474</v>
      </c>
      <c r="D67" s="387" t="s">
        <v>551</v>
      </c>
      <c r="E67" s="388" t="s">
        <v>530</v>
      </c>
      <c r="F67" s="387" t="s">
        <v>555</v>
      </c>
      <c r="G67" s="388"/>
      <c r="H67" s="388">
        <v>136</v>
      </c>
      <c r="I67" s="388">
        <v>136</v>
      </c>
      <c r="J67" s="388"/>
      <c r="K67" s="388"/>
      <c r="L67" s="388"/>
      <c r="M67" s="387"/>
      <c r="N67" s="45"/>
      <c r="O67" s="389"/>
      <c r="P67" s="390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 ht="13">
      <c r="A68" s="54">
        <v>2022</v>
      </c>
      <c r="B68" s="386">
        <v>44872</v>
      </c>
      <c r="C68" s="387" t="s">
        <v>481</v>
      </c>
      <c r="D68" s="387" t="s">
        <v>493</v>
      </c>
      <c r="E68" s="388" t="s">
        <v>63</v>
      </c>
      <c r="F68" s="387" t="s">
        <v>480</v>
      </c>
      <c r="G68" s="388"/>
      <c r="H68" s="388">
        <v>9.01</v>
      </c>
      <c r="I68" s="388">
        <v>9.01</v>
      </c>
      <c r="J68" s="388"/>
      <c r="K68" s="388"/>
      <c r="L68" s="388"/>
      <c r="M68" s="387"/>
      <c r="N68" s="45"/>
      <c r="O68" s="391">
        <f>SUM(Facturacion!I40:I43)</f>
        <v>146150.68852999998</v>
      </c>
      <c r="P68" s="390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ht="13">
      <c r="A69" s="54">
        <v>2022</v>
      </c>
      <c r="B69" s="386">
        <v>44880</v>
      </c>
      <c r="C69" s="387" t="s">
        <v>481</v>
      </c>
      <c r="D69" s="387" t="s">
        <v>493</v>
      </c>
      <c r="E69" s="388" t="s">
        <v>479</v>
      </c>
      <c r="F69" s="387" t="s">
        <v>514</v>
      </c>
      <c r="G69" s="388"/>
      <c r="H69" s="388"/>
      <c r="I69" s="388"/>
      <c r="J69" s="388">
        <v>1232</v>
      </c>
      <c r="K69" s="388">
        <v>1232</v>
      </c>
      <c r="L69" s="388"/>
      <c r="M69" s="387"/>
      <c r="N69" s="45"/>
      <c r="O69" s="389" t="s">
        <v>461</v>
      </c>
      <c r="P69" s="389" t="s">
        <v>462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ht="13">
      <c r="A70" s="54">
        <v>2022</v>
      </c>
      <c r="B70" s="386">
        <v>44872</v>
      </c>
      <c r="C70" s="387" t="s">
        <v>474</v>
      </c>
      <c r="D70" s="387" t="s">
        <v>551</v>
      </c>
      <c r="E70" s="388" t="s">
        <v>556</v>
      </c>
      <c r="F70" s="387" t="s">
        <v>510</v>
      </c>
      <c r="G70" s="388"/>
      <c r="H70" s="388">
        <v>199.25</v>
      </c>
      <c r="I70" s="388">
        <v>199.25</v>
      </c>
      <c r="J70" s="388"/>
      <c r="K70" s="388"/>
      <c r="L70" s="388"/>
      <c r="M70" s="387"/>
      <c r="N70" s="68"/>
      <c r="O70" s="391">
        <f>SUM(L60:L96)</f>
        <v>57547.770000000004</v>
      </c>
      <c r="P70" s="392">
        <f>O68-O70</f>
        <v>88602.918529999981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 ht="13">
      <c r="A71" s="54">
        <v>2022</v>
      </c>
      <c r="B71" s="386">
        <v>44876</v>
      </c>
      <c r="C71" s="387" t="s">
        <v>474</v>
      </c>
      <c r="D71" s="387" t="s">
        <v>490</v>
      </c>
      <c r="E71" s="388" t="s">
        <v>557</v>
      </c>
      <c r="F71" s="387" t="s">
        <v>558</v>
      </c>
      <c r="G71" s="388"/>
      <c r="H71" s="388">
        <v>459.42</v>
      </c>
      <c r="I71" s="388">
        <v>459.42</v>
      </c>
      <c r="J71" s="388"/>
      <c r="K71" s="388"/>
      <c r="L71" s="388"/>
      <c r="M71" s="387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 ht="13">
      <c r="A72" s="54">
        <v>2022</v>
      </c>
      <c r="B72" s="386">
        <v>44876</v>
      </c>
      <c r="C72" s="387" t="s">
        <v>474</v>
      </c>
      <c r="D72" s="387" t="s">
        <v>551</v>
      </c>
      <c r="E72" s="388" t="s">
        <v>559</v>
      </c>
      <c r="F72" s="387" t="s">
        <v>560</v>
      </c>
      <c r="G72" s="388"/>
      <c r="H72" s="388">
        <v>37.99</v>
      </c>
      <c r="I72" s="388">
        <v>37.99</v>
      </c>
      <c r="J72" s="388"/>
      <c r="K72" s="388"/>
      <c r="L72" s="388"/>
      <c r="M72" s="387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 ht="13">
      <c r="A73" s="54">
        <v>2022</v>
      </c>
      <c r="B73" s="386">
        <v>44877</v>
      </c>
      <c r="C73" s="387" t="s">
        <v>474</v>
      </c>
      <c r="D73" s="387" t="s">
        <v>551</v>
      </c>
      <c r="E73" s="388" t="s">
        <v>561</v>
      </c>
      <c r="F73" s="387" t="s">
        <v>510</v>
      </c>
      <c r="G73" s="388"/>
      <c r="H73" s="388">
        <v>273.52999999999997</v>
      </c>
      <c r="I73" s="388">
        <v>273.52999999999997</v>
      </c>
      <c r="J73" s="388"/>
      <c r="K73" s="388"/>
      <c r="L73" s="388"/>
      <c r="M73" s="387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 ht="13">
      <c r="A74" s="54">
        <v>2022</v>
      </c>
      <c r="B74" s="386">
        <v>44879</v>
      </c>
      <c r="C74" s="387" t="s">
        <v>481</v>
      </c>
      <c r="D74" s="387" t="s">
        <v>494</v>
      </c>
      <c r="E74" s="388" t="s">
        <v>502</v>
      </c>
      <c r="F74" s="387" t="s">
        <v>543</v>
      </c>
      <c r="G74" s="388"/>
      <c r="H74" s="388"/>
      <c r="I74" s="388"/>
      <c r="J74" s="388">
        <v>2767</v>
      </c>
      <c r="K74" s="388">
        <v>2767</v>
      </c>
      <c r="L74" s="388"/>
      <c r="M74" s="387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 ht="13">
      <c r="A75" s="54">
        <v>2022</v>
      </c>
      <c r="B75" s="386">
        <v>44879</v>
      </c>
      <c r="C75" s="387" t="s">
        <v>481</v>
      </c>
      <c r="D75" s="387" t="s">
        <v>494</v>
      </c>
      <c r="E75" s="388" t="s">
        <v>502</v>
      </c>
      <c r="F75" s="387" t="s">
        <v>522</v>
      </c>
      <c r="G75" s="388"/>
      <c r="H75" s="388"/>
      <c r="I75" s="388"/>
      <c r="J75" s="388">
        <v>58182</v>
      </c>
      <c r="K75" s="388">
        <v>58182</v>
      </c>
      <c r="L75" s="388"/>
      <c r="M75" s="387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 ht="13">
      <c r="A76" s="54">
        <v>2022</v>
      </c>
      <c r="B76" s="386">
        <v>44879</v>
      </c>
      <c r="C76" s="387" t="s">
        <v>481</v>
      </c>
      <c r="D76" s="387" t="s">
        <v>493</v>
      </c>
      <c r="E76" s="388" t="s">
        <v>63</v>
      </c>
      <c r="F76" s="387" t="s">
        <v>480</v>
      </c>
      <c r="G76" s="388"/>
      <c r="H76" s="388">
        <v>1.9</v>
      </c>
      <c r="I76" s="388">
        <v>1.9</v>
      </c>
      <c r="J76" s="388"/>
      <c r="K76" s="388"/>
      <c r="L76" s="388"/>
      <c r="M76" s="387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 ht="13">
      <c r="A77" s="54">
        <v>2022</v>
      </c>
      <c r="B77" s="386">
        <v>44880</v>
      </c>
      <c r="C77" s="387" t="s">
        <v>481</v>
      </c>
      <c r="D77" s="387" t="s">
        <v>493</v>
      </c>
      <c r="E77" s="388" t="s">
        <v>63</v>
      </c>
      <c r="F77" s="387" t="s">
        <v>480</v>
      </c>
      <c r="G77" s="388"/>
      <c r="H77" s="388">
        <v>5.1100000000000003</v>
      </c>
      <c r="I77" s="388">
        <v>5.1100000000000003</v>
      </c>
      <c r="J77" s="388"/>
      <c r="K77" s="388"/>
      <c r="L77" s="388"/>
      <c r="M77" s="38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 ht="13">
      <c r="A78" s="54">
        <v>2022</v>
      </c>
      <c r="B78" s="386">
        <v>44880</v>
      </c>
      <c r="C78" s="387" t="s">
        <v>474</v>
      </c>
      <c r="D78" s="387" t="s">
        <v>475</v>
      </c>
      <c r="E78" s="388" t="s">
        <v>562</v>
      </c>
      <c r="F78" s="387" t="s">
        <v>563</v>
      </c>
      <c r="G78" s="388"/>
      <c r="H78" s="388">
        <v>1443.79</v>
      </c>
      <c r="I78" s="388">
        <v>1443.79</v>
      </c>
      <c r="J78" s="388"/>
      <c r="K78" s="388"/>
      <c r="L78" s="388"/>
      <c r="M78" s="387"/>
      <c r="N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 ht="13">
      <c r="A79" s="54">
        <v>2022</v>
      </c>
      <c r="B79" s="386">
        <v>44882</v>
      </c>
      <c r="C79" s="387" t="s">
        <v>474</v>
      </c>
      <c r="D79" s="387" t="s">
        <v>493</v>
      </c>
      <c r="E79" s="388" t="s">
        <v>479</v>
      </c>
      <c r="F79" s="387" t="s">
        <v>514</v>
      </c>
      <c r="G79" s="388"/>
      <c r="H79" s="388">
        <v>25</v>
      </c>
      <c r="I79" s="388">
        <v>25</v>
      </c>
      <c r="J79" s="388"/>
      <c r="K79" s="388"/>
      <c r="L79" s="388"/>
      <c r="M79" s="387"/>
      <c r="N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 ht="13">
      <c r="A80" s="54">
        <v>2022</v>
      </c>
      <c r="B80" s="386">
        <v>44883</v>
      </c>
      <c r="C80" s="387" t="s">
        <v>481</v>
      </c>
      <c r="D80" s="387" t="s">
        <v>494</v>
      </c>
      <c r="E80" s="388" t="s">
        <v>521</v>
      </c>
      <c r="F80" s="387" t="s">
        <v>544</v>
      </c>
      <c r="G80" s="388"/>
      <c r="H80" s="388"/>
      <c r="I80" s="388"/>
      <c r="J80" s="388">
        <v>753</v>
      </c>
      <c r="K80" s="388">
        <f>J80-L80</f>
        <v>617.20000000000005</v>
      </c>
      <c r="L80" s="388">
        <v>135.80000000000001</v>
      </c>
      <c r="M80" s="387"/>
      <c r="N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 ht="13">
      <c r="A81" s="54">
        <v>2022</v>
      </c>
      <c r="B81" s="386">
        <v>44886</v>
      </c>
      <c r="C81" s="387" t="s">
        <v>481</v>
      </c>
      <c r="D81" s="387" t="s">
        <v>493</v>
      </c>
      <c r="E81" s="388" t="s">
        <v>63</v>
      </c>
      <c r="F81" s="387" t="s">
        <v>480</v>
      </c>
      <c r="G81" s="388"/>
      <c r="H81" s="388">
        <v>3.1</v>
      </c>
      <c r="I81" s="388">
        <v>3.1</v>
      </c>
      <c r="J81" s="388"/>
      <c r="K81" s="388"/>
      <c r="L81" s="388"/>
      <c r="M81" s="387"/>
      <c r="N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 ht="13">
      <c r="A82" s="54">
        <v>2022</v>
      </c>
      <c r="B82" s="386">
        <v>44893</v>
      </c>
      <c r="C82" s="387" t="s">
        <v>481</v>
      </c>
      <c r="D82" s="387" t="s">
        <v>493</v>
      </c>
      <c r="E82" s="388" t="s">
        <v>479</v>
      </c>
      <c r="F82" s="387" t="s">
        <v>480</v>
      </c>
      <c r="G82" s="388"/>
      <c r="H82" s="388">
        <v>1.9</v>
      </c>
      <c r="I82" s="388">
        <v>1.9</v>
      </c>
      <c r="J82" s="388"/>
      <c r="K82" s="388"/>
      <c r="L82" s="388"/>
      <c r="M82" s="387"/>
      <c r="N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 ht="13">
      <c r="A83" s="54">
        <v>2022</v>
      </c>
      <c r="B83" s="386">
        <v>44893</v>
      </c>
      <c r="C83" s="387" t="s">
        <v>474</v>
      </c>
      <c r="D83" s="387" t="s">
        <v>551</v>
      </c>
      <c r="E83" s="388" t="s">
        <v>564</v>
      </c>
      <c r="F83" s="387" t="s">
        <v>565</v>
      </c>
      <c r="G83" s="388"/>
      <c r="H83" s="388"/>
      <c r="I83" s="388"/>
      <c r="J83" s="388">
        <v>-1000</v>
      </c>
      <c r="K83" s="388">
        <v>-1000</v>
      </c>
      <c r="L83" s="388"/>
      <c r="M83" s="38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 ht="13">
      <c r="A84" s="54">
        <v>2022</v>
      </c>
      <c r="B84" s="386">
        <v>44895</v>
      </c>
      <c r="C84" s="387" t="s">
        <v>474</v>
      </c>
      <c r="D84" s="387" t="s">
        <v>551</v>
      </c>
      <c r="E84" s="388" t="s">
        <v>564</v>
      </c>
      <c r="F84" s="387" t="s">
        <v>566</v>
      </c>
      <c r="G84" s="388"/>
      <c r="H84" s="388">
        <f t="shared" ref="H84:I84" si="0">300.22+170.31+103.25</f>
        <v>573.78</v>
      </c>
      <c r="I84" s="388">
        <f t="shared" si="0"/>
        <v>573.78</v>
      </c>
      <c r="J84" s="388"/>
      <c r="K84" s="388"/>
      <c r="L84" s="388"/>
      <c r="M84" s="387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 ht="13">
      <c r="A85" s="54">
        <v>2022</v>
      </c>
      <c r="B85" s="386">
        <v>44895</v>
      </c>
      <c r="C85" s="387" t="s">
        <v>481</v>
      </c>
      <c r="D85" s="387" t="s">
        <v>482</v>
      </c>
      <c r="E85" s="387" t="s">
        <v>458</v>
      </c>
      <c r="F85" s="387" t="s">
        <v>459</v>
      </c>
      <c r="G85" s="387"/>
      <c r="H85" s="388">
        <f>4636</f>
        <v>4636</v>
      </c>
      <c r="I85" s="388">
        <v>3800</v>
      </c>
      <c r="J85" s="388"/>
      <c r="K85" s="388"/>
      <c r="L85" s="388">
        <f>836*M85</f>
        <v>32920.843999999997</v>
      </c>
      <c r="M85" s="388">
        <v>39.378999999999998</v>
      </c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 ht="13">
      <c r="A86" s="54">
        <v>2022</v>
      </c>
      <c r="B86" s="386">
        <v>44895</v>
      </c>
      <c r="C86" s="387" t="s">
        <v>481</v>
      </c>
      <c r="D86" s="387" t="s">
        <v>482</v>
      </c>
      <c r="E86" s="387" t="s">
        <v>460</v>
      </c>
      <c r="F86" s="387" t="s">
        <v>459</v>
      </c>
      <c r="G86" s="387"/>
      <c r="H86" s="388">
        <f>3294</f>
        <v>3294</v>
      </c>
      <c r="I86" s="388">
        <v>2700</v>
      </c>
      <c r="J86" s="388"/>
      <c r="K86" s="388"/>
      <c r="L86" s="393">
        <f>594*M86</f>
        <v>23391.126</v>
      </c>
      <c r="M86" s="388">
        <v>39.378999999999998</v>
      </c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 ht="13">
      <c r="A87" s="54">
        <v>2022</v>
      </c>
      <c r="B87" s="386">
        <v>44895</v>
      </c>
      <c r="C87" s="387" t="s">
        <v>474</v>
      </c>
      <c r="D87" s="387" t="s">
        <v>482</v>
      </c>
      <c r="E87" s="387" t="s">
        <v>483</v>
      </c>
      <c r="F87" s="387" t="s">
        <v>459</v>
      </c>
      <c r="G87" s="387"/>
      <c r="H87" s="388">
        <v>671</v>
      </c>
      <c r="I87" s="388">
        <v>671</v>
      </c>
      <c r="J87" s="388"/>
      <c r="K87" s="388"/>
      <c r="L87" s="388"/>
      <c r="M87" s="388"/>
      <c r="N87" s="45"/>
      <c r="O87" s="394"/>
      <c r="P87" s="22"/>
      <c r="Q87" s="22"/>
      <c r="S87" s="45"/>
      <c r="T87" s="45"/>
      <c r="U87" s="45"/>
      <c r="V87" s="45"/>
      <c r="W87" s="45"/>
      <c r="X87" s="45"/>
      <c r="Y87" s="45"/>
      <c r="Z87" s="45"/>
      <c r="AA87" s="45"/>
    </row>
    <row r="88" spans="1:27" ht="13">
      <c r="A88" s="54">
        <v>2022</v>
      </c>
      <c r="B88" s="386">
        <v>44895</v>
      </c>
      <c r="C88" s="387" t="s">
        <v>474</v>
      </c>
      <c r="D88" s="387" t="s">
        <v>482</v>
      </c>
      <c r="E88" s="387" t="s">
        <v>535</v>
      </c>
      <c r="F88" s="387" t="s">
        <v>459</v>
      </c>
      <c r="G88" s="387"/>
      <c r="H88" s="388">
        <v>495</v>
      </c>
      <c r="I88" s="388">
        <v>495</v>
      </c>
      <c r="J88" s="388"/>
      <c r="K88" s="388"/>
      <c r="L88" s="388"/>
      <c r="M88" s="388"/>
      <c r="N88" s="45"/>
      <c r="O88" s="394"/>
      <c r="P88" s="22"/>
      <c r="Q88" s="22"/>
      <c r="S88" s="45"/>
      <c r="T88" s="45"/>
      <c r="U88" s="45"/>
      <c r="V88" s="45"/>
      <c r="W88" s="45"/>
      <c r="X88" s="45"/>
      <c r="Y88" s="45"/>
      <c r="Z88" s="45"/>
      <c r="AA88" s="45"/>
    </row>
    <row r="89" spans="1:27" ht="13">
      <c r="A89" s="54">
        <v>2022</v>
      </c>
      <c r="B89" s="386">
        <v>44895</v>
      </c>
      <c r="C89" s="387" t="s">
        <v>474</v>
      </c>
      <c r="D89" s="387" t="s">
        <v>482</v>
      </c>
      <c r="E89" s="387" t="s">
        <v>541</v>
      </c>
      <c r="F89" s="387" t="s">
        <v>459</v>
      </c>
      <c r="G89" s="387"/>
      <c r="H89" s="388">
        <v>486</v>
      </c>
      <c r="I89" s="388">
        <v>486</v>
      </c>
      <c r="J89" s="388"/>
      <c r="K89" s="388"/>
      <c r="L89" s="388"/>
      <c r="M89" s="388"/>
      <c r="N89" s="45"/>
      <c r="O89" s="394"/>
      <c r="P89" s="22"/>
      <c r="Q89" s="22"/>
      <c r="S89" s="45"/>
      <c r="T89" s="45"/>
      <c r="U89" s="45"/>
      <c r="V89" s="45"/>
      <c r="W89" s="45"/>
      <c r="X89" s="45"/>
      <c r="Y89" s="45"/>
      <c r="Z89" s="45"/>
      <c r="AA89" s="45"/>
    </row>
    <row r="90" spans="1:27" ht="13">
      <c r="A90" s="54">
        <v>2022</v>
      </c>
      <c r="B90" s="386">
        <v>44895</v>
      </c>
      <c r="C90" s="387" t="s">
        <v>474</v>
      </c>
      <c r="D90" s="387" t="s">
        <v>482</v>
      </c>
      <c r="E90" s="387" t="s">
        <v>537</v>
      </c>
      <c r="F90" s="387" t="s">
        <v>459</v>
      </c>
      <c r="G90" s="387"/>
      <c r="H90" s="388">
        <v>225</v>
      </c>
      <c r="I90" s="388">
        <v>225</v>
      </c>
      <c r="J90" s="388"/>
      <c r="K90" s="388"/>
      <c r="L90" s="388"/>
      <c r="M90" s="388"/>
      <c r="N90" s="45"/>
      <c r="O90" s="394"/>
      <c r="P90" s="22"/>
      <c r="Q90" s="22"/>
      <c r="S90" s="45"/>
      <c r="T90" s="45"/>
      <c r="U90" s="45"/>
      <c r="V90" s="45"/>
      <c r="W90" s="45"/>
      <c r="X90" s="45"/>
      <c r="Y90" s="45"/>
      <c r="Z90" s="45"/>
      <c r="AA90" s="45"/>
    </row>
    <row r="91" spans="1:27" ht="13">
      <c r="A91" s="54">
        <v>2022</v>
      </c>
      <c r="B91" s="386">
        <v>44895</v>
      </c>
      <c r="C91" s="387" t="s">
        <v>474</v>
      </c>
      <c r="D91" s="387" t="s">
        <v>551</v>
      </c>
      <c r="E91" s="387" t="s">
        <v>567</v>
      </c>
      <c r="F91" s="387" t="s">
        <v>568</v>
      </c>
      <c r="G91" s="387"/>
      <c r="H91" s="388">
        <v>45.79</v>
      </c>
      <c r="I91" s="388">
        <v>45.79</v>
      </c>
      <c r="J91" s="388"/>
      <c r="K91" s="388"/>
      <c r="L91" s="388"/>
      <c r="M91" s="388"/>
      <c r="N91" s="45"/>
      <c r="O91" s="394"/>
      <c r="P91" s="22"/>
      <c r="Q91" s="22"/>
      <c r="S91" s="45"/>
      <c r="T91" s="45"/>
      <c r="U91" s="45"/>
      <c r="V91" s="45"/>
      <c r="W91" s="45"/>
      <c r="X91" s="45"/>
      <c r="Y91" s="45"/>
      <c r="Z91" s="45"/>
      <c r="AA91" s="45"/>
    </row>
    <row r="92" spans="1:27" ht="13">
      <c r="A92" s="54">
        <v>2022</v>
      </c>
      <c r="B92" s="386">
        <v>44895</v>
      </c>
      <c r="C92" s="387" t="s">
        <v>481</v>
      </c>
      <c r="D92" s="387" t="s">
        <v>489</v>
      </c>
      <c r="E92" s="387" t="s">
        <v>463</v>
      </c>
      <c r="F92" s="387" t="s">
        <v>464</v>
      </c>
      <c r="G92" s="387"/>
      <c r="H92" s="388"/>
      <c r="I92" s="388"/>
      <c r="J92" s="388">
        <v>6100</v>
      </c>
      <c r="K92" s="388">
        <f>J92-L92</f>
        <v>5000</v>
      </c>
      <c r="L92" s="388">
        <v>1100</v>
      </c>
      <c r="M92" s="388"/>
      <c r="N92" s="45"/>
      <c r="O92" s="394"/>
      <c r="P92" s="22"/>
      <c r="Q92" s="22"/>
      <c r="S92" s="45"/>
      <c r="T92" s="45"/>
      <c r="U92" s="45"/>
      <c r="V92" s="45"/>
      <c r="W92" s="45"/>
      <c r="X92" s="45"/>
      <c r="Y92" s="45"/>
      <c r="Z92" s="45"/>
      <c r="AA92" s="45"/>
    </row>
    <row r="93" spans="1:27" ht="13">
      <c r="A93" s="54">
        <v>2022</v>
      </c>
      <c r="B93" s="395">
        <v>44896</v>
      </c>
      <c r="C93" s="396" t="s">
        <v>481</v>
      </c>
      <c r="D93" s="396" t="s">
        <v>484</v>
      </c>
      <c r="E93" s="396" t="s">
        <v>63</v>
      </c>
      <c r="F93" s="396" t="s">
        <v>480</v>
      </c>
      <c r="G93" s="396"/>
      <c r="H93" s="397">
        <v>2.8</v>
      </c>
      <c r="I93" s="397">
        <v>2.8</v>
      </c>
      <c r="J93" s="397"/>
      <c r="K93" s="397"/>
      <c r="L93" s="397"/>
      <c r="M93" s="397"/>
      <c r="N93" s="45"/>
      <c r="O93" s="394"/>
      <c r="P93" s="22"/>
      <c r="Q93" s="22"/>
      <c r="S93" s="45"/>
      <c r="T93" s="45"/>
      <c r="U93" s="45"/>
      <c r="V93" s="45"/>
      <c r="W93" s="45"/>
      <c r="X93" s="45"/>
      <c r="Y93" s="45"/>
      <c r="Z93" s="45"/>
      <c r="AA93" s="45"/>
    </row>
    <row r="94" spans="1:27" ht="13">
      <c r="A94" s="54">
        <v>2022</v>
      </c>
      <c r="B94" s="395">
        <v>44896</v>
      </c>
      <c r="C94" s="396" t="s">
        <v>481</v>
      </c>
      <c r="D94" s="396" t="s">
        <v>554</v>
      </c>
      <c r="E94" s="396" t="s">
        <v>495</v>
      </c>
      <c r="F94" s="396" t="s">
        <v>496</v>
      </c>
      <c r="G94" s="396"/>
      <c r="H94" s="397"/>
      <c r="I94" s="397"/>
      <c r="J94" s="397">
        <v>192212</v>
      </c>
      <c r="K94" s="397">
        <v>192212</v>
      </c>
      <c r="L94" s="397"/>
      <c r="M94" s="397"/>
      <c r="N94" s="45"/>
      <c r="O94" s="394"/>
      <c r="P94" s="22"/>
      <c r="Q94" s="22"/>
      <c r="S94" s="45"/>
      <c r="T94" s="45"/>
      <c r="U94" s="45"/>
      <c r="V94" s="45"/>
      <c r="W94" s="45"/>
      <c r="X94" s="45"/>
      <c r="Y94" s="45"/>
      <c r="Z94" s="45"/>
      <c r="AA94" s="45"/>
    </row>
    <row r="95" spans="1:27" ht="13">
      <c r="A95" s="54">
        <v>2022</v>
      </c>
      <c r="B95" s="395">
        <v>44896</v>
      </c>
      <c r="C95" s="396" t="s">
        <v>481</v>
      </c>
      <c r="D95" s="396" t="s">
        <v>484</v>
      </c>
      <c r="E95" s="396" t="s">
        <v>487</v>
      </c>
      <c r="F95" s="396" t="s">
        <v>488</v>
      </c>
      <c r="G95" s="396"/>
      <c r="H95" s="397"/>
      <c r="I95" s="397"/>
      <c r="J95" s="397">
        <v>69689</v>
      </c>
      <c r="K95" s="397">
        <v>69689</v>
      </c>
      <c r="L95" s="397"/>
      <c r="M95" s="397"/>
      <c r="N95" s="45"/>
      <c r="O95" s="394"/>
      <c r="P95" s="22"/>
      <c r="Q95" s="22"/>
      <c r="S95" s="45"/>
      <c r="T95" s="45"/>
      <c r="U95" s="45"/>
      <c r="V95" s="45"/>
      <c r="W95" s="45"/>
      <c r="X95" s="45"/>
      <c r="Y95" s="45"/>
      <c r="Z95" s="45"/>
      <c r="AA95" s="45"/>
    </row>
    <row r="96" spans="1:27" ht="13">
      <c r="A96" s="54">
        <v>2022</v>
      </c>
      <c r="B96" s="395">
        <v>44896</v>
      </c>
      <c r="C96" s="396" t="s">
        <v>474</v>
      </c>
      <c r="D96" s="396" t="s">
        <v>478</v>
      </c>
      <c r="E96" s="396" t="s">
        <v>479</v>
      </c>
      <c r="F96" s="396" t="s">
        <v>480</v>
      </c>
      <c r="G96" s="396"/>
      <c r="H96" s="397">
        <f t="shared" ref="H96:I96" si="1">40+40+40+40</f>
        <v>160</v>
      </c>
      <c r="I96" s="397">
        <f t="shared" si="1"/>
        <v>160</v>
      </c>
      <c r="J96" s="397"/>
      <c r="K96" s="397"/>
      <c r="L96" s="397"/>
      <c r="M96" s="397"/>
      <c r="N96" s="45"/>
      <c r="O96" s="394"/>
      <c r="P96" s="22"/>
      <c r="Q96" s="22"/>
      <c r="S96" s="45"/>
      <c r="T96" s="45"/>
      <c r="U96" s="45"/>
      <c r="V96" s="45"/>
      <c r="W96" s="45"/>
      <c r="X96" s="45"/>
      <c r="Y96" s="45"/>
      <c r="Z96" s="45"/>
      <c r="AA96" s="45"/>
    </row>
    <row r="97" spans="1:27" ht="13">
      <c r="A97" s="54">
        <v>2022</v>
      </c>
      <c r="B97" s="395">
        <v>44904</v>
      </c>
      <c r="C97" s="396" t="s">
        <v>474</v>
      </c>
      <c r="D97" s="396" t="s">
        <v>493</v>
      </c>
      <c r="E97" s="396" t="s">
        <v>479</v>
      </c>
      <c r="F97" s="396" t="s">
        <v>514</v>
      </c>
      <c r="G97" s="396"/>
      <c r="H97" s="397">
        <v>25</v>
      </c>
      <c r="I97" s="397">
        <v>25</v>
      </c>
      <c r="J97" s="397"/>
      <c r="K97" s="397"/>
      <c r="L97" s="397"/>
      <c r="M97" s="397"/>
      <c r="N97" s="45"/>
      <c r="O97" s="394"/>
      <c r="P97" s="22"/>
      <c r="Q97" s="22"/>
      <c r="S97" s="45"/>
      <c r="T97" s="45"/>
      <c r="U97" s="45"/>
      <c r="V97" s="45"/>
      <c r="W97" s="45"/>
      <c r="X97" s="45"/>
      <c r="Y97" s="45"/>
      <c r="Z97" s="45"/>
      <c r="AA97" s="45"/>
    </row>
    <row r="98" spans="1:27" ht="13">
      <c r="A98" s="54">
        <v>2022</v>
      </c>
      <c r="B98" s="395">
        <v>44907</v>
      </c>
      <c r="C98" s="396" t="s">
        <v>481</v>
      </c>
      <c r="D98" s="396" t="s">
        <v>494</v>
      </c>
      <c r="E98" s="396" t="s">
        <v>502</v>
      </c>
      <c r="F98" s="396" t="s">
        <v>522</v>
      </c>
      <c r="G98" s="396"/>
      <c r="H98" s="397"/>
      <c r="I98" s="397"/>
      <c r="J98" s="398">
        <v>55532</v>
      </c>
      <c r="K98" s="398">
        <v>55532</v>
      </c>
      <c r="L98" s="397"/>
      <c r="M98" s="397"/>
      <c r="N98" s="45"/>
      <c r="O98" s="394"/>
      <c r="P98" s="22"/>
      <c r="Q98" s="22"/>
      <c r="S98" s="45"/>
      <c r="T98" s="45"/>
      <c r="U98" s="45"/>
      <c r="V98" s="45"/>
      <c r="W98" s="45"/>
      <c r="X98" s="45"/>
      <c r="Y98" s="45"/>
      <c r="Z98" s="45"/>
      <c r="AA98" s="45"/>
    </row>
    <row r="99" spans="1:27" ht="13">
      <c r="A99" s="54">
        <v>2022</v>
      </c>
      <c r="B99" s="395">
        <v>44907</v>
      </c>
      <c r="C99" s="396" t="s">
        <v>481</v>
      </c>
      <c r="D99" s="396" t="s">
        <v>494</v>
      </c>
      <c r="E99" s="396" t="s">
        <v>502</v>
      </c>
      <c r="F99" s="396" t="s">
        <v>543</v>
      </c>
      <c r="G99" s="396"/>
      <c r="H99" s="397"/>
      <c r="I99" s="397"/>
      <c r="J99" s="398">
        <v>2562</v>
      </c>
      <c r="K99" s="398">
        <v>2562</v>
      </c>
      <c r="L99" s="397"/>
      <c r="M99" s="397"/>
      <c r="N99" s="45"/>
      <c r="O99" s="394"/>
      <c r="P99" s="22"/>
      <c r="Q99" s="22"/>
      <c r="S99" s="45"/>
      <c r="T99" s="45"/>
      <c r="U99" s="45"/>
      <c r="V99" s="45"/>
      <c r="W99" s="45"/>
      <c r="X99" s="45"/>
      <c r="Y99" s="45"/>
      <c r="Z99" s="45"/>
      <c r="AA99" s="45"/>
    </row>
    <row r="100" spans="1:27" ht="13">
      <c r="A100" s="54">
        <v>2022</v>
      </c>
      <c r="B100" s="395">
        <v>44909</v>
      </c>
      <c r="C100" s="396" t="s">
        <v>481</v>
      </c>
      <c r="D100" s="396" t="s">
        <v>493</v>
      </c>
      <c r="E100" s="396" t="s">
        <v>569</v>
      </c>
      <c r="F100" s="396" t="s">
        <v>570</v>
      </c>
      <c r="G100" s="396"/>
      <c r="H100" s="397"/>
      <c r="I100" s="397"/>
      <c r="J100" s="397">
        <v>21868</v>
      </c>
      <c r="K100" s="397">
        <f>J100-L100</f>
        <v>17924.59</v>
      </c>
      <c r="L100" s="397">
        <v>3943.41</v>
      </c>
      <c r="M100" s="397"/>
      <c r="N100" s="45"/>
      <c r="O100" s="394"/>
      <c r="P100" s="22"/>
      <c r="Q100" s="22"/>
      <c r="S100" s="45"/>
      <c r="T100" s="45"/>
      <c r="U100" s="45"/>
      <c r="V100" s="45"/>
      <c r="W100" s="45"/>
      <c r="X100" s="45"/>
      <c r="Y100" s="45"/>
      <c r="Z100" s="45"/>
      <c r="AA100" s="45"/>
    </row>
    <row r="101" spans="1:27" ht="13">
      <c r="A101" s="54">
        <v>2022</v>
      </c>
      <c r="B101" s="395">
        <v>44910</v>
      </c>
      <c r="C101" s="396" t="s">
        <v>481</v>
      </c>
      <c r="D101" s="396" t="s">
        <v>493</v>
      </c>
      <c r="E101" s="396" t="s">
        <v>479</v>
      </c>
      <c r="F101" s="396" t="s">
        <v>514</v>
      </c>
      <c r="G101" s="396"/>
      <c r="H101" s="397"/>
      <c r="I101" s="397"/>
      <c r="J101" s="397">
        <v>1232</v>
      </c>
      <c r="K101" s="397">
        <v>1232</v>
      </c>
      <c r="L101" s="397"/>
      <c r="M101" s="397"/>
      <c r="N101" s="45"/>
      <c r="O101" s="394"/>
      <c r="P101" s="22"/>
      <c r="Q101" s="22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 ht="13">
      <c r="A102" s="54">
        <v>2022</v>
      </c>
      <c r="B102" s="395">
        <v>44912</v>
      </c>
      <c r="C102" s="396" t="s">
        <v>474</v>
      </c>
      <c r="D102" s="396" t="s">
        <v>475</v>
      </c>
      <c r="E102" s="396" t="s">
        <v>571</v>
      </c>
      <c r="F102" s="396" t="s">
        <v>572</v>
      </c>
      <c r="G102" s="397">
        <v>1075000</v>
      </c>
      <c r="H102" s="397">
        <f>G102/4600</f>
        <v>233.69565217391303</v>
      </c>
      <c r="I102" s="397">
        <v>233.7</v>
      </c>
      <c r="J102" s="397"/>
      <c r="K102" s="397"/>
      <c r="L102" s="397"/>
      <c r="M102" s="397"/>
      <c r="N102" s="45"/>
      <c r="O102" s="394"/>
      <c r="P102" s="22"/>
      <c r="Q102" s="22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 ht="13">
      <c r="A103" s="54">
        <v>2022</v>
      </c>
      <c r="B103" s="395">
        <v>44912</v>
      </c>
      <c r="C103" s="396" t="s">
        <v>481</v>
      </c>
      <c r="D103" s="396" t="s">
        <v>489</v>
      </c>
      <c r="E103" s="396" t="s">
        <v>521</v>
      </c>
      <c r="F103" s="396" t="s">
        <v>544</v>
      </c>
      <c r="G103" s="396"/>
      <c r="H103" s="397"/>
      <c r="I103" s="397"/>
      <c r="J103" s="397">
        <v>728</v>
      </c>
      <c r="K103" s="397">
        <f>J103-L103</f>
        <v>596.73</v>
      </c>
      <c r="L103" s="397">
        <v>131.27000000000001</v>
      </c>
      <c r="M103" s="397"/>
      <c r="N103" s="45"/>
      <c r="O103" s="394"/>
      <c r="P103" s="22"/>
      <c r="Q103" s="22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 ht="13">
      <c r="A104" s="54">
        <v>2022</v>
      </c>
      <c r="B104" s="395">
        <v>44923</v>
      </c>
      <c r="C104" s="396" t="s">
        <v>481</v>
      </c>
      <c r="D104" s="396" t="s">
        <v>493</v>
      </c>
      <c r="E104" s="396" t="s">
        <v>479</v>
      </c>
      <c r="F104" s="396" t="s">
        <v>480</v>
      </c>
      <c r="G104" s="396"/>
      <c r="H104" s="397">
        <v>1.9</v>
      </c>
      <c r="I104" s="397">
        <v>1.9</v>
      </c>
      <c r="J104" s="397"/>
      <c r="K104" s="397"/>
      <c r="L104" s="397"/>
      <c r="M104" s="397"/>
      <c r="N104" s="45"/>
      <c r="P104" s="45"/>
      <c r="Q104" s="22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 ht="13">
      <c r="A105" s="54">
        <v>2022</v>
      </c>
      <c r="B105" s="395">
        <v>44924</v>
      </c>
      <c r="C105" s="396" t="s">
        <v>474</v>
      </c>
      <c r="D105" s="396" t="s">
        <v>478</v>
      </c>
      <c r="E105" s="396" t="s">
        <v>479</v>
      </c>
      <c r="F105" s="396" t="s">
        <v>480</v>
      </c>
      <c r="G105" s="396"/>
      <c r="H105" s="397">
        <v>160</v>
      </c>
      <c r="I105" s="397">
        <v>160</v>
      </c>
      <c r="J105" s="397"/>
      <c r="K105" s="397"/>
      <c r="L105" s="397"/>
      <c r="M105" s="397"/>
      <c r="N105" s="45"/>
      <c r="O105" s="49" t="s">
        <v>457</v>
      </c>
      <c r="P105" s="45"/>
      <c r="Q105" s="22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 ht="13">
      <c r="A106" s="54">
        <v>2022</v>
      </c>
      <c r="B106" s="395">
        <v>44924</v>
      </c>
      <c r="C106" s="396" t="s">
        <v>474</v>
      </c>
      <c r="D106" s="396" t="s">
        <v>482</v>
      </c>
      <c r="E106" s="396" t="s">
        <v>483</v>
      </c>
      <c r="F106" s="396" t="s">
        <v>459</v>
      </c>
      <c r="G106" s="396"/>
      <c r="H106" s="397">
        <v>743</v>
      </c>
      <c r="I106" s="397">
        <v>743</v>
      </c>
      <c r="J106" s="397"/>
      <c r="K106" s="397"/>
      <c r="L106" s="397"/>
      <c r="M106" s="397"/>
      <c r="N106" s="45"/>
      <c r="O106" s="68">
        <f>SUM(Facturacion!I44:I50)</f>
        <v>325162.94364840002</v>
      </c>
      <c r="P106" s="45"/>
      <c r="Q106" s="22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 ht="13">
      <c r="A107" s="54">
        <v>2022</v>
      </c>
      <c r="B107" s="395">
        <v>44924</v>
      </c>
      <c r="C107" s="396" t="s">
        <v>474</v>
      </c>
      <c r="D107" s="396" t="s">
        <v>482</v>
      </c>
      <c r="E107" s="396" t="s">
        <v>535</v>
      </c>
      <c r="F107" s="396" t="s">
        <v>459</v>
      </c>
      <c r="G107" s="396"/>
      <c r="H107" s="397">
        <v>650</v>
      </c>
      <c r="I107" s="397">
        <v>650</v>
      </c>
      <c r="J107" s="397"/>
      <c r="K107" s="397"/>
      <c r="L107" s="397"/>
      <c r="M107" s="397"/>
      <c r="N107" s="45"/>
      <c r="O107" s="49" t="s">
        <v>461</v>
      </c>
      <c r="P107" s="49" t="s">
        <v>462</v>
      </c>
      <c r="Q107" s="22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 ht="13">
      <c r="A108" s="54">
        <v>2022</v>
      </c>
      <c r="B108" s="395">
        <v>44924</v>
      </c>
      <c r="C108" s="396" t="s">
        <v>474</v>
      </c>
      <c r="D108" s="396" t="s">
        <v>482</v>
      </c>
      <c r="E108" s="396" t="s">
        <v>541</v>
      </c>
      <c r="F108" s="396" t="s">
        <v>459</v>
      </c>
      <c r="G108" s="396"/>
      <c r="H108" s="397">
        <v>650</v>
      </c>
      <c r="I108" s="397">
        <v>650</v>
      </c>
      <c r="J108" s="397"/>
      <c r="K108" s="397"/>
      <c r="L108" s="397"/>
      <c r="M108" s="397"/>
      <c r="N108" s="45"/>
      <c r="O108" s="68">
        <f>SUM(L93:L111)</f>
        <v>5174.68</v>
      </c>
      <c r="P108" s="55">
        <f>O106-O108</f>
        <v>319988.26364840002</v>
      </c>
      <c r="Q108" s="22"/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 ht="13">
      <c r="A109" s="54">
        <v>2022</v>
      </c>
      <c r="B109" s="395">
        <v>44924</v>
      </c>
      <c r="C109" s="396" t="s">
        <v>474</v>
      </c>
      <c r="D109" s="396" t="s">
        <v>482</v>
      </c>
      <c r="E109" s="396" t="s">
        <v>537</v>
      </c>
      <c r="F109" s="396" t="s">
        <v>459</v>
      </c>
      <c r="G109" s="396"/>
      <c r="H109" s="397">
        <v>464</v>
      </c>
      <c r="I109" s="397">
        <v>464</v>
      </c>
      <c r="J109" s="397"/>
      <c r="K109" s="397"/>
      <c r="L109" s="397"/>
      <c r="M109" s="397"/>
      <c r="N109" s="45"/>
      <c r="O109" s="394"/>
      <c r="P109" s="22"/>
      <c r="Q109" s="22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 ht="13">
      <c r="A110" s="54">
        <v>2022</v>
      </c>
      <c r="B110" s="395">
        <v>44925</v>
      </c>
      <c r="C110" s="396" t="s">
        <v>481</v>
      </c>
      <c r="D110" s="396" t="s">
        <v>493</v>
      </c>
      <c r="E110" s="396" t="s">
        <v>479</v>
      </c>
      <c r="F110" s="396" t="s">
        <v>480</v>
      </c>
      <c r="G110" s="396"/>
      <c r="H110" s="397">
        <v>10</v>
      </c>
      <c r="I110" s="397">
        <v>10</v>
      </c>
      <c r="J110" s="397"/>
      <c r="K110" s="397"/>
      <c r="L110" s="397"/>
      <c r="M110" s="397"/>
      <c r="N110" s="45"/>
      <c r="O110" s="394"/>
      <c r="P110" s="22"/>
      <c r="Q110" s="22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 ht="13">
      <c r="A111" s="54">
        <v>2022</v>
      </c>
      <c r="B111" s="399">
        <v>44925</v>
      </c>
      <c r="C111" s="400" t="s">
        <v>481</v>
      </c>
      <c r="D111" s="400" t="s">
        <v>489</v>
      </c>
      <c r="E111" s="400" t="s">
        <v>463</v>
      </c>
      <c r="F111" s="400" t="s">
        <v>464</v>
      </c>
      <c r="G111" s="400"/>
      <c r="H111" s="401"/>
      <c r="I111" s="401"/>
      <c r="J111" s="401">
        <v>6100</v>
      </c>
      <c r="K111" s="401">
        <f>J111-L111</f>
        <v>5000</v>
      </c>
      <c r="L111" s="401">
        <v>1100</v>
      </c>
      <c r="M111" s="401"/>
      <c r="N111" s="45"/>
      <c r="O111" s="107"/>
      <c r="P111" s="22"/>
      <c r="Q111" s="22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 ht="13">
      <c r="A112" s="54">
        <v>2022</v>
      </c>
      <c r="B112" s="399">
        <v>44925</v>
      </c>
      <c r="C112" s="402" t="s">
        <v>481</v>
      </c>
      <c r="D112" s="402" t="s">
        <v>484</v>
      </c>
      <c r="E112" s="402" t="s">
        <v>487</v>
      </c>
      <c r="F112" s="403" t="s">
        <v>488</v>
      </c>
      <c r="G112" s="395"/>
      <c r="H112" s="404"/>
      <c r="I112" s="404"/>
      <c r="J112" s="397">
        <v>32694</v>
      </c>
      <c r="K112" s="397">
        <v>32694</v>
      </c>
      <c r="L112" s="404"/>
      <c r="M112" s="395"/>
      <c r="N112" s="45"/>
      <c r="O112" s="107"/>
      <c r="P112" s="22"/>
      <c r="Q112" s="22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 ht="13">
      <c r="A113" s="54">
        <v>2022</v>
      </c>
      <c r="B113" s="399">
        <v>44925</v>
      </c>
      <c r="C113" s="403" t="s">
        <v>481</v>
      </c>
      <c r="D113" s="403" t="s">
        <v>494</v>
      </c>
      <c r="E113" s="403" t="s">
        <v>502</v>
      </c>
      <c r="F113" s="403" t="s">
        <v>522</v>
      </c>
      <c r="G113" s="395"/>
      <c r="H113" s="404"/>
      <c r="I113" s="404"/>
      <c r="J113" s="397">
        <v>46077</v>
      </c>
      <c r="K113" s="397">
        <v>46077</v>
      </c>
      <c r="L113" s="404"/>
      <c r="M113" s="395"/>
      <c r="N113" s="45"/>
      <c r="O113" s="83" t="s">
        <v>573</v>
      </c>
      <c r="P113" s="22"/>
      <c r="Q113" s="22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 ht="13">
      <c r="A114" s="54">
        <v>2022</v>
      </c>
      <c r="B114" s="399">
        <v>44925</v>
      </c>
      <c r="C114" s="402" t="s">
        <v>481</v>
      </c>
      <c r="D114" s="403" t="s">
        <v>482</v>
      </c>
      <c r="E114" s="403" t="s">
        <v>495</v>
      </c>
      <c r="F114" s="403" t="s">
        <v>496</v>
      </c>
      <c r="G114" s="395"/>
      <c r="H114" s="404"/>
      <c r="I114" s="404"/>
      <c r="J114" s="397">
        <v>192212</v>
      </c>
      <c r="K114" s="397">
        <v>192212</v>
      </c>
      <c r="L114" s="404"/>
      <c r="M114" s="395"/>
      <c r="N114" s="45"/>
      <c r="O114" s="107"/>
      <c r="P114" s="22"/>
      <c r="Q114" s="22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 ht="13">
      <c r="A115" s="54">
        <v>2022</v>
      </c>
      <c r="B115" s="405">
        <v>44926</v>
      </c>
      <c r="C115" s="406" t="s">
        <v>481</v>
      </c>
      <c r="D115" s="406" t="s">
        <v>494</v>
      </c>
      <c r="E115" s="406" t="s">
        <v>512</v>
      </c>
      <c r="F115" s="406" t="s">
        <v>574</v>
      </c>
      <c r="G115" s="405"/>
      <c r="H115" s="407"/>
      <c r="I115" s="407"/>
      <c r="J115" s="408">
        <v>12623</v>
      </c>
      <c r="K115" s="408">
        <v>12623</v>
      </c>
      <c r="L115" s="407"/>
      <c r="M115" s="405"/>
      <c r="N115" s="45"/>
      <c r="O115" s="107"/>
      <c r="P115" s="22"/>
      <c r="Q115" s="22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 ht="13">
      <c r="A116" s="54">
        <v>2023</v>
      </c>
      <c r="B116" s="409">
        <v>44935</v>
      </c>
      <c r="C116" s="410" t="s">
        <v>474</v>
      </c>
      <c r="D116" s="410" t="s">
        <v>493</v>
      </c>
      <c r="E116" s="410" t="s">
        <v>479</v>
      </c>
      <c r="F116" s="410" t="s">
        <v>514</v>
      </c>
      <c r="G116" s="410"/>
      <c r="H116" s="411">
        <v>25</v>
      </c>
      <c r="I116" s="411">
        <v>25</v>
      </c>
      <c r="J116" s="412"/>
      <c r="K116" s="411"/>
      <c r="L116" s="411"/>
      <c r="M116" s="411"/>
      <c r="N116" s="45"/>
      <c r="O116" s="45"/>
      <c r="P116" s="341"/>
      <c r="Q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spans="1:27" ht="13">
      <c r="A117" s="54">
        <v>2023</v>
      </c>
      <c r="B117" s="413">
        <v>44935</v>
      </c>
      <c r="C117" s="414" t="s">
        <v>481</v>
      </c>
      <c r="D117" s="414" t="s">
        <v>491</v>
      </c>
      <c r="E117" s="414" t="s">
        <v>575</v>
      </c>
      <c r="F117" s="414" t="s">
        <v>576</v>
      </c>
      <c r="G117" s="414"/>
      <c r="H117" s="415">
        <v>8.77</v>
      </c>
      <c r="I117" s="415">
        <v>8.77</v>
      </c>
      <c r="J117" s="416"/>
      <c r="K117" s="415"/>
      <c r="L117" s="415"/>
      <c r="M117" s="415"/>
      <c r="N117" s="45"/>
      <c r="O117" s="54"/>
      <c r="P117" s="346"/>
      <c r="S117" s="45"/>
      <c r="T117" s="45"/>
      <c r="U117" s="45"/>
      <c r="V117" s="45"/>
      <c r="W117" s="45"/>
      <c r="X117" s="45"/>
      <c r="Y117" s="45"/>
      <c r="Z117" s="45"/>
      <c r="AA117" s="45"/>
    </row>
    <row r="118" spans="1:27" ht="13">
      <c r="A118" s="54">
        <v>2023</v>
      </c>
      <c r="B118" s="413">
        <v>44936</v>
      </c>
      <c r="C118" s="414" t="s">
        <v>474</v>
      </c>
      <c r="D118" s="414" t="s">
        <v>490</v>
      </c>
      <c r="E118" s="414" t="s">
        <v>557</v>
      </c>
      <c r="F118" s="414" t="s">
        <v>558</v>
      </c>
      <c r="G118" s="414"/>
      <c r="H118" s="415">
        <v>262</v>
      </c>
      <c r="I118" s="415">
        <v>262</v>
      </c>
      <c r="J118" s="416"/>
      <c r="K118" s="415"/>
      <c r="L118" s="415"/>
      <c r="M118" s="415"/>
      <c r="N118" s="45"/>
      <c r="O118" s="54"/>
      <c r="P118" s="346"/>
      <c r="Q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 ht="13">
      <c r="A119" s="54">
        <v>2023</v>
      </c>
      <c r="B119" s="413">
        <v>44937</v>
      </c>
      <c r="C119" s="414" t="s">
        <v>481</v>
      </c>
      <c r="D119" s="414" t="s">
        <v>494</v>
      </c>
      <c r="E119" s="414" t="s">
        <v>502</v>
      </c>
      <c r="F119" s="414" t="s">
        <v>522</v>
      </c>
      <c r="G119" s="414"/>
      <c r="H119" s="415"/>
      <c r="I119" s="415"/>
      <c r="J119" s="415">
        <v>59380</v>
      </c>
      <c r="K119" s="415">
        <v>59380</v>
      </c>
      <c r="L119" s="415"/>
      <c r="M119" s="415"/>
      <c r="N119" s="45"/>
      <c r="O119" s="34"/>
      <c r="P119" s="22"/>
      <c r="Q119" s="22"/>
      <c r="S119" s="45"/>
      <c r="T119" s="68"/>
      <c r="U119" s="45"/>
      <c r="V119" s="45"/>
      <c r="W119" s="45"/>
      <c r="X119" s="45"/>
      <c r="Y119" s="45"/>
      <c r="Z119" s="45"/>
      <c r="AA119" s="45"/>
    </row>
    <row r="120" spans="1:27" ht="13">
      <c r="A120" s="54">
        <v>2023</v>
      </c>
      <c r="B120" s="413">
        <v>44937</v>
      </c>
      <c r="C120" s="414" t="s">
        <v>481</v>
      </c>
      <c r="D120" s="414" t="s">
        <v>494</v>
      </c>
      <c r="E120" s="417" t="s">
        <v>502</v>
      </c>
      <c r="F120" s="414" t="s">
        <v>543</v>
      </c>
      <c r="G120" s="415"/>
      <c r="H120" s="415"/>
      <c r="I120" s="415"/>
      <c r="J120" s="415">
        <v>2541</v>
      </c>
      <c r="K120" s="415">
        <v>2541</v>
      </c>
      <c r="L120" s="415"/>
      <c r="M120" s="415"/>
      <c r="N120" s="45"/>
      <c r="O120" s="34"/>
      <c r="P120" s="22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 ht="13">
      <c r="A121" s="54">
        <v>2023</v>
      </c>
      <c r="B121" s="413">
        <v>44939</v>
      </c>
      <c r="C121" s="414" t="s">
        <v>474</v>
      </c>
      <c r="D121" s="414" t="s">
        <v>475</v>
      </c>
      <c r="E121" s="417" t="s">
        <v>577</v>
      </c>
      <c r="F121" s="414" t="s">
        <v>578</v>
      </c>
      <c r="G121" s="415">
        <v>1899000</v>
      </c>
      <c r="H121" s="415">
        <v>439</v>
      </c>
      <c r="I121" s="415">
        <v>439</v>
      </c>
      <c r="J121" s="415"/>
      <c r="K121" s="415"/>
      <c r="L121" s="415"/>
      <c r="M121" s="415"/>
      <c r="N121" s="45"/>
      <c r="O121" s="34"/>
      <c r="P121" s="22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 ht="13">
      <c r="A122" s="54">
        <v>2023</v>
      </c>
      <c r="B122" s="413">
        <v>44939</v>
      </c>
      <c r="C122" s="414" t="s">
        <v>481</v>
      </c>
      <c r="D122" s="414" t="s">
        <v>493</v>
      </c>
      <c r="E122" s="414" t="s">
        <v>479</v>
      </c>
      <c r="F122" s="414" t="s">
        <v>514</v>
      </c>
      <c r="G122" s="415"/>
      <c r="H122" s="415"/>
      <c r="I122" s="415"/>
      <c r="J122" s="415">
        <v>1232</v>
      </c>
      <c r="K122" s="415">
        <v>1232</v>
      </c>
      <c r="L122" s="415"/>
      <c r="M122" s="415"/>
      <c r="N122" s="45"/>
      <c r="O122" s="107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 ht="13">
      <c r="A123" s="54">
        <v>2023</v>
      </c>
      <c r="B123" s="413">
        <v>44943</v>
      </c>
      <c r="C123" s="414" t="s">
        <v>474</v>
      </c>
      <c r="D123" s="414" t="s">
        <v>493</v>
      </c>
      <c r="E123" s="414" t="s">
        <v>479</v>
      </c>
      <c r="F123" s="414" t="s">
        <v>514</v>
      </c>
      <c r="G123" s="415"/>
      <c r="H123" s="415">
        <v>40</v>
      </c>
      <c r="I123" s="415">
        <v>40</v>
      </c>
      <c r="J123" s="415"/>
      <c r="K123" s="415"/>
      <c r="L123" s="415"/>
      <c r="M123" s="415"/>
      <c r="N123" s="45"/>
      <c r="O123" s="107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 ht="13">
      <c r="A124" s="54">
        <v>2023</v>
      </c>
      <c r="B124" s="413">
        <v>44943</v>
      </c>
      <c r="C124" s="414" t="s">
        <v>481</v>
      </c>
      <c r="D124" s="414" t="s">
        <v>489</v>
      </c>
      <c r="E124" s="414" t="s">
        <v>521</v>
      </c>
      <c r="F124" s="414" t="s">
        <v>579</v>
      </c>
      <c r="G124" s="415"/>
      <c r="H124" s="415">
        <f>127.64</f>
        <v>127.64</v>
      </c>
      <c r="I124" s="415">
        <v>104.62</v>
      </c>
      <c r="J124" s="415"/>
      <c r="K124" s="415"/>
      <c r="L124" s="415">
        <f>23.02*M124</f>
        <v>913.57172000000003</v>
      </c>
      <c r="M124" s="415">
        <v>39.686</v>
      </c>
      <c r="N124" s="45"/>
      <c r="O124" s="107"/>
      <c r="S124" s="45"/>
      <c r="T124" s="45"/>
      <c r="U124" s="45"/>
      <c r="V124" s="45"/>
      <c r="W124" s="45"/>
      <c r="X124" s="45"/>
      <c r="Y124" s="45"/>
      <c r="Z124" s="45"/>
      <c r="AA124" s="45"/>
    </row>
    <row r="125" spans="1:27" ht="13">
      <c r="A125" s="54">
        <v>2023</v>
      </c>
      <c r="B125" s="413">
        <v>44944</v>
      </c>
      <c r="C125" s="414" t="s">
        <v>481</v>
      </c>
      <c r="D125" s="414" t="s">
        <v>491</v>
      </c>
      <c r="E125" s="414" t="s">
        <v>532</v>
      </c>
      <c r="F125" s="414" t="s">
        <v>576</v>
      </c>
      <c r="G125" s="415"/>
      <c r="H125" s="415">
        <v>15</v>
      </c>
      <c r="I125" s="415">
        <v>15</v>
      </c>
      <c r="J125" s="415"/>
      <c r="K125" s="415"/>
      <c r="L125" s="415"/>
      <c r="M125" s="415"/>
      <c r="N125" s="45"/>
      <c r="O125" s="49"/>
      <c r="P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spans="1:27" ht="13">
      <c r="A126" s="54">
        <v>2023</v>
      </c>
      <c r="B126" s="413">
        <v>44949</v>
      </c>
      <c r="C126" s="414" t="s">
        <v>481</v>
      </c>
      <c r="D126" s="414" t="s">
        <v>491</v>
      </c>
      <c r="E126" s="414" t="s">
        <v>580</v>
      </c>
      <c r="F126" s="414" t="s">
        <v>576</v>
      </c>
      <c r="G126" s="415"/>
      <c r="H126" s="415">
        <v>25</v>
      </c>
      <c r="I126" s="415">
        <v>25</v>
      </c>
      <c r="J126" s="415"/>
      <c r="K126" s="415"/>
      <c r="L126" s="415"/>
      <c r="M126" s="415"/>
      <c r="N126" s="45"/>
      <c r="O126" s="49"/>
      <c r="P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 ht="13">
      <c r="A127" s="54">
        <v>2023</v>
      </c>
      <c r="B127" s="413">
        <v>44949</v>
      </c>
      <c r="C127" s="414" t="s">
        <v>481</v>
      </c>
      <c r="D127" s="414" t="s">
        <v>491</v>
      </c>
      <c r="E127" s="418" t="s">
        <v>581</v>
      </c>
      <c r="F127" s="414" t="s">
        <v>576</v>
      </c>
      <c r="G127" s="415"/>
      <c r="H127" s="415">
        <v>99</v>
      </c>
      <c r="I127" s="415">
        <v>99</v>
      </c>
      <c r="J127" s="415"/>
      <c r="K127" s="415"/>
      <c r="L127" s="415"/>
      <c r="M127" s="415"/>
      <c r="N127" s="45"/>
      <c r="O127" s="49"/>
      <c r="P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 ht="13">
      <c r="A128" s="54">
        <v>2023</v>
      </c>
      <c r="B128" s="413">
        <v>44945</v>
      </c>
      <c r="C128" s="414" t="s">
        <v>481</v>
      </c>
      <c r="D128" s="414" t="s">
        <v>494</v>
      </c>
      <c r="E128" s="414" t="s">
        <v>512</v>
      </c>
      <c r="F128" s="414" t="s">
        <v>582</v>
      </c>
      <c r="G128" s="415"/>
      <c r="H128" s="415"/>
      <c r="I128" s="415"/>
      <c r="J128" s="415">
        <v>13149</v>
      </c>
      <c r="K128" s="415">
        <v>13149</v>
      </c>
      <c r="L128" s="415"/>
      <c r="M128" s="415"/>
      <c r="N128" s="45"/>
      <c r="O128" s="49"/>
      <c r="P128" s="45"/>
      <c r="R128" s="45"/>
      <c r="S128" s="49"/>
      <c r="T128" s="45"/>
      <c r="U128" s="45"/>
      <c r="V128" s="45"/>
      <c r="W128" s="45"/>
      <c r="X128" s="45"/>
      <c r="Y128" s="45"/>
      <c r="Z128" s="45"/>
      <c r="AA128" s="45"/>
    </row>
    <row r="129" spans="1:27" ht="13">
      <c r="A129" s="54">
        <v>2023</v>
      </c>
      <c r="B129" s="413">
        <v>44945</v>
      </c>
      <c r="C129" s="414" t="s">
        <v>481</v>
      </c>
      <c r="D129" s="414" t="s">
        <v>494</v>
      </c>
      <c r="E129" s="414" t="s">
        <v>512</v>
      </c>
      <c r="F129" s="414" t="s">
        <v>528</v>
      </c>
      <c r="G129" s="415"/>
      <c r="H129" s="415"/>
      <c r="I129" s="415"/>
      <c r="J129" s="415">
        <v>55853</v>
      </c>
      <c r="K129" s="415">
        <v>55853</v>
      </c>
      <c r="L129" s="415"/>
      <c r="M129" s="415"/>
      <c r="N129" s="45"/>
      <c r="O129" s="49"/>
      <c r="P129" s="45"/>
      <c r="R129" s="45"/>
      <c r="S129" s="49"/>
      <c r="T129" s="45"/>
      <c r="U129" s="45"/>
      <c r="V129" s="45"/>
      <c r="W129" s="45"/>
      <c r="X129" s="45"/>
      <c r="Y129" s="45"/>
      <c r="Z129" s="45"/>
      <c r="AA129" s="45"/>
    </row>
    <row r="130" spans="1:27" ht="13">
      <c r="A130" s="54">
        <v>2023</v>
      </c>
      <c r="B130" s="413">
        <v>44945</v>
      </c>
      <c r="C130" s="414" t="s">
        <v>481</v>
      </c>
      <c r="D130" s="414" t="s">
        <v>489</v>
      </c>
      <c r="E130" s="414" t="s">
        <v>521</v>
      </c>
      <c r="F130" s="414" t="s">
        <v>544</v>
      </c>
      <c r="G130" s="415"/>
      <c r="H130" s="415"/>
      <c r="I130" s="415"/>
      <c r="J130" s="415">
        <v>789</v>
      </c>
      <c r="K130" s="415">
        <f>J130-L130</f>
        <v>646.79</v>
      </c>
      <c r="L130" s="415">
        <v>142.21</v>
      </c>
      <c r="M130" s="415"/>
      <c r="N130" s="45"/>
      <c r="O130" s="84" t="s">
        <v>457</v>
      </c>
      <c r="P130" s="93"/>
      <c r="R130" s="45"/>
      <c r="S130" s="84" t="s">
        <v>583</v>
      </c>
      <c r="T130" s="93"/>
      <c r="U130" s="45"/>
      <c r="V130" s="45"/>
      <c r="W130" s="45"/>
      <c r="X130" s="45"/>
      <c r="Y130" s="45"/>
      <c r="Z130" s="45"/>
      <c r="AA130" s="45"/>
    </row>
    <row r="131" spans="1:27" ht="13">
      <c r="A131" s="54">
        <v>2023</v>
      </c>
      <c r="B131" s="413">
        <v>44952</v>
      </c>
      <c r="C131" s="414" t="s">
        <v>481</v>
      </c>
      <c r="D131" s="414" t="s">
        <v>493</v>
      </c>
      <c r="E131" s="414" t="s">
        <v>479</v>
      </c>
      <c r="F131" s="414" t="s">
        <v>480</v>
      </c>
      <c r="G131" s="415"/>
      <c r="H131" s="415">
        <v>14.99</v>
      </c>
      <c r="I131" s="415">
        <v>14.99</v>
      </c>
      <c r="J131" s="415"/>
      <c r="K131" s="415"/>
      <c r="L131" s="415"/>
      <c r="M131" s="415"/>
      <c r="N131" s="45"/>
      <c r="O131" s="419">
        <f>SUM(Facturacion!I51:I53)</f>
        <v>79801.986000000004</v>
      </c>
      <c r="P131" s="86"/>
      <c r="R131" s="45"/>
      <c r="S131" s="89" t="s">
        <v>411</v>
      </c>
      <c r="T131" s="420">
        <f>SUM(K116:K140)</f>
        <v>398816.63</v>
      </c>
      <c r="U131" s="45"/>
      <c r="V131" s="45"/>
      <c r="W131" s="45"/>
      <c r="X131" s="45"/>
      <c r="Y131" s="45"/>
      <c r="Z131" s="45"/>
      <c r="AA131" s="45"/>
    </row>
    <row r="132" spans="1:27" ht="13">
      <c r="A132" s="54">
        <v>2023</v>
      </c>
      <c r="B132" s="413">
        <v>44957</v>
      </c>
      <c r="C132" s="414" t="s">
        <v>474</v>
      </c>
      <c r="D132" s="414" t="s">
        <v>478</v>
      </c>
      <c r="E132" s="414" t="s">
        <v>479</v>
      </c>
      <c r="F132" s="414" t="s">
        <v>547</v>
      </c>
      <c r="G132" s="415"/>
      <c r="H132" s="415">
        <v>200</v>
      </c>
      <c r="I132" s="415">
        <v>200</v>
      </c>
      <c r="J132" s="415"/>
      <c r="K132" s="415"/>
      <c r="L132" s="415"/>
      <c r="M132" s="415"/>
      <c r="N132" s="45"/>
      <c r="O132" s="89" t="s">
        <v>461</v>
      </c>
      <c r="P132" s="87" t="s">
        <v>462</v>
      </c>
      <c r="R132" s="45"/>
      <c r="S132" s="421" t="s">
        <v>584</v>
      </c>
      <c r="T132" s="91">
        <f>SUM(I116:I140)</f>
        <v>4060.38</v>
      </c>
      <c r="U132" s="45"/>
      <c r="V132" s="45"/>
      <c r="W132" s="45"/>
      <c r="X132" s="45"/>
      <c r="Y132" s="45"/>
      <c r="Z132" s="45"/>
      <c r="AA132" s="45"/>
    </row>
    <row r="133" spans="1:27" ht="13">
      <c r="A133" s="54">
        <v>2023</v>
      </c>
      <c r="B133" s="413">
        <v>44957</v>
      </c>
      <c r="C133" s="414" t="s">
        <v>481</v>
      </c>
      <c r="D133" s="414" t="s">
        <v>489</v>
      </c>
      <c r="E133" s="414" t="s">
        <v>463</v>
      </c>
      <c r="F133" s="414" t="s">
        <v>464</v>
      </c>
      <c r="G133" s="415"/>
      <c r="H133" s="415"/>
      <c r="I133" s="415"/>
      <c r="J133" s="415">
        <v>6600</v>
      </c>
      <c r="K133" s="415">
        <f>J133-L133</f>
        <v>5409.84</v>
      </c>
      <c r="L133" s="415">
        <v>1190.1600000000001</v>
      </c>
      <c r="M133" s="415"/>
      <c r="N133" s="45"/>
      <c r="O133" s="419">
        <f>SUM(L116:L140)</f>
        <v>2245.9417199999998</v>
      </c>
      <c r="P133" s="88">
        <f>O131-O133</f>
        <v>77556.044280000002</v>
      </c>
      <c r="R133" s="45"/>
      <c r="T133" s="45"/>
      <c r="U133" s="45"/>
      <c r="V133" s="45"/>
      <c r="W133" s="45"/>
      <c r="X133" s="45"/>
      <c r="Y133" s="45"/>
      <c r="Z133" s="45"/>
      <c r="AA133" s="45"/>
    </row>
    <row r="134" spans="1:27" ht="13">
      <c r="A134" s="54">
        <v>2023</v>
      </c>
      <c r="B134" s="413">
        <v>44957</v>
      </c>
      <c r="C134" s="414" t="s">
        <v>474</v>
      </c>
      <c r="D134" s="414" t="s">
        <v>482</v>
      </c>
      <c r="E134" s="414" t="s">
        <v>483</v>
      </c>
      <c r="F134" s="414" t="s">
        <v>459</v>
      </c>
      <c r="G134" s="415"/>
      <c r="H134" s="422">
        <v>769</v>
      </c>
      <c r="I134" s="422">
        <v>769</v>
      </c>
      <c r="J134" s="415"/>
      <c r="K134" s="415"/>
      <c r="L134" s="415"/>
      <c r="M134" s="415"/>
      <c r="N134" s="45"/>
      <c r="O134" s="423"/>
      <c r="P134" s="90"/>
      <c r="R134" s="45"/>
      <c r="T134" s="45"/>
      <c r="U134" s="45"/>
      <c r="V134" s="45"/>
      <c r="W134" s="45"/>
      <c r="X134" s="45"/>
      <c r="Y134" s="45"/>
      <c r="Z134" s="45"/>
      <c r="AA134" s="45"/>
    </row>
    <row r="135" spans="1:27" ht="13">
      <c r="A135" s="54">
        <v>2023</v>
      </c>
      <c r="B135" s="413">
        <v>44957</v>
      </c>
      <c r="C135" s="414" t="s">
        <v>474</v>
      </c>
      <c r="D135" s="414" t="s">
        <v>482</v>
      </c>
      <c r="E135" s="414" t="s">
        <v>535</v>
      </c>
      <c r="F135" s="414" t="s">
        <v>459</v>
      </c>
      <c r="G135" s="415"/>
      <c r="H135" s="422">
        <v>673</v>
      </c>
      <c r="I135" s="422">
        <v>673</v>
      </c>
      <c r="J135" s="415"/>
      <c r="K135" s="415"/>
      <c r="L135" s="415"/>
      <c r="M135" s="415"/>
      <c r="N135" s="45"/>
      <c r="O135" s="107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 ht="13">
      <c r="A136" s="54">
        <v>2023</v>
      </c>
      <c r="B136" s="413">
        <v>44957</v>
      </c>
      <c r="C136" s="414" t="s">
        <v>474</v>
      </c>
      <c r="D136" s="414" t="s">
        <v>482</v>
      </c>
      <c r="E136" s="414" t="s">
        <v>541</v>
      </c>
      <c r="F136" s="414" t="s">
        <v>459</v>
      </c>
      <c r="G136" s="415"/>
      <c r="H136" s="422">
        <v>673</v>
      </c>
      <c r="I136" s="422">
        <v>673</v>
      </c>
      <c r="J136" s="415"/>
      <c r="K136" s="415"/>
      <c r="L136" s="415"/>
      <c r="M136" s="415"/>
      <c r="N136" s="45"/>
      <c r="O136" s="107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 ht="13">
      <c r="A137" s="54">
        <v>2023</v>
      </c>
      <c r="B137" s="413">
        <v>44957</v>
      </c>
      <c r="C137" s="414" t="s">
        <v>474</v>
      </c>
      <c r="D137" s="414" t="s">
        <v>482</v>
      </c>
      <c r="E137" s="414" t="s">
        <v>537</v>
      </c>
      <c r="F137" s="414" t="s">
        <v>459</v>
      </c>
      <c r="G137" s="415"/>
      <c r="H137" s="422">
        <v>481</v>
      </c>
      <c r="I137" s="422">
        <v>481</v>
      </c>
      <c r="J137" s="415"/>
      <c r="K137" s="415"/>
      <c r="L137" s="415"/>
      <c r="M137" s="415"/>
      <c r="N137" s="45"/>
      <c r="O137" s="107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 ht="13">
      <c r="A138" s="54">
        <v>2023</v>
      </c>
      <c r="B138" s="413">
        <v>44957</v>
      </c>
      <c r="C138" s="414" t="s">
        <v>474</v>
      </c>
      <c r="D138" s="414" t="s">
        <v>554</v>
      </c>
      <c r="E138" s="414" t="s">
        <v>540</v>
      </c>
      <c r="F138" s="414" t="s">
        <v>459</v>
      </c>
      <c r="G138" s="415"/>
      <c r="H138" s="422">
        <v>231</v>
      </c>
      <c r="I138" s="422">
        <v>231</v>
      </c>
      <c r="J138" s="415"/>
      <c r="K138" s="415"/>
      <c r="L138" s="415"/>
      <c r="M138" s="415"/>
      <c r="N138" s="45"/>
      <c r="O138" s="107"/>
      <c r="S138" s="45"/>
      <c r="T138" s="45"/>
      <c r="U138" s="45"/>
      <c r="V138" s="45"/>
      <c r="W138" s="45"/>
      <c r="X138" s="45"/>
      <c r="Y138" s="45"/>
      <c r="Z138" s="45"/>
      <c r="AA138" s="45"/>
    </row>
    <row r="139" spans="1:27" ht="13">
      <c r="A139" s="54">
        <v>2023</v>
      </c>
      <c r="B139" s="413">
        <v>44957</v>
      </c>
      <c r="C139" s="410" t="s">
        <v>481</v>
      </c>
      <c r="D139" s="410" t="s">
        <v>484</v>
      </c>
      <c r="E139" s="410" t="s">
        <v>487</v>
      </c>
      <c r="F139" s="410" t="s">
        <v>488</v>
      </c>
      <c r="G139" s="411"/>
      <c r="H139" s="411"/>
      <c r="I139" s="411"/>
      <c r="J139" s="411">
        <v>51287</v>
      </c>
      <c r="K139" s="411">
        <v>51287</v>
      </c>
      <c r="L139" s="415"/>
      <c r="M139" s="415"/>
      <c r="N139" s="45"/>
      <c r="O139" s="107"/>
      <c r="S139" s="45"/>
      <c r="T139" s="45"/>
      <c r="U139" s="45"/>
      <c r="V139" s="45"/>
      <c r="W139" s="45"/>
      <c r="X139" s="45"/>
      <c r="Y139" s="45"/>
      <c r="Z139" s="45"/>
      <c r="AA139" s="45"/>
    </row>
    <row r="140" spans="1:27" ht="13">
      <c r="A140" s="54">
        <v>2023</v>
      </c>
      <c r="B140" s="413">
        <v>44957</v>
      </c>
      <c r="C140" s="414" t="s">
        <v>481</v>
      </c>
      <c r="D140" s="414" t="s">
        <v>482</v>
      </c>
      <c r="E140" s="414" t="s">
        <v>495</v>
      </c>
      <c r="F140" s="414" t="s">
        <v>496</v>
      </c>
      <c r="G140" s="415"/>
      <c r="H140" s="415"/>
      <c r="I140" s="415"/>
      <c r="J140" s="415">
        <v>209318</v>
      </c>
      <c r="K140" s="415">
        <v>209318</v>
      </c>
      <c r="L140" s="415"/>
      <c r="M140" s="415"/>
      <c r="N140" s="45"/>
      <c r="O140" s="107"/>
      <c r="S140" s="45"/>
      <c r="T140" s="45"/>
      <c r="U140" s="45"/>
      <c r="V140" s="45"/>
      <c r="W140" s="45"/>
      <c r="X140" s="45"/>
      <c r="Y140" s="45"/>
      <c r="Z140" s="45"/>
      <c r="AA140" s="45"/>
    </row>
    <row r="141" spans="1:27" ht="13">
      <c r="A141" s="54">
        <v>2023</v>
      </c>
      <c r="B141" s="424">
        <v>44966</v>
      </c>
      <c r="C141" s="425" t="s">
        <v>481</v>
      </c>
      <c r="D141" s="425" t="s">
        <v>491</v>
      </c>
      <c r="E141" s="425" t="s">
        <v>575</v>
      </c>
      <c r="F141" s="425" t="s">
        <v>576</v>
      </c>
      <c r="G141" s="426"/>
      <c r="H141" s="426">
        <v>8.93</v>
      </c>
      <c r="I141" s="426">
        <v>8.93</v>
      </c>
      <c r="J141" s="426"/>
      <c r="K141" s="426"/>
      <c r="L141" s="426"/>
      <c r="M141" s="426"/>
      <c r="N141" s="45"/>
      <c r="V141" s="45"/>
      <c r="W141" s="45"/>
      <c r="X141" s="45"/>
      <c r="Y141" s="45"/>
      <c r="Z141" s="45"/>
      <c r="AA141" s="45"/>
    </row>
    <row r="142" spans="1:27" ht="13">
      <c r="A142" s="54">
        <v>2023</v>
      </c>
      <c r="B142" s="424">
        <v>44970</v>
      </c>
      <c r="C142" s="425" t="s">
        <v>474</v>
      </c>
      <c r="D142" s="425" t="s">
        <v>551</v>
      </c>
      <c r="E142" s="425" t="s">
        <v>585</v>
      </c>
      <c r="F142" s="425" t="s">
        <v>586</v>
      </c>
      <c r="G142" s="426"/>
      <c r="H142" s="426">
        <v>963.17</v>
      </c>
      <c r="I142" s="426">
        <v>963.17</v>
      </c>
      <c r="J142" s="426"/>
      <c r="K142" s="426"/>
      <c r="L142" s="426"/>
      <c r="M142" s="426"/>
      <c r="N142" s="45"/>
      <c r="V142" s="45"/>
      <c r="W142" s="45"/>
      <c r="X142" s="45"/>
      <c r="Y142" s="45"/>
      <c r="Z142" s="45"/>
      <c r="AA142" s="45"/>
    </row>
    <row r="143" spans="1:27" ht="13">
      <c r="A143" s="54">
        <v>2023</v>
      </c>
      <c r="B143" s="424">
        <v>44970</v>
      </c>
      <c r="C143" s="425" t="s">
        <v>481</v>
      </c>
      <c r="D143" s="425" t="s">
        <v>494</v>
      </c>
      <c r="E143" s="425" t="s">
        <v>502</v>
      </c>
      <c r="F143" s="425" t="s">
        <v>522</v>
      </c>
      <c r="G143" s="426"/>
      <c r="H143" s="426"/>
      <c r="I143" s="426"/>
      <c r="J143" s="426">
        <v>3760</v>
      </c>
      <c r="K143" s="426">
        <v>3760</v>
      </c>
      <c r="L143" s="426"/>
      <c r="M143" s="426"/>
      <c r="N143" s="45"/>
      <c r="V143" s="45"/>
      <c r="W143" s="45"/>
      <c r="X143" s="45"/>
      <c r="Y143" s="45"/>
      <c r="Z143" s="45"/>
      <c r="AA143" s="45"/>
    </row>
    <row r="144" spans="1:27" ht="13">
      <c r="A144" s="54">
        <v>2023</v>
      </c>
      <c r="B144" s="424">
        <v>44970</v>
      </c>
      <c r="C144" s="425" t="s">
        <v>481</v>
      </c>
      <c r="D144" s="425" t="s">
        <v>494</v>
      </c>
      <c r="E144" s="425" t="s">
        <v>502</v>
      </c>
      <c r="F144" s="425" t="s">
        <v>522</v>
      </c>
      <c r="G144" s="426"/>
      <c r="H144" s="426"/>
      <c r="I144" s="426"/>
      <c r="J144" s="426">
        <v>28102</v>
      </c>
      <c r="K144" s="426">
        <v>28102</v>
      </c>
      <c r="L144" s="426"/>
      <c r="M144" s="426"/>
      <c r="N144" s="45"/>
      <c r="R144" s="45"/>
      <c r="T144" s="45"/>
      <c r="U144" s="45"/>
      <c r="V144" s="45"/>
      <c r="W144" s="45"/>
      <c r="X144" s="45"/>
      <c r="Y144" s="45"/>
      <c r="Z144" s="45"/>
      <c r="AA144" s="45"/>
    </row>
    <row r="145" spans="1:27" ht="13">
      <c r="A145" s="54">
        <v>2023</v>
      </c>
      <c r="B145" s="424">
        <v>44972</v>
      </c>
      <c r="C145" s="425" t="s">
        <v>481</v>
      </c>
      <c r="D145" s="425" t="s">
        <v>484</v>
      </c>
      <c r="E145" s="425" t="s">
        <v>487</v>
      </c>
      <c r="F145" s="425" t="s">
        <v>587</v>
      </c>
      <c r="G145" s="426"/>
      <c r="H145" s="426"/>
      <c r="I145" s="426"/>
      <c r="J145" s="426">
        <v>72531</v>
      </c>
      <c r="K145" s="426">
        <v>72531</v>
      </c>
      <c r="L145" s="426"/>
      <c r="M145" s="426"/>
      <c r="N145" s="45"/>
      <c r="O145" s="59"/>
      <c r="P145" s="68"/>
      <c r="S145" s="45"/>
      <c r="T145" s="45"/>
      <c r="U145" s="45"/>
      <c r="V145" s="45"/>
      <c r="W145" s="45"/>
      <c r="X145" s="45"/>
      <c r="Y145" s="45"/>
      <c r="Z145" s="45"/>
      <c r="AA145" s="45"/>
    </row>
    <row r="146" spans="1:27" ht="13">
      <c r="A146" s="54">
        <v>2023</v>
      </c>
      <c r="B146" s="424">
        <v>44975</v>
      </c>
      <c r="C146" s="425" t="s">
        <v>481</v>
      </c>
      <c r="D146" s="425" t="s">
        <v>588</v>
      </c>
      <c r="E146" s="425" t="s">
        <v>532</v>
      </c>
      <c r="F146" s="425" t="s">
        <v>576</v>
      </c>
      <c r="G146" s="426"/>
      <c r="H146" s="426">
        <v>15</v>
      </c>
      <c r="I146" s="426">
        <v>15</v>
      </c>
      <c r="J146" s="426"/>
      <c r="K146" s="426"/>
      <c r="L146" s="426"/>
      <c r="M146" s="426"/>
      <c r="N146" s="45"/>
      <c r="O146" s="59"/>
      <c r="P146" s="68"/>
      <c r="S146" s="45"/>
      <c r="T146" s="45"/>
      <c r="U146" s="45"/>
      <c r="V146" s="45"/>
      <c r="W146" s="45"/>
      <c r="X146" s="45"/>
      <c r="Y146" s="45"/>
      <c r="Z146" s="45"/>
      <c r="AA146" s="45"/>
    </row>
    <row r="147" spans="1:27" ht="13">
      <c r="A147" s="54">
        <v>2023</v>
      </c>
      <c r="B147" s="424">
        <v>44975</v>
      </c>
      <c r="C147" s="425" t="s">
        <v>481</v>
      </c>
      <c r="D147" s="425" t="s">
        <v>491</v>
      </c>
      <c r="E147" s="425" t="s">
        <v>580</v>
      </c>
      <c r="F147" s="425" t="s">
        <v>576</v>
      </c>
      <c r="G147" s="426"/>
      <c r="H147" s="426">
        <v>25</v>
      </c>
      <c r="I147" s="426">
        <v>25</v>
      </c>
      <c r="J147" s="426"/>
      <c r="K147" s="426"/>
      <c r="L147" s="426"/>
      <c r="M147" s="426"/>
      <c r="N147" s="45"/>
      <c r="O147" s="427" t="s">
        <v>457</v>
      </c>
      <c r="P147" s="428"/>
      <c r="R147" s="45"/>
      <c r="S147" s="49"/>
      <c r="T147" s="45"/>
      <c r="U147" s="45"/>
      <c r="V147" s="45"/>
      <c r="W147" s="45"/>
      <c r="X147" s="45"/>
      <c r="Y147" s="45"/>
      <c r="Z147" s="45"/>
      <c r="AA147" s="45"/>
    </row>
    <row r="148" spans="1:27" ht="13">
      <c r="A148" s="54">
        <v>2023</v>
      </c>
      <c r="B148" s="424">
        <v>44964</v>
      </c>
      <c r="C148" s="425" t="s">
        <v>474</v>
      </c>
      <c r="D148" s="425" t="s">
        <v>490</v>
      </c>
      <c r="E148" s="425" t="s">
        <v>557</v>
      </c>
      <c r="F148" s="425" t="s">
        <v>558</v>
      </c>
      <c r="G148" s="426"/>
      <c r="H148" s="426">
        <v>288.27</v>
      </c>
      <c r="I148" s="426">
        <v>288.27</v>
      </c>
      <c r="J148" s="426"/>
      <c r="K148" s="426"/>
      <c r="L148" s="426"/>
      <c r="M148" s="426"/>
      <c r="N148" s="45"/>
      <c r="O148" s="429">
        <f>SUM(Facturacion!I54:I56)</f>
        <v>51240.551999999996</v>
      </c>
      <c r="P148" s="430"/>
      <c r="R148" s="45"/>
      <c r="S148" s="84" t="s">
        <v>583</v>
      </c>
      <c r="T148" s="93"/>
      <c r="U148" s="45"/>
      <c r="V148" s="45"/>
      <c r="W148" s="45"/>
      <c r="X148" s="45"/>
      <c r="Y148" s="45"/>
      <c r="Z148" s="45"/>
      <c r="AA148" s="45"/>
    </row>
    <row r="149" spans="1:27" ht="13">
      <c r="A149" s="54">
        <v>2023</v>
      </c>
      <c r="B149" s="424">
        <v>44974</v>
      </c>
      <c r="C149" s="425" t="s">
        <v>481</v>
      </c>
      <c r="D149" s="425" t="s">
        <v>494</v>
      </c>
      <c r="E149" s="425" t="s">
        <v>521</v>
      </c>
      <c r="F149" s="425" t="s">
        <v>544</v>
      </c>
      <c r="G149" s="425"/>
      <c r="H149" s="426"/>
      <c r="I149" s="426"/>
      <c r="J149" s="426">
        <v>776</v>
      </c>
      <c r="K149" s="426">
        <f t="shared" ref="K149:K150" si="2">J149-L149</f>
        <v>636.13</v>
      </c>
      <c r="L149" s="426">
        <v>139.87</v>
      </c>
      <c r="M149" s="426"/>
      <c r="N149" s="45"/>
      <c r="O149" s="431" t="s">
        <v>461</v>
      </c>
      <c r="P149" s="432" t="s">
        <v>462</v>
      </c>
      <c r="R149" s="45"/>
      <c r="S149" s="89" t="s">
        <v>411</v>
      </c>
      <c r="T149" s="420">
        <f>SUM(K141:K158)</f>
        <v>384787.97</v>
      </c>
      <c r="U149" s="45"/>
      <c r="V149" s="45"/>
      <c r="W149" s="45"/>
      <c r="X149" s="45"/>
      <c r="Y149" s="45"/>
      <c r="Z149" s="45"/>
      <c r="AA149" s="45"/>
    </row>
    <row r="150" spans="1:27" ht="13">
      <c r="A150" s="54">
        <v>2023</v>
      </c>
      <c r="B150" s="424">
        <v>44985</v>
      </c>
      <c r="C150" s="425" t="s">
        <v>481</v>
      </c>
      <c r="D150" s="425" t="s">
        <v>489</v>
      </c>
      <c r="E150" s="425" t="s">
        <v>463</v>
      </c>
      <c r="F150" s="425" t="s">
        <v>464</v>
      </c>
      <c r="G150" s="426"/>
      <c r="H150" s="426"/>
      <c r="I150" s="426"/>
      <c r="J150" s="426">
        <v>6600</v>
      </c>
      <c r="K150" s="426">
        <f t="shared" si="2"/>
        <v>5409.84</v>
      </c>
      <c r="L150" s="426">
        <v>1190.1600000000001</v>
      </c>
      <c r="M150" s="425"/>
      <c r="N150" s="45"/>
      <c r="O150" s="433">
        <f>SUM(L141:L158)</f>
        <v>1330.0300000000002</v>
      </c>
      <c r="P150" s="434">
        <f>O148-O150</f>
        <v>49910.521999999997</v>
      </c>
      <c r="R150" s="45"/>
      <c r="S150" s="421" t="s">
        <v>584</v>
      </c>
      <c r="T150" s="91">
        <f>SUM(I141:I158)</f>
        <v>4539.37</v>
      </c>
      <c r="U150" s="45"/>
      <c r="V150" s="45"/>
      <c r="W150" s="45"/>
      <c r="X150" s="45"/>
      <c r="Y150" s="45"/>
      <c r="Z150" s="45"/>
      <c r="AA150" s="45"/>
    </row>
    <row r="151" spans="1:27" ht="13">
      <c r="A151" s="54">
        <v>2023</v>
      </c>
      <c r="B151" s="424">
        <v>44985</v>
      </c>
      <c r="C151" s="425" t="s">
        <v>481</v>
      </c>
      <c r="D151" s="425" t="s">
        <v>494</v>
      </c>
      <c r="E151" s="425" t="s">
        <v>512</v>
      </c>
      <c r="F151" s="425" t="s">
        <v>582</v>
      </c>
      <c r="G151" s="426"/>
      <c r="H151" s="426"/>
      <c r="I151" s="426"/>
      <c r="J151" s="426">
        <v>15120</v>
      </c>
      <c r="K151" s="426">
        <v>15120</v>
      </c>
      <c r="L151" s="426"/>
      <c r="M151" s="425"/>
      <c r="N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spans="1:27" ht="13">
      <c r="A152" s="54">
        <v>2023</v>
      </c>
      <c r="B152" s="424">
        <v>44982</v>
      </c>
      <c r="C152" s="425" t="s">
        <v>481</v>
      </c>
      <c r="D152" s="425" t="s">
        <v>494</v>
      </c>
      <c r="E152" s="425" t="s">
        <v>512</v>
      </c>
      <c r="F152" s="425" t="s">
        <v>528</v>
      </c>
      <c r="G152" s="426"/>
      <c r="H152" s="426"/>
      <c r="I152" s="426"/>
      <c r="J152" s="426">
        <v>49911</v>
      </c>
      <c r="K152" s="426">
        <v>49911</v>
      </c>
      <c r="L152" s="426"/>
      <c r="M152" s="425"/>
      <c r="N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spans="1:27" ht="13">
      <c r="A153" s="54">
        <v>2023</v>
      </c>
      <c r="B153" s="424">
        <v>44985</v>
      </c>
      <c r="C153" s="425" t="s">
        <v>474</v>
      </c>
      <c r="D153" s="425" t="s">
        <v>482</v>
      </c>
      <c r="E153" s="425" t="s">
        <v>483</v>
      </c>
      <c r="F153" s="425" t="s">
        <v>459</v>
      </c>
      <c r="G153" s="426"/>
      <c r="H153" s="426">
        <v>740</v>
      </c>
      <c r="I153" s="426">
        <v>740</v>
      </c>
      <c r="J153" s="426"/>
      <c r="K153" s="426"/>
      <c r="L153" s="426"/>
      <c r="M153" s="425"/>
      <c r="N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spans="1:27" ht="13">
      <c r="A154" s="54">
        <v>2023</v>
      </c>
      <c r="B154" s="424">
        <v>44985</v>
      </c>
      <c r="C154" s="425" t="s">
        <v>474</v>
      </c>
      <c r="D154" s="425" t="s">
        <v>482</v>
      </c>
      <c r="E154" s="425" t="s">
        <v>535</v>
      </c>
      <c r="F154" s="425" t="s">
        <v>459</v>
      </c>
      <c r="G154" s="426"/>
      <c r="H154" s="426">
        <v>648</v>
      </c>
      <c r="I154" s="426">
        <v>648</v>
      </c>
      <c r="J154" s="426"/>
      <c r="K154" s="426"/>
      <c r="L154" s="426"/>
      <c r="M154" s="425"/>
      <c r="N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spans="1:27" ht="13">
      <c r="A155" s="54">
        <v>2023</v>
      </c>
      <c r="B155" s="424">
        <v>44985</v>
      </c>
      <c r="C155" s="425" t="s">
        <v>474</v>
      </c>
      <c r="D155" s="425" t="s">
        <v>482</v>
      </c>
      <c r="E155" s="425" t="s">
        <v>541</v>
      </c>
      <c r="F155" s="425" t="s">
        <v>459</v>
      </c>
      <c r="G155" s="426"/>
      <c r="H155" s="426">
        <v>648</v>
      </c>
      <c r="I155" s="426">
        <v>648</v>
      </c>
      <c r="J155" s="426"/>
      <c r="K155" s="426"/>
      <c r="L155" s="426"/>
      <c r="M155" s="425"/>
      <c r="N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 ht="13">
      <c r="A156" s="54">
        <v>2023</v>
      </c>
      <c r="B156" s="424">
        <v>44985</v>
      </c>
      <c r="C156" s="425" t="s">
        <v>474</v>
      </c>
      <c r="D156" s="425" t="s">
        <v>482</v>
      </c>
      <c r="E156" s="425" t="s">
        <v>537</v>
      </c>
      <c r="F156" s="425" t="s">
        <v>459</v>
      </c>
      <c r="G156" s="426"/>
      <c r="H156" s="426">
        <v>463</v>
      </c>
      <c r="I156" s="426">
        <v>463</v>
      </c>
      <c r="J156" s="426"/>
      <c r="K156" s="426"/>
      <c r="L156" s="426"/>
      <c r="M156" s="425"/>
      <c r="N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 ht="13">
      <c r="A157" s="54">
        <v>2023</v>
      </c>
      <c r="B157" s="435">
        <v>44985</v>
      </c>
      <c r="C157" s="436" t="s">
        <v>474</v>
      </c>
      <c r="D157" s="436" t="s">
        <v>554</v>
      </c>
      <c r="E157" s="436" t="s">
        <v>540</v>
      </c>
      <c r="F157" s="425" t="s">
        <v>459</v>
      </c>
      <c r="G157" s="437"/>
      <c r="H157" s="437">
        <v>740</v>
      </c>
      <c r="I157" s="437">
        <v>740</v>
      </c>
      <c r="J157" s="437"/>
      <c r="K157" s="437"/>
      <c r="L157" s="437"/>
      <c r="M157" s="436"/>
      <c r="N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spans="1:27" ht="13">
      <c r="A158" s="54">
        <v>2023</v>
      </c>
      <c r="B158" s="424">
        <v>44985</v>
      </c>
      <c r="C158" s="425" t="s">
        <v>481</v>
      </c>
      <c r="D158" s="425" t="s">
        <v>482</v>
      </c>
      <c r="E158" s="425" t="s">
        <v>495</v>
      </c>
      <c r="F158" s="425" t="s">
        <v>496</v>
      </c>
      <c r="G158" s="426"/>
      <c r="H158" s="426"/>
      <c r="I158" s="426"/>
      <c r="J158" s="426">
        <v>209318</v>
      </c>
      <c r="K158" s="426">
        <v>209318</v>
      </c>
      <c r="L158" s="426"/>
      <c r="M158" s="425"/>
      <c r="N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spans="1:27" ht="13">
      <c r="A159" s="54">
        <v>2023</v>
      </c>
      <c r="B159" s="438">
        <v>44987</v>
      </c>
      <c r="C159" s="439" t="s">
        <v>474</v>
      </c>
      <c r="D159" s="439" t="s">
        <v>478</v>
      </c>
      <c r="E159" s="439" t="s">
        <v>479</v>
      </c>
      <c r="F159" s="439" t="s">
        <v>547</v>
      </c>
      <c r="G159" s="439"/>
      <c r="H159" s="440">
        <v>200</v>
      </c>
      <c r="I159" s="440">
        <v>200</v>
      </c>
      <c r="J159" s="440">
        <v>1232</v>
      </c>
      <c r="K159" s="440">
        <v>1232</v>
      </c>
      <c r="L159" s="440"/>
      <c r="M159" s="439"/>
      <c r="N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 ht="13">
      <c r="A160" s="54">
        <v>2023</v>
      </c>
      <c r="B160" s="438">
        <v>44994</v>
      </c>
      <c r="C160" s="439" t="s">
        <v>481</v>
      </c>
      <c r="D160" s="439" t="s">
        <v>491</v>
      </c>
      <c r="E160" s="439" t="s">
        <v>575</v>
      </c>
      <c r="F160" s="439" t="s">
        <v>576</v>
      </c>
      <c r="G160" s="440"/>
      <c r="H160" s="440">
        <v>8.91</v>
      </c>
      <c r="I160" s="440">
        <v>8.91</v>
      </c>
      <c r="J160" s="440"/>
      <c r="K160" s="440"/>
      <c r="L160" s="440"/>
      <c r="M160" s="440"/>
      <c r="N160" s="45"/>
      <c r="O160" s="59"/>
      <c r="P160" s="68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spans="1:27" ht="13">
      <c r="A161" s="54">
        <v>2023</v>
      </c>
      <c r="B161" s="438">
        <v>44994</v>
      </c>
      <c r="C161" s="439" t="s">
        <v>474</v>
      </c>
      <c r="D161" s="439" t="s">
        <v>490</v>
      </c>
      <c r="E161" s="439" t="s">
        <v>557</v>
      </c>
      <c r="F161" s="439" t="s">
        <v>558</v>
      </c>
      <c r="G161" s="440"/>
      <c r="H161" s="440">
        <v>287.60000000000002</v>
      </c>
      <c r="I161" s="440">
        <v>287.5</v>
      </c>
      <c r="J161" s="440"/>
      <c r="K161" s="440"/>
      <c r="L161" s="440"/>
      <c r="M161" s="440"/>
      <c r="N161" s="45"/>
      <c r="O161" s="59"/>
      <c r="P161" s="68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spans="1:27" ht="13">
      <c r="A162" s="54">
        <v>2023</v>
      </c>
      <c r="B162" s="438">
        <v>44995</v>
      </c>
      <c r="C162" s="439" t="s">
        <v>481</v>
      </c>
      <c r="D162" s="439" t="s">
        <v>588</v>
      </c>
      <c r="E162" s="439" t="s">
        <v>589</v>
      </c>
      <c r="F162" s="439" t="s">
        <v>590</v>
      </c>
      <c r="G162" s="440"/>
      <c r="H162" s="440">
        <v>19.989999999999998</v>
      </c>
      <c r="I162" s="440">
        <v>19.989999999999998</v>
      </c>
      <c r="J162" s="440"/>
      <c r="K162" s="440"/>
      <c r="L162" s="440"/>
      <c r="M162" s="440"/>
      <c r="N162" s="45"/>
      <c r="O162" s="59"/>
      <c r="P162" s="68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 ht="13">
      <c r="A163" s="54">
        <v>2023</v>
      </c>
      <c r="B163" s="438">
        <v>44995</v>
      </c>
      <c r="C163" s="439" t="s">
        <v>481</v>
      </c>
      <c r="D163" s="439" t="s">
        <v>491</v>
      </c>
      <c r="E163" s="439" t="s">
        <v>591</v>
      </c>
      <c r="F163" s="439" t="s">
        <v>576</v>
      </c>
      <c r="G163" s="440"/>
      <c r="H163" s="440">
        <v>20</v>
      </c>
      <c r="I163" s="440">
        <v>20</v>
      </c>
      <c r="J163" s="440"/>
      <c r="K163" s="440"/>
      <c r="L163" s="440"/>
      <c r="M163" s="440"/>
      <c r="N163" s="45"/>
      <c r="O163" s="59"/>
      <c r="P163" s="68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 ht="13">
      <c r="A164" s="54">
        <v>2023</v>
      </c>
      <c r="B164" s="438">
        <v>44995</v>
      </c>
      <c r="C164" s="439" t="s">
        <v>481</v>
      </c>
      <c r="D164" s="439" t="s">
        <v>491</v>
      </c>
      <c r="E164" s="439" t="s">
        <v>592</v>
      </c>
      <c r="F164" s="439" t="s">
        <v>576</v>
      </c>
      <c r="G164" s="440"/>
      <c r="H164" s="440">
        <v>40</v>
      </c>
      <c r="I164" s="440">
        <v>40</v>
      </c>
      <c r="J164" s="440"/>
      <c r="K164" s="440"/>
      <c r="L164" s="440"/>
      <c r="M164" s="440"/>
      <c r="N164" s="45"/>
      <c r="O164" s="59"/>
      <c r="P164" s="68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spans="1:27" ht="13">
      <c r="A165" s="54">
        <v>2023</v>
      </c>
      <c r="B165" s="438">
        <v>44995</v>
      </c>
      <c r="C165" s="439" t="s">
        <v>474</v>
      </c>
      <c r="D165" s="439" t="s">
        <v>551</v>
      </c>
      <c r="E165" s="439" t="s">
        <v>593</v>
      </c>
      <c r="F165" s="439" t="s">
        <v>594</v>
      </c>
      <c r="G165" s="440"/>
      <c r="H165" s="440">
        <v>225.16</v>
      </c>
      <c r="I165" s="440">
        <v>225.16</v>
      </c>
      <c r="J165" s="440"/>
      <c r="K165" s="440"/>
      <c r="L165" s="440"/>
      <c r="M165" s="440"/>
      <c r="N165" s="45"/>
      <c r="O165" s="59"/>
      <c r="P165" s="68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spans="1:27" ht="13">
      <c r="A166" s="54">
        <v>2023</v>
      </c>
      <c r="B166" s="438">
        <v>44995</v>
      </c>
      <c r="C166" s="439" t="s">
        <v>474</v>
      </c>
      <c r="D166" s="439" t="s">
        <v>551</v>
      </c>
      <c r="E166" s="439" t="s">
        <v>524</v>
      </c>
      <c r="F166" s="439" t="s">
        <v>560</v>
      </c>
      <c r="G166" s="440"/>
      <c r="H166" s="440">
        <v>202.14</v>
      </c>
      <c r="I166" s="440">
        <v>202.14</v>
      </c>
      <c r="J166" s="440"/>
      <c r="K166" s="440"/>
      <c r="L166" s="440"/>
      <c r="M166" s="440"/>
      <c r="N166" s="45"/>
      <c r="O166" s="59"/>
      <c r="P166" s="68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 ht="13">
      <c r="A167" s="54">
        <v>2023</v>
      </c>
      <c r="B167" s="438">
        <v>44995</v>
      </c>
      <c r="C167" s="439" t="s">
        <v>474</v>
      </c>
      <c r="D167" s="439" t="s">
        <v>551</v>
      </c>
      <c r="E167" s="439" t="s">
        <v>567</v>
      </c>
      <c r="F167" s="439" t="s">
        <v>568</v>
      </c>
      <c r="G167" s="440"/>
      <c r="H167" s="440">
        <v>20.61</v>
      </c>
      <c r="I167" s="440">
        <v>20.61</v>
      </c>
      <c r="J167" s="440"/>
      <c r="K167" s="440"/>
      <c r="L167" s="440"/>
      <c r="M167" s="440"/>
      <c r="N167" s="45"/>
      <c r="O167" s="59"/>
      <c r="P167" s="68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spans="1:27" ht="13">
      <c r="A168" s="54">
        <v>2023</v>
      </c>
      <c r="B168" s="438">
        <v>45000</v>
      </c>
      <c r="C168" s="439" t="s">
        <v>481</v>
      </c>
      <c r="D168" s="439" t="s">
        <v>493</v>
      </c>
      <c r="E168" s="439" t="s">
        <v>595</v>
      </c>
      <c r="F168" s="439" t="s">
        <v>560</v>
      </c>
      <c r="G168" s="440"/>
      <c r="H168" s="440"/>
      <c r="I168" s="440"/>
      <c r="J168" s="440">
        <v>1340</v>
      </c>
      <c r="K168" s="440">
        <f t="shared" ref="K168:K169" si="3">J168-L168</f>
        <v>1098.3600000000001</v>
      </c>
      <c r="L168" s="440">
        <v>241.64</v>
      </c>
      <c r="M168" s="440"/>
      <c r="N168" s="45"/>
      <c r="O168" s="441" t="s">
        <v>457</v>
      </c>
      <c r="P168" s="442"/>
      <c r="Q168" s="45"/>
      <c r="R168" s="45"/>
      <c r="S168" s="84" t="s">
        <v>583</v>
      </c>
      <c r="T168" s="93"/>
      <c r="U168" s="45"/>
      <c r="V168" s="45"/>
      <c r="W168" s="45"/>
      <c r="X168" s="45"/>
      <c r="Y168" s="45"/>
      <c r="Z168" s="45"/>
      <c r="AA168" s="45"/>
    </row>
    <row r="169" spans="1:27" ht="13">
      <c r="A169" s="54">
        <v>2023</v>
      </c>
      <c r="B169" s="438">
        <v>45002</v>
      </c>
      <c r="C169" s="439" t="s">
        <v>481</v>
      </c>
      <c r="D169" s="439" t="s">
        <v>494</v>
      </c>
      <c r="E169" s="439" t="s">
        <v>521</v>
      </c>
      <c r="F169" s="439" t="s">
        <v>544</v>
      </c>
      <c r="G169" s="440"/>
      <c r="H169" s="440"/>
      <c r="I169" s="440"/>
      <c r="J169" s="440">
        <v>384</v>
      </c>
      <c r="K169" s="440">
        <f t="shared" si="3"/>
        <v>314.67</v>
      </c>
      <c r="L169" s="440">
        <v>69.33</v>
      </c>
      <c r="M169" s="440"/>
      <c r="N169" s="45"/>
      <c r="O169" s="443">
        <f>SUM(Facturacion!I57:I59)</f>
        <v>71456.054999999993</v>
      </c>
      <c r="P169" s="444"/>
      <c r="Q169" s="45"/>
      <c r="R169" s="45"/>
      <c r="S169" s="89" t="s">
        <v>411</v>
      </c>
      <c r="T169" s="420">
        <f>SUM(K159:K188)</f>
        <v>233274.05</v>
      </c>
      <c r="U169" s="45"/>
      <c r="V169" s="45"/>
      <c r="W169" s="45"/>
      <c r="X169" s="45"/>
      <c r="Y169" s="45"/>
      <c r="Z169" s="45"/>
      <c r="AA169" s="45"/>
    </row>
    <row r="170" spans="1:27" ht="13">
      <c r="A170" s="54">
        <v>2023</v>
      </c>
      <c r="B170" s="438">
        <v>45012</v>
      </c>
      <c r="C170" s="439" t="s">
        <v>481</v>
      </c>
      <c r="D170" s="439" t="s">
        <v>493</v>
      </c>
      <c r="E170" s="439" t="s">
        <v>63</v>
      </c>
      <c r="F170" s="439" t="s">
        <v>514</v>
      </c>
      <c r="G170" s="440"/>
      <c r="H170" s="440">
        <f>1.9+1.9</f>
        <v>3.8</v>
      </c>
      <c r="I170" s="440">
        <v>3.8</v>
      </c>
      <c r="J170" s="440">
        <v>763.59</v>
      </c>
      <c r="K170" s="440">
        <v>763.59</v>
      </c>
      <c r="L170" s="440"/>
      <c r="M170" s="440"/>
      <c r="N170" s="45"/>
      <c r="O170" s="445" t="s">
        <v>461</v>
      </c>
      <c r="P170" s="446" t="s">
        <v>462</v>
      </c>
      <c r="Q170" s="45"/>
      <c r="R170" s="45"/>
      <c r="S170" s="421" t="s">
        <v>584</v>
      </c>
      <c r="T170" s="91">
        <f>SUM(I159:I188)</f>
        <v>16045.73</v>
      </c>
      <c r="U170" s="45"/>
      <c r="V170" s="45"/>
      <c r="W170" s="45"/>
      <c r="X170" s="45"/>
      <c r="Y170" s="45"/>
      <c r="Z170" s="45"/>
      <c r="AA170" s="45"/>
    </row>
    <row r="171" spans="1:27" ht="13">
      <c r="A171" s="54">
        <v>2023</v>
      </c>
      <c r="B171" s="438">
        <v>45014</v>
      </c>
      <c r="C171" s="439" t="s">
        <v>481</v>
      </c>
      <c r="D171" s="439" t="s">
        <v>493</v>
      </c>
      <c r="E171" s="439" t="s">
        <v>595</v>
      </c>
      <c r="F171" s="439" t="s">
        <v>560</v>
      </c>
      <c r="G171" s="440"/>
      <c r="H171" s="440"/>
      <c r="I171" s="440"/>
      <c r="J171" s="440">
        <v>1555</v>
      </c>
      <c r="K171" s="440">
        <f>J171-L171</f>
        <v>1274.5899999999999</v>
      </c>
      <c r="L171" s="440">
        <v>280.41000000000003</v>
      </c>
      <c r="M171" s="440"/>
      <c r="N171" s="45"/>
      <c r="O171" s="447">
        <f>SUM(L159:L188)</f>
        <v>92344.76</v>
      </c>
      <c r="P171" s="448">
        <f>O169-O171</f>
        <v>-20888.705000000002</v>
      </c>
      <c r="Q171" s="45"/>
      <c r="R171" s="45"/>
      <c r="T171" s="45"/>
      <c r="U171" s="45"/>
      <c r="V171" s="45"/>
      <c r="W171" s="45"/>
      <c r="X171" s="45"/>
      <c r="Y171" s="45"/>
      <c r="Z171" s="45"/>
      <c r="AA171" s="45"/>
    </row>
    <row r="172" spans="1:27" ht="13">
      <c r="A172" s="54">
        <v>2023</v>
      </c>
      <c r="B172" s="438">
        <v>45015</v>
      </c>
      <c r="C172" s="439" t="s">
        <v>474</v>
      </c>
      <c r="D172" s="439" t="s">
        <v>493</v>
      </c>
      <c r="E172" s="439" t="s">
        <v>479</v>
      </c>
      <c r="F172" s="439" t="s">
        <v>514</v>
      </c>
      <c r="G172" s="440"/>
      <c r="H172" s="440">
        <f>30.17+25+40</f>
        <v>95.17</v>
      </c>
      <c r="I172" s="440">
        <v>95.17</v>
      </c>
      <c r="J172" s="440"/>
      <c r="K172" s="440"/>
      <c r="L172" s="440"/>
      <c r="M172" s="440"/>
      <c r="N172" s="45"/>
      <c r="Q172" s="45"/>
      <c r="R172" s="45"/>
      <c r="T172" s="45"/>
      <c r="U172" s="45"/>
      <c r="V172" s="45"/>
      <c r="W172" s="45"/>
      <c r="X172" s="45"/>
      <c r="Y172" s="45"/>
      <c r="Z172" s="45"/>
      <c r="AA172" s="45"/>
    </row>
    <row r="173" spans="1:27" ht="13">
      <c r="A173" s="54">
        <v>2023</v>
      </c>
      <c r="B173" s="438">
        <v>45015</v>
      </c>
      <c r="C173" s="439" t="s">
        <v>481</v>
      </c>
      <c r="D173" s="439" t="s">
        <v>494</v>
      </c>
      <c r="E173" s="439" t="s">
        <v>512</v>
      </c>
      <c r="F173" s="439" t="s">
        <v>582</v>
      </c>
      <c r="G173" s="440"/>
      <c r="H173" s="440"/>
      <c r="I173" s="440"/>
      <c r="J173" s="440">
        <v>15641</v>
      </c>
      <c r="K173" s="440">
        <v>15642</v>
      </c>
      <c r="L173" s="440"/>
      <c r="M173" s="440"/>
      <c r="N173" s="45"/>
      <c r="Q173" s="45"/>
      <c r="R173" s="45"/>
      <c r="T173" s="45"/>
      <c r="U173" s="45"/>
      <c r="V173" s="45"/>
      <c r="W173" s="45"/>
      <c r="X173" s="45"/>
      <c r="Y173" s="45"/>
      <c r="Z173" s="45"/>
      <c r="AA173" s="45"/>
    </row>
    <row r="174" spans="1:27" ht="13">
      <c r="A174" s="54">
        <v>2023</v>
      </c>
      <c r="B174" s="438">
        <v>45015</v>
      </c>
      <c r="C174" s="439" t="s">
        <v>481</v>
      </c>
      <c r="D174" s="439" t="s">
        <v>494</v>
      </c>
      <c r="E174" s="439" t="s">
        <v>512</v>
      </c>
      <c r="F174" s="439" t="s">
        <v>528</v>
      </c>
      <c r="G174" s="440"/>
      <c r="H174" s="440"/>
      <c r="I174" s="440"/>
      <c r="J174" s="440">
        <v>-20889</v>
      </c>
      <c r="K174" s="440">
        <v>-20889</v>
      </c>
      <c r="L174" s="440"/>
      <c r="M174" s="440"/>
      <c r="N174" s="45"/>
      <c r="Q174" s="45"/>
      <c r="R174" s="45"/>
      <c r="T174" s="45"/>
      <c r="U174" s="45"/>
      <c r="V174" s="45"/>
      <c r="W174" s="45"/>
      <c r="X174" s="45"/>
      <c r="Y174" s="45"/>
      <c r="Z174" s="45"/>
      <c r="AA174" s="45"/>
    </row>
    <row r="175" spans="1:27" ht="13">
      <c r="A175" s="54">
        <v>2023</v>
      </c>
      <c r="B175" s="438">
        <v>45015</v>
      </c>
      <c r="C175" s="439" t="s">
        <v>481</v>
      </c>
      <c r="D175" s="439" t="s">
        <v>494</v>
      </c>
      <c r="E175" s="439" t="s">
        <v>512</v>
      </c>
      <c r="F175" s="439" t="s">
        <v>574</v>
      </c>
      <c r="G175" s="440"/>
      <c r="H175" s="440"/>
      <c r="I175" s="440"/>
      <c r="J175" s="440">
        <v>1389</v>
      </c>
      <c r="K175" s="440">
        <v>1389</v>
      </c>
      <c r="L175" s="440"/>
      <c r="M175" s="440"/>
      <c r="N175" s="45"/>
      <c r="Q175" s="45"/>
      <c r="R175" s="45"/>
      <c r="T175" s="45"/>
      <c r="U175" s="45"/>
      <c r="V175" s="45"/>
      <c r="W175" s="45"/>
      <c r="X175" s="45"/>
      <c r="Y175" s="45"/>
      <c r="Z175" s="45"/>
      <c r="AA175" s="45"/>
    </row>
    <row r="176" spans="1:27" ht="13">
      <c r="A176" s="54">
        <v>2023</v>
      </c>
      <c r="B176" s="438">
        <v>45015</v>
      </c>
      <c r="C176" s="439" t="s">
        <v>481</v>
      </c>
      <c r="D176" s="439" t="s">
        <v>494</v>
      </c>
      <c r="E176" s="439" t="s">
        <v>502</v>
      </c>
      <c r="F176" s="439" t="s">
        <v>522</v>
      </c>
      <c r="G176" s="440"/>
      <c r="H176" s="440"/>
      <c r="I176" s="440"/>
      <c r="J176" s="440">
        <v>17721</v>
      </c>
      <c r="K176" s="440">
        <v>17721</v>
      </c>
      <c r="L176" s="440"/>
      <c r="M176" s="440"/>
      <c r="N176" s="45"/>
      <c r="Q176" s="45"/>
      <c r="R176" s="45"/>
      <c r="T176" s="45"/>
      <c r="U176" s="45"/>
      <c r="V176" s="45"/>
      <c r="W176" s="45"/>
      <c r="X176" s="45"/>
      <c r="Y176" s="45"/>
      <c r="Z176" s="45"/>
      <c r="AA176" s="45"/>
    </row>
    <row r="177" spans="1:27" ht="13">
      <c r="A177" s="54">
        <v>2023</v>
      </c>
      <c r="B177" s="438">
        <v>45015</v>
      </c>
      <c r="C177" s="439" t="s">
        <v>474</v>
      </c>
      <c r="D177" s="439" t="s">
        <v>596</v>
      </c>
      <c r="E177" s="439" t="s">
        <v>597</v>
      </c>
      <c r="F177" s="439" t="s">
        <v>598</v>
      </c>
      <c r="G177" s="440"/>
      <c r="H177" s="440">
        <v>116</v>
      </c>
      <c r="I177" s="440">
        <v>116</v>
      </c>
      <c r="J177" s="440"/>
      <c r="K177" s="440"/>
      <c r="L177" s="440"/>
      <c r="M177" s="440"/>
      <c r="N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spans="1:27" ht="13">
      <c r="A178" s="54">
        <v>2023</v>
      </c>
      <c r="B178" s="438">
        <v>45016</v>
      </c>
      <c r="C178" s="439" t="s">
        <v>474</v>
      </c>
      <c r="D178" s="439" t="s">
        <v>596</v>
      </c>
      <c r="E178" s="439" t="s">
        <v>599</v>
      </c>
      <c r="F178" s="439" t="s">
        <v>600</v>
      </c>
      <c r="G178" s="440"/>
      <c r="H178" s="440">
        <v>850</v>
      </c>
      <c r="I178" s="440">
        <v>850</v>
      </c>
      <c r="J178" s="440"/>
      <c r="K178" s="440"/>
      <c r="L178" s="440"/>
      <c r="M178" s="440"/>
      <c r="N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spans="1:27" ht="13">
      <c r="A179" s="54">
        <v>2023</v>
      </c>
      <c r="B179" s="438">
        <v>45016</v>
      </c>
      <c r="C179" s="439" t="s">
        <v>481</v>
      </c>
      <c r="D179" s="439" t="s">
        <v>489</v>
      </c>
      <c r="E179" s="439" t="s">
        <v>463</v>
      </c>
      <c r="F179" s="439" t="s">
        <v>464</v>
      </c>
      <c r="G179" s="440"/>
      <c r="H179" s="440"/>
      <c r="I179" s="440"/>
      <c r="J179" s="440">
        <v>6600</v>
      </c>
      <c r="K179" s="440">
        <f>J179-L179</f>
        <v>5409.84</v>
      </c>
      <c r="L179" s="440">
        <v>1190.1600000000001</v>
      </c>
      <c r="M179" s="440"/>
      <c r="N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spans="1:27" ht="13">
      <c r="A180" s="54">
        <v>2023</v>
      </c>
      <c r="B180" s="438">
        <v>45016</v>
      </c>
      <c r="C180" s="439" t="s">
        <v>481</v>
      </c>
      <c r="D180" s="439" t="s">
        <v>482</v>
      </c>
      <c r="E180" s="439" t="s">
        <v>458</v>
      </c>
      <c r="F180" s="439" t="s">
        <v>459</v>
      </c>
      <c r="G180" s="440"/>
      <c r="H180" s="440">
        <v>4636</v>
      </c>
      <c r="I180" s="440">
        <v>3800</v>
      </c>
      <c r="J180" s="440"/>
      <c r="K180" s="440"/>
      <c r="L180" s="440">
        <f>836*M180</f>
        <v>32466.06</v>
      </c>
      <c r="M180" s="439">
        <v>38.835000000000001</v>
      </c>
      <c r="N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spans="1:27" ht="13">
      <c r="A181" s="54">
        <v>2023</v>
      </c>
      <c r="B181" s="438">
        <v>45016</v>
      </c>
      <c r="C181" s="439" t="s">
        <v>481</v>
      </c>
      <c r="D181" s="439" t="s">
        <v>482</v>
      </c>
      <c r="E181" s="439" t="s">
        <v>460</v>
      </c>
      <c r="F181" s="439" t="s">
        <v>459</v>
      </c>
      <c r="G181" s="439"/>
      <c r="H181" s="440">
        <v>3660</v>
      </c>
      <c r="I181" s="440">
        <v>3000</v>
      </c>
      <c r="J181" s="440"/>
      <c r="K181" s="440"/>
      <c r="L181" s="440">
        <f>660*M181</f>
        <v>25631.100000000002</v>
      </c>
      <c r="M181" s="439">
        <v>38.835000000000001</v>
      </c>
      <c r="N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spans="1:27" ht="13">
      <c r="A182" s="54">
        <v>2023</v>
      </c>
      <c r="B182" s="438">
        <v>45016</v>
      </c>
      <c r="C182" s="439" t="s">
        <v>481</v>
      </c>
      <c r="D182" s="439" t="s">
        <v>482</v>
      </c>
      <c r="E182" s="439" t="s">
        <v>133</v>
      </c>
      <c r="F182" s="439" t="s">
        <v>459</v>
      </c>
      <c r="G182" s="439"/>
      <c r="H182" s="440">
        <v>4636</v>
      </c>
      <c r="I182" s="440">
        <v>3800</v>
      </c>
      <c r="J182" s="440"/>
      <c r="K182" s="440"/>
      <c r="L182" s="440">
        <f>836*M182</f>
        <v>32466.06</v>
      </c>
      <c r="M182" s="439">
        <v>38.835000000000001</v>
      </c>
      <c r="N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spans="1:27" ht="13">
      <c r="A183" s="54">
        <v>2023</v>
      </c>
      <c r="B183" s="438">
        <v>45016</v>
      </c>
      <c r="C183" s="439" t="s">
        <v>474</v>
      </c>
      <c r="D183" s="439" t="s">
        <v>482</v>
      </c>
      <c r="E183" s="439" t="s">
        <v>483</v>
      </c>
      <c r="F183" s="439" t="s">
        <v>459</v>
      </c>
      <c r="G183" s="449"/>
      <c r="H183" s="440" t="e">
        <f>#REF!</f>
        <v>#REF!</v>
      </c>
      <c r="I183" s="440">
        <v>767.19</v>
      </c>
      <c r="J183" s="440"/>
      <c r="K183" s="440"/>
      <c r="L183" s="440"/>
      <c r="M183" s="439"/>
      <c r="N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spans="1:27" ht="13">
      <c r="A184" s="54">
        <v>2023</v>
      </c>
      <c r="B184" s="438">
        <v>45016</v>
      </c>
      <c r="C184" s="439" t="s">
        <v>474</v>
      </c>
      <c r="D184" s="439" t="s">
        <v>482</v>
      </c>
      <c r="E184" s="439" t="s">
        <v>535</v>
      </c>
      <c r="F184" s="439" t="s">
        <v>459</v>
      </c>
      <c r="G184" s="449"/>
      <c r="H184" s="440" t="e">
        <f>#REF!</f>
        <v>#REF!</v>
      </c>
      <c r="I184" s="440">
        <v>671.29</v>
      </c>
      <c r="J184" s="440"/>
      <c r="K184" s="440"/>
      <c r="L184" s="440"/>
      <c r="M184" s="439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spans="1:27" ht="13">
      <c r="A185" s="54">
        <v>2023</v>
      </c>
      <c r="B185" s="438">
        <v>45016</v>
      </c>
      <c r="C185" s="439" t="s">
        <v>474</v>
      </c>
      <c r="D185" s="439" t="s">
        <v>482</v>
      </c>
      <c r="E185" s="439" t="s">
        <v>541</v>
      </c>
      <c r="F185" s="439" t="s">
        <v>459</v>
      </c>
      <c r="G185" s="449"/>
      <c r="H185" s="440" t="e">
        <f>#REF!</f>
        <v>#REF!</v>
      </c>
      <c r="I185" s="440">
        <v>671.29</v>
      </c>
      <c r="J185" s="440"/>
      <c r="K185" s="440"/>
      <c r="L185" s="440"/>
      <c r="M185" s="439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spans="1:27" ht="13">
      <c r="A186" s="54">
        <v>2023</v>
      </c>
      <c r="B186" s="438">
        <v>45016</v>
      </c>
      <c r="C186" s="439" t="s">
        <v>474</v>
      </c>
      <c r="D186" s="439" t="s">
        <v>482</v>
      </c>
      <c r="E186" s="439" t="s">
        <v>537</v>
      </c>
      <c r="F186" s="439" t="s">
        <v>459</v>
      </c>
      <c r="G186" s="449"/>
      <c r="H186" s="440" t="e">
        <f>#REF!</f>
        <v>#REF!</v>
      </c>
      <c r="I186" s="440">
        <v>479.49</v>
      </c>
      <c r="J186" s="440"/>
      <c r="K186" s="440"/>
      <c r="L186" s="440"/>
      <c r="M186" s="439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spans="1:27" ht="13">
      <c r="A187" s="54">
        <v>2023</v>
      </c>
      <c r="B187" s="450">
        <v>45016</v>
      </c>
      <c r="C187" s="451" t="s">
        <v>474</v>
      </c>
      <c r="D187" s="451" t="s">
        <v>554</v>
      </c>
      <c r="E187" s="451" t="s">
        <v>540</v>
      </c>
      <c r="F187" s="451" t="s">
        <v>459</v>
      </c>
      <c r="G187" s="452"/>
      <c r="H187" s="453" t="e">
        <f>#REF!</f>
        <v>#REF!</v>
      </c>
      <c r="I187" s="453">
        <v>767.19</v>
      </c>
      <c r="J187" s="453"/>
      <c r="K187" s="453"/>
      <c r="L187" s="453"/>
      <c r="M187" s="451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spans="1:27" ht="13">
      <c r="A188" s="54">
        <v>2023</v>
      </c>
      <c r="B188" s="438">
        <v>45016</v>
      </c>
      <c r="C188" s="439" t="s">
        <v>481</v>
      </c>
      <c r="D188" s="439" t="s">
        <v>482</v>
      </c>
      <c r="E188" s="439" t="s">
        <v>495</v>
      </c>
      <c r="F188" s="439" t="s">
        <v>496</v>
      </c>
      <c r="G188" s="449"/>
      <c r="H188" s="440"/>
      <c r="I188" s="440"/>
      <c r="J188" s="440">
        <v>209318</v>
      </c>
      <c r="K188" s="440">
        <v>209318</v>
      </c>
      <c r="L188" s="440"/>
      <c r="M188" s="439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spans="1:27" ht="13">
      <c r="A189" s="54">
        <v>2023</v>
      </c>
      <c r="B189" s="454">
        <v>45019</v>
      </c>
      <c r="C189" s="455" t="s">
        <v>474</v>
      </c>
      <c r="D189" s="455" t="s">
        <v>478</v>
      </c>
      <c r="E189" s="455" t="s">
        <v>479</v>
      </c>
      <c r="F189" s="455" t="s">
        <v>480</v>
      </c>
      <c r="G189" s="456"/>
      <c r="H189" s="457">
        <f>240+40</f>
        <v>280</v>
      </c>
      <c r="I189" s="457">
        <v>280</v>
      </c>
      <c r="J189" s="457"/>
      <c r="K189" s="457"/>
      <c r="L189" s="457"/>
      <c r="M189" s="45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spans="1:27" ht="13">
      <c r="A190" s="54">
        <v>2023</v>
      </c>
      <c r="B190" s="454">
        <v>45023</v>
      </c>
      <c r="C190" s="455" t="s">
        <v>481</v>
      </c>
      <c r="D190" s="455" t="s">
        <v>491</v>
      </c>
      <c r="E190" s="455" t="s">
        <v>517</v>
      </c>
      <c r="F190" s="455" t="s">
        <v>576</v>
      </c>
      <c r="G190" s="456"/>
      <c r="H190" s="457">
        <v>139.07</v>
      </c>
      <c r="I190" s="457">
        <v>139.07</v>
      </c>
      <c r="J190" s="457"/>
      <c r="K190" s="457"/>
      <c r="L190" s="457"/>
      <c r="M190" s="45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spans="1:27" ht="13">
      <c r="A191" s="54">
        <v>2023</v>
      </c>
      <c r="B191" s="454">
        <v>45023</v>
      </c>
      <c r="C191" s="455" t="s">
        <v>481</v>
      </c>
      <c r="D191" s="455" t="s">
        <v>491</v>
      </c>
      <c r="E191" s="455" t="s">
        <v>601</v>
      </c>
      <c r="F191" s="455" t="s">
        <v>576</v>
      </c>
      <c r="G191" s="456"/>
      <c r="H191" s="457">
        <v>25.42</v>
      </c>
      <c r="I191" s="457">
        <v>25.42</v>
      </c>
      <c r="J191" s="457"/>
      <c r="K191" s="457"/>
      <c r="L191" s="457"/>
      <c r="M191" s="45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spans="1:27" ht="13">
      <c r="A192" s="54">
        <v>2023</v>
      </c>
      <c r="B192" s="454">
        <v>45023</v>
      </c>
      <c r="C192" s="455" t="s">
        <v>481</v>
      </c>
      <c r="D192" s="455" t="s">
        <v>491</v>
      </c>
      <c r="E192" s="455" t="s">
        <v>575</v>
      </c>
      <c r="F192" s="455" t="s">
        <v>576</v>
      </c>
      <c r="G192" s="456"/>
      <c r="H192" s="457">
        <v>9.02</v>
      </c>
      <c r="I192" s="457">
        <v>9.02</v>
      </c>
      <c r="J192" s="457"/>
      <c r="K192" s="457"/>
      <c r="L192" s="457"/>
      <c r="M192" s="45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spans="1:27" ht="13">
      <c r="A193" s="54">
        <v>2023</v>
      </c>
      <c r="B193" s="454">
        <v>45023</v>
      </c>
      <c r="C193" s="455" t="s">
        <v>481</v>
      </c>
      <c r="D193" s="455" t="s">
        <v>491</v>
      </c>
      <c r="E193" s="455" t="s">
        <v>592</v>
      </c>
      <c r="F193" s="455" t="s">
        <v>576</v>
      </c>
      <c r="G193" s="456"/>
      <c r="H193" s="457">
        <v>40</v>
      </c>
      <c r="I193" s="457">
        <v>40</v>
      </c>
      <c r="J193" s="457"/>
      <c r="K193" s="457"/>
      <c r="L193" s="457"/>
      <c r="M193" s="45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spans="1:27" ht="13">
      <c r="A194" s="54">
        <v>2023</v>
      </c>
      <c r="B194" s="454">
        <v>45023</v>
      </c>
      <c r="C194" s="455" t="s">
        <v>481</v>
      </c>
      <c r="D194" s="455" t="s">
        <v>491</v>
      </c>
      <c r="E194" s="455" t="s">
        <v>532</v>
      </c>
      <c r="F194" s="455" t="s">
        <v>576</v>
      </c>
      <c r="G194" s="456"/>
      <c r="H194" s="457">
        <v>15</v>
      </c>
      <c r="I194" s="457">
        <v>15</v>
      </c>
      <c r="J194" s="457"/>
      <c r="K194" s="457"/>
      <c r="L194" s="457"/>
      <c r="M194" s="45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spans="1:27" ht="13">
      <c r="A195" s="54">
        <v>2023</v>
      </c>
      <c r="B195" s="454">
        <v>45023</v>
      </c>
      <c r="C195" s="455" t="s">
        <v>481</v>
      </c>
      <c r="D195" s="455" t="s">
        <v>491</v>
      </c>
      <c r="E195" s="455" t="s">
        <v>602</v>
      </c>
      <c r="F195" s="455" t="s">
        <v>576</v>
      </c>
      <c r="G195" s="456"/>
      <c r="H195" s="457">
        <v>25.76</v>
      </c>
      <c r="I195" s="457">
        <v>25.76</v>
      </c>
      <c r="J195" s="457"/>
      <c r="K195" s="457"/>
      <c r="L195" s="457"/>
      <c r="M195" s="45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spans="1:27" ht="13">
      <c r="A196" s="54">
        <v>2023</v>
      </c>
      <c r="B196" s="454">
        <v>45023</v>
      </c>
      <c r="C196" s="455" t="s">
        <v>481</v>
      </c>
      <c r="D196" s="455" t="s">
        <v>491</v>
      </c>
      <c r="E196" s="455" t="s">
        <v>591</v>
      </c>
      <c r="F196" s="455" t="s">
        <v>576</v>
      </c>
      <c r="G196" s="456"/>
      <c r="H196" s="457">
        <v>20</v>
      </c>
      <c r="I196" s="457">
        <v>20</v>
      </c>
      <c r="J196" s="457"/>
      <c r="K196" s="426"/>
      <c r="L196" s="457"/>
      <c r="M196" s="45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spans="1:27" ht="13">
      <c r="A197" s="54">
        <v>2023</v>
      </c>
      <c r="B197" s="454">
        <v>45026</v>
      </c>
      <c r="C197" s="455" t="s">
        <v>474</v>
      </c>
      <c r="D197" s="455" t="s">
        <v>596</v>
      </c>
      <c r="E197" s="455" t="s">
        <v>585</v>
      </c>
      <c r="F197" s="455" t="s">
        <v>603</v>
      </c>
      <c r="G197" s="456"/>
      <c r="H197" s="457">
        <v>1708.58</v>
      </c>
      <c r="I197" s="457">
        <v>1708.58</v>
      </c>
      <c r="J197" s="457"/>
      <c r="K197" s="457"/>
      <c r="L197" s="457"/>
      <c r="M197" s="45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spans="1:27" ht="13">
      <c r="A198" s="54">
        <v>2023</v>
      </c>
      <c r="B198" s="454">
        <v>45027</v>
      </c>
      <c r="C198" s="455" t="s">
        <v>474</v>
      </c>
      <c r="D198" s="455" t="s">
        <v>596</v>
      </c>
      <c r="E198" s="455" t="s">
        <v>585</v>
      </c>
      <c r="F198" s="455" t="s">
        <v>603</v>
      </c>
      <c r="G198" s="456"/>
      <c r="H198" s="457">
        <v>936.8</v>
      </c>
      <c r="I198" s="457">
        <v>936.8</v>
      </c>
      <c r="J198" s="457"/>
      <c r="K198" s="457"/>
      <c r="L198" s="457"/>
      <c r="M198" s="45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spans="1:27" ht="13">
      <c r="A199" s="54">
        <v>2023</v>
      </c>
      <c r="B199" s="454">
        <v>45027</v>
      </c>
      <c r="C199" s="455" t="s">
        <v>474</v>
      </c>
      <c r="D199" s="455" t="s">
        <v>596</v>
      </c>
      <c r="E199" s="455" t="s">
        <v>597</v>
      </c>
      <c r="F199" s="455" t="s">
        <v>604</v>
      </c>
      <c r="G199" s="456"/>
      <c r="H199" s="457">
        <v>215</v>
      </c>
      <c r="I199" s="457">
        <v>215</v>
      </c>
      <c r="J199" s="457"/>
      <c r="K199" s="457"/>
      <c r="L199" s="457"/>
      <c r="M199" s="45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spans="1:27" ht="13">
      <c r="A200" s="54">
        <v>2023</v>
      </c>
      <c r="B200" s="424">
        <v>45027</v>
      </c>
      <c r="C200" s="425" t="s">
        <v>474</v>
      </c>
      <c r="D200" s="425" t="s">
        <v>596</v>
      </c>
      <c r="E200" s="425" t="s">
        <v>585</v>
      </c>
      <c r="F200" s="425" t="s">
        <v>605</v>
      </c>
      <c r="G200" s="458"/>
      <c r="H200" s="426">
        <v>1771.12</v>
      </c>
      <c r="I200" s="426">
        <v>1771.12</v>
      </c>
      <c r="J200" s="426"/>
      <c r="K200" s="426"/>
      <c r="L200" s="426"/>
      <c r="M200" s="42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 ht="13">
      <c r="A201" s="54">
        <v>2023</v>
      </c>
      <c r="B201" s="424">
        <v>45027</v>
      </c>
      <c r="C201" s="425" t="s">
        <v>474</v>
      </c>
      <c r="D201" s="425" t="s">
        <v>596</v>
      </c>
      <c r="E201" s="425" t="s">
        <v>585</v>
      </c>
      <c r="F201" s="425" t="s">
        <v>606</v>
      </c>
      <c r="G201" s="458"/>
      <c r="H201" s="426">
        <v>971.08</v>
      </c>
      <c r="I201" s="426">
        <v>971.08</v>
      </c>
      <c r="J201" s="426"/>
      <c r="K201" s="426"/>
      <c r="L201" s="426"/>
      <c r="M201" s="42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 ht="13">
      <c r="A202" s="54">
        <v>2023</v>
      </c>
      <c r="B202" s="424">
        <v>45031</v>
      </c>
      <c r="C202" s="425" t="s">
        <v>481</v>
      </c>
      <c r="D202" s="425" t="s">
        <v>494</v>
      </c>
      <c r="E202" s="425" t="s">
        <v>502</v>
      </c>
      <c r="F202" s="425" t="s">
        <v>522</v>
      </c>
      <c r="G202" s="458"/>
      <c r="H202" s="426"/>
      <c r="I202" s="426"/>
      <c r="J202" s="426">
        <v>17721</v>
      </c>
      <c r="K202" s="426">
        <v>17721</v>
      </c>
      <c r="L202" s="426"/>
      <c r="M202" s="42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spans="1:27" ht="13">
      <c r="A203" s="54">
        <v>2023</v>
      </c>
      <c r="B203" s="424">
        <v>45033</v>
      </c>
      <c r="C203" s="425" t="s">
        <v>474</v>
      </c>
      <c r="D203" s="425" t="s">
        <v>490</v>
      </c>
      <c r="E203" s="425" t="s">
        <v>557</v>
      </c>
      <c r="F203" s="425" t="s">
        <v>558</v>
      </c>
      <c r="G203" s="458"/>
      <c r="H203" s="426">
        <v>292.25</v>
      </c>
      <c r="I203" s="426">
        <v>292.25</v>
      </c>
      <c r="J203" s="426"/>
      <c r="K203" s="426"/>
      <c r="L203" s="426"/>
      <c r="M203" s="42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 ht="13">
      <c r="A204" s="54">
        <v>2023</v>
      </c>
      <c r="B204" s="424">
        <v>45035</v>
      </c>
      <c r="C204" s="425" t="s">
        <v>474</v>
      </c>
      <c r="D204" s="425" t="s">
        <v>596</v>
      </c>
      <c r="E204" s="425" t="s">
        <v>607</v>
      </c>
      <c r="F204" s="425" t="s">
        <v>608</v>
      </c>
      <c r="G204" s="458"/>
      <c r="H204" s="426">
        <v>93</v>
      </c>
      <c r="I204" s="426">
        <v>76.23</v>
      </c>
      <c r="J204" s="426"/>
      <c r="K204" s="426"/>
      <c r="L204" s="426">
        <f>16.77*M204</f>
        <v>652.78902000000005</v>
      </c>
      <c r="M204" s="425">
        <v>38.926000000000002</v>
      </c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 ht="13">
      <c r="A205" s="54">
        <v>2023</v>
      </c>
      <c r="B205" s="424">
        <v>45036</v>
      </c>
      <c r="C205" s="425" t="s">
        <v>474</v>
      </c>
      <c r="D205" s="425" t="s">
        <v>596</v>
      </c>
      <c r="E205" s="425" t="s">
        <v>609</v>
      </c>
      <c r="F205" s="425" t="s">
        <v>610</v>
      </c>
      <c r="G205" s="458"/>
      <c r="H205" s="426"/>
      <c r="I205" s="426"/>
      <c r="J205" s="426">
        <v>2728.94</v>
      </c>
      <c r="K205" s="426">
        <f>J205-L205</f>
        <v>2236.84</v>
      </c>
      <c r="L205" s="426">
        <v>492.1</v>
      </c>
      <c r="M205" s="42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spans="1:27" ht="13">
      <c r="A206" s="54">
        <v>2023</v>
      </c>
      <c r="B206" s="424">
        <v>45036</v>
      </c>
      <c r="C206" s="425" t="s">
        <v>474</v>
      </c>
      <c r="D206" s="425" t="s">
        <v>596</v>
      </c>
      <c r="E206" s="425" t="s">
        <v>564</v>
      </c>
      <c r="F206" s="425" t="s">
        <v>611</v>
      </c>
      <c r="G206" s="458"/>
      <c r="H206" s="426">
        <v>600</v>
      </c>
      <c r="I206" s="426">
        <v>600</v>
      </c>
      <c r="J206" s="426"/>
      <c r="K206" s="426"/>
      <c r="L206" s="426"/>
      <c r="M206" s="42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spans="1:27" ht="13">
      <c r="A207" s="54">
        <v>2023</v>
      </c>
      <c r="B207" s="424">
        <v>45036</v>
      </c>
      <c r="C207" s="425" t="s">
        <v>474</v>
      </c>
      <c r="D207" s="425" t="s">
        <v>596</v>
      </c>
      <c r="E207" s="425" t="s">
        <v>530</v>
      </c>
      <c r="F207" s="425" t="s">
        <v>555</v>
      </c>
      <c r="G207" s="458"/>
      <c r="H207" s="426">
        <v>136</v>
      </c>
      <c r="I207" s="426">
        <v>136</v>
      </c>
      <c r="J207" s="426"/>
      <c r="K207" s="426"/>
      <c r="L207" s="426"/>
      <c r="M207" s="42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 ht="13">
      <c r="A208" s="54">
        <v>2023</v>
      </c>
      <c r="B208" s="424">
        <v>45041</v>
      </c>
      <c r="C208" s="425" t="s">
        <v>474</v>
      </c>
      <c r="D208" s="425" t="s">
        <v>596</v>
      </c>
      <c r="E208" s="425" t="s">
        <v>607</v>
      </c>
      <c r="F208" s="425" t="s">
        <v>302</v>
      </c>
      <c r="G208" s="458"/>
      <c r="H208" s="426">
        <v>-62</v>
      </c>
      <c r="I208" s="426">
        <v>-50.82</v>
      </c>
      <c r="J208" s="426"/>
      <c r="K208" s="426"/>
      <c r="L208" s="426">
        <f>-11.18*M208</f>
        <v>-434.85728</v>
      </c>
      <c r="M208" s="425">
        <v>38.896000000000001</v>
      </c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 ht="13">
      <c r="A209" s="54">
        <v>2023</v>
      </c>
      <c r="B209" s="424">
        <v>45041</v>
      </c>
      <c r="C209" s="425" t="s">
        <v>481</v>
      </c>
      <c r="D209" s="425" t="s">
        <v>494</v>
      </c>
      <c r="E209" s="425" t="s">
        <v>512</v>
      </c>
      <c r="F209" s="425" t="s">
        <v>582</v>
      </c>
      <c r="G209" s="458"/>
      <c r="H209" s="426"/>
      <c r="I209" s="426"/>
      <c r="J209" s="426">
        <v>15544</v>
      </c>
      <c r="K209" s="426">
        <v>15544</v>
      </c>
      <c r="L209" s="426"/>
      <c r="M209" s="42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 ht="13">
      <c r="A210" s="54">
        <v>2023</v>
      </c>
      <c r="B210" s="424">
        <v>45041</v>
      </c>
      <c r="C210" s="425" t="s">
        <v>481</v>
      </c>
      <c r="D210" s="425" t="s">
        <v>494</v>
      </c>
      <c r="E210" s="425" t="s">
        <v>512</v>
      </c>
      <c r="F210" s="425" t="s">
        <v>528</v>
      </c>
      <c r="G210" s="458"/>
      <c r="H210" s="426"/>
      <c r="I210" s="426"/>
      <c r="J210" s="426">
        <v>68220</v>
      </c>
      <c r="K210" s="426">
        <v>68220</v>
      </c>
      <c r="L210" s="426"/>
      <c r="M210" s="42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 ht="13">
      <c r="A211" s="54">
        <v>2023</v>
      </c>
      <c r="B211" s="424">
        <v>45041</v>
      </c>
      <c r="C211" s="425" t="s">
        <v>481</v>
      </c>
      <c r="D211" s="425" t="s">
        <v>494</v>
      </c>
      <c r="E211" s="425" t="s">
        <v>512</v>
      </c>
      <c r="F211" s="425" t="s">
        <v>574</v>
      </c>
      <c r="G211" s="458"/>
      <c r="H211" s="426"/>
      <c r="I211" s="426"/>
      <c r="J211" s="426">
        <v>1389</v>
      </c>
      <c r="K211" s="426">
        <v>1389</v>
      </c>
      <c r="L211" s="426"/>
      <c r="M211" s="42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 ht="13">
      <c r="A212" s="54">
        <v>2023</v>
      </c>
      <c r="B212" s="424">
        <v>45041</v>
      </c>
      <c r="C212" s="425" t="s">
        <v>474</v>
      </c>
      <c r="D212" s="425" t="s">
        <v>596</v>
      </c>
      <c r="E212" s="425" t="s">
        <v>612</v>
      </c>
      <c r="F212" s="425" t="s">
        <v>613</v>
      </c>
      <c r="G212" s="458"/>
      <c r="H212" s="426">
        <v>306</v>
      </c>
      <c r="I212" s="426">
        <v>306</v>
      </c>
      <c r="J212" s="426"/>
      <c r="K212" s="426"/>
      <c r="L212" s="426"/>
      <c r="M212" s="42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 ht="13">
      <c r="A213" s="54">
        <v>2023</v>
      </c>
      <c r="B213" s="424">
        <v>45042</v>
      </c>
      <c r="C213" s="425" t="s">
        <v>474</v>
      </c>
      <c r="D213" s="425" t="s">
        <v>596</v>
      </c>
      <c r="E213" s="425" t="s">
        <v>614</v>
      </c>
      <c r="F213" s="425" t="s">
        <v>615</v>
      </c>
      <c r="G213" s="458"/>
      <c r="H213" s="426">
        <v>2591</v>
      </c>
      <c r="I213" s="426">
        <v>2591</v>
      </c>
      <c r="J213" s="426"/>
      <c r="K213" s="426"/>
      <c r="L213" s="426"/>
      <c r="M213" s="42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 ht="13">
      <c r="A214" s="54">
        <v>2023</v>
      </c>
      <c r="B214" s="454">
        <v>45019</v>
      </c>
      <c r="C214" s="425" t="s">
        <v>474</v>
      </c>
      <c r="D214" s="425" t="s">
        <v>493</v>
      </c>
      <c r="E214" s="425" t="s">
        <v>479</v>
      </c>
      <c r="F214" s="455" t="s">
        <v>514</v>
      </c>
      <c r="G214" s="458"/>
      <c r="H214" s="426"/>
      <c r="I214" s="426"/>
      <c r="J214" s="426">
        <v>1232</v>
      </c>
      <c r="K214" s="426">
        <v>1232</v>
      </c>
      <c r="L214" s="426"/>
      <c r="M214" s="42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 ht="13">
      <c r="A215" s="54">
        <v>2023</v>
      </c>
      <c r="B215" s="424">
        <v>45042</v>
      </c>
      <c r="C215" s="425" t="s">
        <v>474</v>
      </c>
      <c r="D215" s="425" t="s">
        <v>478</v>
      </c>
      <c r="E215" s="425" t="s">
        <v>479</v>
      </c>
      <c r="F215" s="425" t="s">
        <v>547</v>
      </c>
      <c r="G215" s="458"/>
      <c r="H215" s="426">
        <f>40+40+117.55</f>
        <v>197.55</v>
      </c>
      <c r="I215" s="426">
        <v>197.55</v>
      </c>
      <c r="J215" s="426">
        <v>349.53</v>
      </c>
      <c r="K215" s="426">
        <v>349.53</v>
      </c>
      <c r="L215" s="426"/>
      <c r="M215" s="42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spans="1:27" ht="13">
      <c r="A216" s="54">
        <v>2023</v>
      </c>
      <c r="B216" s="424">
        <v>45042</v>
      </c>
      <c r="C216" s="425" t="s">
        <v>474</v>
      </c>
      <c r="D216" s="425" t="s">
        <v>596</v>
      </c>
      <c r="E216" s="425" t="s">
        <v>607</v>
      </c>
      <c r="F216" s="425" t="s">
        <v>608</v>
      </c>
      <c r="G216" s="458"/>
      <c r="H216" s="426">
        <v>65.2</v>
      </c>
      <c r="I216" s="426">
        <v>53.44</v>
      </c>
      <c r="J216" s="426"/>
      <c r="K216" s="426"/>
      <c r="L216" s="426">
        <f>11.76*M216</f>
        <v>455.28840000000002</v>
      </c>
      <c r="M216" s="425">
        <v>38.715000000000003</v>
      </c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spans="1:27" ht="13">
      <c r="A217" s="54">
        <v>2023</v>
      </c>
      <c r="B217" s="424">
        <v>45043</v>
      </c>
      <c r="C217" s="425" t="s">
        <v>474</v>
      </c>
      <c r="D217" s="425" t="s">
        <v>596</v>
      </c>
      <c r="E217" s="425" t="s">
        <v>616</v>
      </c>
      <c r="F217" s="425" t="s">
        <v>617</v>
      </c>
      <c r="G217" s="458"/>
      <c r="H217" s="426"/>
      <c r="I217" s="426"/>
      <c r="J217" s="426">
        <v>5978</v>
      </c>
      <c r="K217" s="426">
        <f>J217-L217</f>
        <v>4900</v>
      </c>
      <c r="L217" s="426">
        <v>1078</v>
      </c>
      <c r="M217" s="42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spans="1:27" ht="13">
      <c r="A218" s="54">
        <v>2023</v>
      </c>
      <c r="B218" s="424">
        <v>45044</v>
      </c>
      <c r="C218" s="425" t="s">
        <v>481</v>
      </c>
      <c r="D218" s="425" t="s">
        <v>493</v>
      </c>
      <c r="E218" s="425" t="s">
        <v>63</v>
      </c>
      <c r="F218" s="425" t="s">
        <v>514</v>
      </c>
      <c r="G218" s="458"/>
      <c r="H218" s="426">
        <v>3.8</v>
      </c>
      <c r="I218" s="426">
        <v>3.8</v>
      </c>
      <c r="J218" s="426">
        <f>779.14</f>
        <v>779.14</v>
      </c>
      <c r="K218" s="426">
        <v>779.14</v>
      </c>
      <c r="L218" s="426"/>
      <c r="M218" s="42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spans="1:27" ht="13">
      <c r="A219" s="54">
        <v>2023</v>
      </c>
      <c r="B219" s="435">
        <v>45046</v>
      </c>
      <c r="C219" s="425" t="s">
        <v>474</v>
      </c>
      <c r="D219" s="425" t="s">
        <v>482</v>
      </c>
      <c r="E219" s="425" t="s">
        <v>483</v>
      </c>
      <c r="F219" s="425" t="s">
        <v>459</v>
      </c>
      <c r="G219" s="459"/>
      <c r="H219" s="437">
        <v>763</v>
      </c>
      <c r="I219" s="437">
        <v>763</v>
      </c>
      <c r="J219" s="437"/>
      <c r="K219" s="437"/>
      <c r="L219" s="437"/>
      <c r="M219" s="436"/>
      <c r="N219" s="45"/>
      <c r="O219" s="92" t="s">
        <v>457</v>
      </c>
      <c r="P219" s="460"/>
      <c r="Q219" s="45"/>
      <c r="R219" s="45"/>
      <c r="S219" s="84" t="s">
        <v>583</v>
      </c>
      <c r="T219" s="93"/>
      <c r="U219" s="45"/>
      <c r="V219" s="45"/>
      <c r="W219" s="45"/>
      <c r="X219" s="45"/>
      <c r="Y219" s="45"/>
      <c r="Z219" s="45"/>
      <c r="AA219" s="45"/>
    </row>
    <row r="220" spans="1:27" ht="13">
      <c r="A220" s="54">
        <v>2023</v>
      </c>
      <c r="B220" s="435">
        <v>45046</v>
      </c>
      <c r="C220" s="425" t="s">
        <v>474</v>
      </c>
      <c r="D220" s="425" t="s">
        <v>482</v>
      </c>
      <c r="E220" s="425" t="s">
        <v>535</v>
      </c>
      <c r="F220" s="425" t="s">
        <v>459</v>
      </c>
      <c r="G220" s="459"/>
      <c r="H220" s="437">
        <v>667</v>
      </c>
      <c r="I220" s="437">
        <v>667</v>
      </c>
      <c r="J220" s="437"/>
      <c r="K220" s="437"/>
      <c r="L220" s="437"/>
      <c r="M220" s="436"/>
      <c r="N220" s="45"/>
      <c r="O220" s="419">
        <f>SUM(Facturacion!I60:I62)</f>
        <v>71653.037500000006</v>
      </c>
      <c r="P220" s="420"/>
      <c r="Q220" s="45"/>
      <c r="R220" s="45"/>
      <c r="S220" s="89" t="s">
        <v>411</v>
      </c>
      <c r="T220" s="420">
        <f>SUM(K189:K226)</f>
        <v>117781.34999999999</v>
      </c>
      <c r="U220" s="45"/>
      <c r="V220" s="45"/>
      <c r="W220" s="45"/>
      <c r="X220" s="45"/>
      <c r="Y220" s="45"/>
      <c r="Z220" s="45"/>
      <c r="AA220" s="45"/>
    </row>
    <row r="221" spans="1:27" ht="13">
      <c r="A221" s="54">
        <v>2023</v>
      </c>
      <c r="B221" s="435">
        <v>45046</v>
      </c>
      <c r="C221" s="425" t="s">
        <v>474</v>
      </c>
      <c r="D221" s="425" t="s">
        <v>482</v>
      </c>
      <c r="E221" s="425" t="s">
        <v>541</v>
      </c>
      <c r="F221" s="425" t="s">
        <v>459</v>
      </c>
      <c r="G221" s="459"/>
      <c r="H221" s="437">
        <v>667</v>
      </c>
      <c r="I221" s="437">
        <v>667</v>
      </c>
      <c r="J221" s="437"/>
      <c r="K221" s="437"/>
      <c r="L221" s="437"/>
      <c r="M221" s="436"/>
      <c r="N221" s="45"/>
      <c r="O221" s="94" t="s">
        <v>461</v>
      </c>
      <c r="P221" s="461" t="s">
        <v>462</v>
      </c>
      <c r="Q221" s="45"/>
      <c r="R221" s="45"/>
      <c r="S221" s="421" t="s">
        <v>584</v>
      </c>
      <c r="T221" s="91">
        <f>SUM(I189:I226)</f>
        <v>14233.729999999998</v>
      </c>
      <c r="U221" s="45"/>
      <c r="V221" s="45"/>
      <c r="W221" s="45"/>
      <c r="X221" s="45"/>
      <c r="Y221" s="45"/>
      <c r="Z221" s="45"/>
      <c r="AA221" s="45"/>
    </row>
    <row r="222" spans="1:27" ht="13">
      <c r="A222" s="54">
        <v>2023</v>
      </c>
      <c r="B222" s="435">
        <v>45046</v>
      </c>
      <c r="C222" s="425" t="s">
        <v>474</v>
      </c>
      <c r="D222" s="425" t="s">
        <v>482</v>
      </c>
      <c r="E222" s="425" t="s">
        <v>537</v>
      </c>
      <c r="F222" s="425" t="s">
        <v>459</v>
      </c>
      <c r="G222" s="459"/>
      <c r="H222" s="437">
        <v>477</v>
      </c>
      <c r="I222" s="437">
        <v>477</v>
      </c>
      <c r="J222" s="437"/>
      <c r="K222" s="437"/>
      <c r="L222" s="437"/>
      <c r="M222" s="436"/>
      <c r="N222" s="45"/>
      <c r="O222" s="95">
        <f>SUM(L189:L226)</f>
        <v>3433.4801400000006</v>
      </c>
      <c r="P222" s="91">
        <f>O220-O222</f>
        <v>68219.557360000006</v>
      </c>
      <c r="Q222" s="45"/>
      <c r="R222" s="45"/>
      <c r="T222" s="45"/>
      <c r="U222" s="45"/>
      <c r="V222" s="45"/>
      <c r="W222" s="45"/>
      <c r="X222" s="45"/>
      <c r="Y222" s="45"/>
      <c r="Z222" s="45"/>
      <c r="AA222" s="45"/>
    </row>
    <row r="223" spans="1:27" ht="13">
      <c r="A223" s="54">
        <v>2023</v>
      </c>
      <c r="B223" s="424">
        <v>45046</v>
      </c>
      <c r="C223" s="425" t="s">
        <v>474</v>
      </c>
      <c r="D223" s="425" t="s">
        <v>554</v>
      </c>
      <c r="E223" s="425" t="s">
        <v>540</v>
      </c>
      <c r="F223" s="425" t="s">
        <v>459</v>
      </c>
      <c r="G223" s="458"/>
      <c r="H223" s="426">
        <v>763</v>
      </c>
      <c r="I223" s="426">
        <v>763</v>
      </c>
      <c r="J223" s="426"/>
      <c r="K223" s="426"/>
      <c r="L223" s="426"/>
      <c r="M223" s="425"/>
      <c r="N223" s="45"/>
      <c r="O223" s="45"/>
      <c r="P223" s="45"/>
      <c r="Q223" s="45"/>
      <c r="R223" s="45"/>
      <c r="T223" s="45"/>
      <c r="U223" s="45"/>
      <c r="V223" s="45"/>
      <c r="W223" s="45"/>
      <c r="X223" s="45"/>
      <c r="Y223" s="45"/>
      <c r="Z223" s="45"/>
      <c r="AA223" s="45"/>
    </row>
    <row r="224" spans="1:27" ht="13">
      <c r="A224" s="54">
        <v>2023</v>
      </c>
      <c r="B224" s="424">
        <v>45046</v>
      </c>
      <c r="C224" s="462" t="s">
        <v>474</v>
      </c>
      <c r="D224" s="455" t="s">
        <v>478</v>
      </c>
      <c r="E224" s="455" t="s">
        <v>479</v>
      </c>
      <c r="F224" s="455" t="s">
        <v>547</v>
      </c>
      <c r="G224" s="458"/>
      <c r="H224" s="426" t="e">
        <f>36.73+#REF!+#REF!+#REF!+#REF!+#REF!+#REF!+#REF!</f>
        <v>#REF!</v>
      </c>
      <c r="I224" s="426">
        <v>331.43</v>
      </c>
      <c r="J224" s="426"/>
      <c r="K224" s="426"/>
      <c r="L224" s="426"/>
      <c r="M224" s="425"/>
      <c r="N224" s="45"/>
      <c r="O224" s="45"/>
      <c r="P224" s="45"/>
      <c r="Q224" s="45"/>
      <c r="R224" s="45"/>
      <c r="T224" s="45"/>
      <c r="U224" s="45"/>
      <c r="V224" s="45"/>
      <c r="W224" s="45"/>
      <c r="X224" s="45"/>
      <c r="Y224" s="45"/>
      <c r="Z224" s="45"/>
      <c r="AA224" s="45"/>
    </row>
    <row r="225" spans="1:27" ht="13">
      <c r="A225" s="54">
        <v>2023</v>
      </c>
      <c r="B225" s="424">
        <v>45048</v>
      </c>
      <c r="C225" s="425" t="s">
        <v>474</v>
      </c>
      <c r="D225" s="455" t="s">
        <v>478</v>
      </c>
      <c r="E225" s="455" t="s">
        <v>479</v>
      </c>
      <c r="F225" s="455" t="s">
        <v>480</v>
      </c>
      <c r="G225" s="458"/>
      <c r="H225" s="426">
        <v>203</v>
      </c>
      <c r="I225" s="426">
        <v>203</v>
      </c>
      <c r="J225" s="426"/>
      <c r="K225" s="426"/>
      <c r="L225" s="426"/>
      <c r="M225" s="42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spans="1:27" ht="13">
      <c r="A226" s="54">
        <v>2023</v>
      </c>
      <c r="B226" s="424">
        <v>45046</v>
      </c>
      <c r="C226" s="425" t="s">
        <v>481</v>
      </c>
      <c r="D226" s="425" t="s">
        <v>489</v>
      </c>
      <c r="E226" s="425" t="s">
        <v>463</v>
      </c>
      <c r="F226" s="425" t="s">
        <v>618</v>
      </c>
      <c r="G226" s="458"/>
      <c r="H226" s="426"/>
      <c r="I226" s="426"/>
      <c r="J226" s="426">
        <v>6600</v>
      </c>
      <c r="K226" s="426">
        <f>J226-L226</f>
        <v>5409.84</v>
      </c>
      <c r="L226" s="426">
        <v>1190.1600000000001</v>
      </c>
      <c r="M226" s="42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spans="1:27" ht="13">
      <c r="A227" s="54">
        <v>2023</v>
      </c>
      <c r="B227" s="386">
        <v>45048</v>
      </c>
      <c r="C227" s="387" t="s">
        <v>474</v>
      </c>
      <c r="D227" s="463" t="s">
        <v>493</v>
      </c>
      <c r="E227" s="463" t="s">
        <v>479</v>
      </c>
      <c r="F227" s="463" t="s">
        <v>514</v>
      </c>
      <c r="G227" s="464"/>
      <c r="H227" s="465">
        <v>46</v>
      </c>
      <c r="I227" s="465">
        <v>46</v>
      </c>
      <c r="J227" s="465"/>
      <c r="K227" s="465"/>
      <c r="L227" s="465"/>
      <c r="M227" s="463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spans="1:27" ht="13">
      <c r="A228" s="54">
        <v>2023</v>
      </c>
      <c r="B228" s="386">
        <v>45048</v>
      </c>
      <c r="C228" s="387" t="s">
        <v>474</v>
      </c>
      <c r="D228" s="387" t="s">
        <v>596</v>
      </c>
      <c r="E228" s="463" t="s">
        <v>619</v>
      </c>
      <c r="F228" s="463" t="s">
        <v>560</v>
      </c>
      <c r="G228" s="464"/>
      <c r="H228" s="465">
        <v>240</v>
      </c>
      <c r="I228" s="465">
        <v>240</v>
      </c>
      <c r="J228" s="465"/>
      <c r="K228" s="465"/>
      <c r="L228" s="465"/>
      <c r="M228" s="463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spans="1:27" ht="13">
      <c r="A229" s="54">
        <v>2023</v>
      </c>
      <c r="B229" s="386">
        <v>45048</v>
      </c>
      <c r="C229" s="387" t="s">
        <v>474</v>
      </c>
      <c r="D229" s="387" t="s">
        <v>596</v>
      </c>
      <c r="E229" s="463" t="s">
        <v>620</v>
      </c>
      <c r="F229" s="463" t="s">
        <v>594</v>
      </c>
      <c r="G229" s="464"/>
      <c r="H229" s="465">
        <v>311.36</v>
      </c>
      <c r="I229" s="465">
        <v>311.36</v>
      </c>
      <c r="J229" s="465"/>
      <c r="K229" s="465"/>
      <c r="L229" s="465"/>
      <c r="M229" s="463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spans="1:27" ht="13">
      <c r="A230" s="54">
        <v>2023</v>
      </c>
      <c r="B230" s="386">
        <v>45048</v>
      </c>
      <c r="C230" s="387" t="s">
        <v>474</v>
      </c>
      <c r="D230" s="387" t="s">
        <v>596</v>
      </c>
      <c r="E230" s="463" t="s">
        <v>620</v>
      </c>
      <c r="F230" s="463" t="s">
        <v>560</v>
      </c>
      <c r="G230" s="464"/>
      <c r="H230" s="465">
        <v>21.64</v>
      </c>
      <c r="I230" s="465">
        <v>21.64</v>
      </c>
      <c r="J230" s="465"/>
      <c r="K230" s="465"/>
      <c r="L230" s="465"/>
      <c r="M230" s="463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spans="1:27" ht="13">
      <c r="A231" s="54">
        <v>2023</v>
      </c>
      <c r="B231" s="386">
        <v>45048</v>
      </c>
      <c r="C231" s="387" t="s">
        <v>474</v>
      </c>
      <c r="D231" s="466" t="s">
        <v>596</v>
      </c>
      <c r="E231" s="463" t="s">
        <v>564</v>
      </c>
      <c r="F231" s="463" t="s">
        <v>621</v>
      </c>
      <c r="G231" s="464"/>
      <c r="H231" s="465">
        <v>3</v>
      </c>
      <c r="I231" s="465">
        <v>3</v>
      </c>
      <c r="J231" s="465"/>
      <c r="K231" s="465"/>
      <c r="L231" s="465"/>
      <c r="M231" s="463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spans="1:27" ht="13">
      <c r="A232" s="54">
        <v>2023</v>
      </c>
      <c r="B232" s="386">
        <v>45048</v>
      </c>
      <c r="C232" s="387" t="s">
        <v>474</v>
      </c>
      <c r="D232" s="466" t="s">
        <v>596</v>
      </c>
      <c r="E232" s="463" t="s">
        <v>564</v>
      </c>
      <c r="F232" s="463" t="s">
        <v>566</v>
      </c>
      <c r="G232" s="464"/>
      <c r="H232" s="465">
        <v>143.66999999999999</v>
      </c>
      <c r="I232" s="465">
        <v>143.66999999999999</v>
      </c>
      <c r="J232" s="465"/>
      <c r="K232" s="465"/>
      <c r="L232" s="465"/>
      <c r="M232" s="463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spans="1:27" ht="13">
      <c r="A233" s="54">
        <v>2023</v>
      </c>
      <c r="B233" s="386">
        <v>45048</v>
      </c>
      <c r="C233" s="387" t="s">
        <v>474</v>
      </c>
      <c r="D233" s="466" t="s">
        <v>596</v>
      </c>
      <c r="E233" s="463" t="s">
        <v>620</v>
      </c>
      <c r="F233" s="463" t="s">
        <v>594</v>
      </c>
      <c r="G233" s="464"/>
      <c r="H233" s="465">
        <v>513</v>
      </c>
      <c r="I233" s="465">
        <v>513</v>
      </c>
      <c r="J233" s="465"/>
      <c r="K233" s="465"/>
      <c r="L233" s="465"/>
      <c r="M233" s="463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spans="1:27" ht="13">
      <c r="A234" s="54">
        <v>2023</v>
      </c>
      <c r="B234" s="386">
        <v>45049</v>
      </c>
      <c r="C234" s="387" t="s">
        <v>474</v>
      </c>
      <c r="D234" s="466" t="s">
        <v>596</v>
      </c>
      <c r="E234" s="463" t="s">
        <v>620</v>
      </c>
      <c r="F234" s="463" t="s">
        <v>560</v>
      </c>
      <c r="G234" s="464"/>
      <c r="H234" s="465">
        <v>49.57</v>
      </c>
      <c r="I234" s="465">
        <v>49.57</v>
      </c>
      <c r="J234" s="465"/>
      <c r="K234" s="465"/>
      <c r="L234" s="465"/>
      <c r="M234" s="463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spans="1:27" ht="13">
      <c r="A235" s="54">
        <v>2023</v>
      </c>
      <c r="B235" s="386">
        <v>45049</v>
      </c>
      <c r="C235" s="387" t="s">
        <v>474</v>
      </c>
      <c r="D235" s="466" t="s">
        <v>596</v>
      </c>
      <c r="E235" s="463" t="s">
        <v>619</v>
      </c>
      <c r="F235" s="463" t="s">
        <v>560</v>
      </c>
      <c r="G235" s="464"/>
      <c r="H235" s="465">
        <v>116.28</v>
      </c>
      <c r="I235" s="465">
        <v>116.28</v>
      </c>
      <c r="J235" s="465"/>
      <c r="K235" s="465"/>
      <c r="L235" s="465"/>
      <c r="M235" s="463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spans="1:27" ht="13">
      <c r="A236" s="54">
        <v>2023</v>
      </c>
      <c r="B236" s="386">
        <v>45051</v>
      </c>
      <c r="C236" s="387" t="s">
        <v>474</v>
      </c>
      <c r="D236" s="466" t="s">
        <v>596</v>
      </c>
      <c r="E236" s="463" t="s">
        <v>599</v>
      </c>
      <c r="F236" s="463" t="s">
        <v>622</v>
      </c>
      <c r="G236" s="464"/>
      <c r="H236" s="465">
        <v>944</v>
      </c>
      <c r="I236" s="465">
        <v>944</v>
      </c>
      <c r="J236" s="465"/>
      <c r="K236" s="465"/>
      <c r="L236" s="465"/>
      <c r="M236" s="463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spans="1:27" ht="13">
      <c r="A237" s="54">
        <v>2023</v>
      </c>
      <c r="B237" s="386">
        <v>45051</v>
      </c>
      <c r="C237" s="387" t="s">
        <v>474</v>
      </c>
      <c r="D237" s="466" t="s">
        <v>596</v>
      </c>
      <c r="E237" s="463" t="s">
        <v>567</v>
      </c>
      <c r="F237" s="463" t="s">
        <v>568</v>
      </c>
      <c r="G237" s="464"/>
      <c r="H237" s="465">
        <f>2.06+1.35+1.64+1.4+2.82+9.21+2.95+1.8</f>
        <v>23.23</v>
      </c>
      <c r="I237" s="465">
        <v>23.23</v>
      </c>
      <c r="J237" s="465"/>
      <c r="K237" s="465"/>
      <c r="L237" s="465"/>
      <c r="M237" s="463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spans="1:27" ht="13">
      <c r="A238" s="54">
        <v>2023</v>
      </c>
      <c r="B238" s="386">
        <v>45051</v>
      </c>
      <c r="C238" s="387" t="s">
        <v>474</v>
      </c>
      <c r="D238" s="466" t="s">
        <v>596</v>
      </c>
      <c r="E238" s="463" t="s">
        <v>564</v>
      </c>
      <c r="F238" s="463" t="s">
        <v>621</v>
      </c>
      <c r="G238" s="464"/>
      <c r="H238" s="465">
        <v>3</v>
      </c>
      <c r="I238" s="465">
        <v>3</v>
      </c>
      <c r="J238" s="465"/>
      <c r="K238" s="465"/>
      <c r="L238" s="465"/>
      <c r="M238" s="463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spans="1:27" ht="13">
      <c r="A239" s="54">
        <v>2023</v>
      </c>
      <c r="B239" s="386">
        <v>45051</v>
      </c>
      <c r="C239" s="387" t="s">
        <v>474</v>
      </c>
      <c r="D239" s="466" t="s">
        <v>596</v>
      </c>
      <c r="E239" s="463" t="s">
        <v>564</v>
      </c>
      <c r="F239" s="463" t="s">
        <v>566</v>
      </c>
      <c r="G239" s="464"/>
      <c r="H239" s="465">
        <v>191.18</v>
      </c>
      <c r="I239" s="465">
        <v>191.18</v>
      </c>
      <c r="J239" s="465"/>
      <c r="K239" s="465"/>
      <c r="L239" s="465"/>
      <c r="M239" s="463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spans="1:27" ht="13">
      <c r="A240" s="54">
        <v>2023</v>
      </c>
      <c r="B240" s="386">
        <v>45051</v>
      </c>
      <c r="C240" s="387" t="s">
        <v>474</v>
      </c>
      <c r="D240" s="466" t="s">
        <v>596</v>
      </c>
      <c r="E240" s="463" t="s">
        <v>619</v>
      </c>
      <c r="F240" s="463" t="s">
        <v>560</v>
      </c>
      <c r="G240" s="464"/>
      <c r="H240" s="465">
        <v>107.14</v>
      </c>
      <c r="I240" s="465">
        <v>107.14</v>
      </c>
      <c r="J240" s="465"/>
      <c r="K240" s="465"/>
      <c r="L240" s="465"/>
      <c r="M240" s="463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spans="1:27" ht="13">
      <c r="A241" s="54">
        <v>2023</v>
      </c>
      <c r="B241" s="386">
        <v>45051</v>
      </c>
      <c r="C241" s="387" t="s">
        <v>474</v>
      </c>
      <c r="D241" s="466" t="s">
        <v>596</v>
      </c>
      <c r="E241" s="463" t="s">
        <v>620</v>
      </c>
      <c r="F241" s="463" t="s">
        <v>560</v>
      </c>
      <c r="G241" s="464"/>
      <c r="H241" s="465">
        <v>101.6</v>
      </c>
      <c r="I241" s="465">
        <v>101.6</v>
      </c>
      <c r="J241" s="465"/>
      <c r="K241" s="465"/>
      <c r="L241" s="465"/>
      <c r="M241" s="463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spans="1:27" ht="13">
      <c r="A242" s="54">
        <v>2023</v>
      </c>
      <c r="B242" s="386">
        <v>45052</v>
      </c>
      <c r="C242" s="387" t="s">
        <v>474</v>
      </c>
      <c r="D242" s="466" t="s">
        <v>596</v>
      </c>
      <c r="E242" s="463" t="s">
        <v>620</v>
      </c>
      <c r="F242" s="463" t="s">
        <v>560</v>
      </c>
      <c r="G242" s="464"/>
      <c r="H242" s="465">
        <f t="shared" ref="H242:I242" si="4">10.45+4.24</f>
        <v>14.69</v>
      </c>
      <c r="I242" s="465">
        <f t="shared" si="4"/>
        <v>14.69</v>
      </c>
      <c r="J242" s="465"/>
      <c r="K242" s="465"/>
      <c r="L242" s="465"/>
      <c r="M242" s="463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spans="1:27" ht="13">
      <c r="A243" s="54">
        <v>2023</v>
      </c>
      <c r="B243" s="386">
        <v>45053</v>
      </c>
      <c r="C243" s="387" t="s">
        <v>474</v>
      </c>
      <c r="D243" s="466" t="s">
        <v>596</v>
      </c>
      <c r="E243" s="463" t="s">
        <v>620</v>
      </c>
      <c r="F243" s="463" t="s">
        <v>560</v>
      </c>
      <c r="G243" s="464"/>
      <c r="H243" s="465">
        <f t="shared" ref="H243:I243" si="5">23.79+11.02</f>
        <v>34.81</v>
      </c>
      <c r="I243" s="465">
        <f t="shared" si="5"/>
        <v>34.81</v>
      </c>
      <c r="J243" s="465"/>
      <c r="K243" s="465"/>
      <c r="L243" s="465"/>
      <c r="M243" s="463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spans="1:27" ht="13">
      <c r="A244" s="54">
        <v>2023</v>
      </c>
      <c r="B244" s="386">
        <v>45054</v>
      </c>
      <c r="C244" s="387" t="s">
        <v>474</v>
      </c>
      <c r="D244" s="466" t="s">
        <v>596</v>
      </c>
      <c r="E244" s="463" t="s">
        <v>620</v>
      </c>
      <c r="F244" s="463" t="s">
        <v>560</v>
      </c>
      <c r="G244" s="464"/>
      <c r="H244" s="465">
        <v>55.73</v>
      </c>
      <c r="I244" s="465">
        <v>55.73</v>
      </c>
      <c r="J244" s="465"/>
      <c r="K244" s="465"/>
      <c r="L244" s="465"/>
      <c r="M244" s="463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spans="1:27" ht="13">
      <c r="A245" s="54">
        <v>2023</v>
      </c>
      <c r="B245" s="386">
        <v>45055</v>
      </c>
      <c r="C245" s="387" t="s">
        <v>474</v>
      </c>
      <c r="D245" s="387" t="s">
        <v>596</v>
      </c>
      <c r="E245" s="387" t="s">
        <v>620</v>
      </c>
      <c r="F245" s="387" t="s">
        <v>623</v>
      </c>
      <c r="G245" s="467"/>
      <c r="H245" s="388">
        <v>316.94</v>
      </c>
      <c r="I245" s="388">
        <v>316.94</v>
      </c>
      <c r="J245" s="388"/>
      <c r="K245" s="465"/>
      <c r="L245" s="465"/>
      <c r="M245" s="463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spans="1:27" ht="13">
      <c r="A246" s="54">
        <v>2023</v>
      </c>
      <c r="B246" s="386">
        <v>45054</v>
      </c>
      <c r="C246" s="387" t="s">
        <v>481</v>
      </c>
      <c r="D246" s="468" t="s">
        <v>493</v>
      </c>
      <c r="E246" s="387" t="s">
        <v>63</v>
      </c>
      <c r="F246" s="463" t="s">
        <v>480</v>
      </c>
      <c r="G246" s="467"/>
      <c r="H246" s="388">
        <v>1.9</v>
      </c>
      <c r="I246" s="388">
        <v>1.9</v>
      </c>
      <c r="J246" s="388">
        <v>74.88</v>
      </c>
      <c r="K246" s="388">
        <v>74.88</v>
      </c>
      <c r="L246" s="388"/>
      <c r="M246" s="387"/>
      <c r="N246" s="45"/>
      <c r="O246" s="469" t="s">
        <v>457</v>
      </c>
      <c r="P246" s="470"/>
      <c r="Q246" s="45"/>
      <c r="R246" s="45"/>
      <c r="S246" s="84" t="s">
        <v>583</v>
      </c>
      <c r="T246" s="93"/>
      <c r="U246" s="45"/>
      <c r="V246" s="45"/>
      <c r="W246" s="45"/>
      <c r="X246" s="45"/>
      <c r="Y246" s="45"/>
      <c r="Z246" s="45"/>
      <c r="AA246" s="45"/>
    </row>
    <row r="247" spans="1:27" ht="13">
      <c r="A247" s="54">
        <v>2023</v>
      </c>
      <c r="B247" s="386">
        <v>45055</v>
      </c>
      <c r="C247" s="387" t="s">
        <v>474</v>
      </c>
      <c r="D247" s="468" t="s">
        <v>596</v>
      </c>
      <c r="E247" s="387" t="s">
        <v>620</v>
      </c>
      <c r="F247" s="463" t="s">
        <v>560</v>
      </c>
      <c r="G247" s="467"/>
      <c r="H247" s="388">
        <v>66.92</v>
      </c>
      <c r="I247" s="388">
        <v>66.92</v>
      </c>
      <c r="J247" s="388"/>
      <c r="K247" s="388"/>
      <c r="L247" s="388"/>
      <c r="M247" s="387"/>
      <c r="N247" s="45"/>
      <c r="O247" s="470">
        <f>SUM(Facturacion!I63:I64)</f>
        <v>31959.674999999999</v>
      </c>
      <c r="P247" s="470"/>
      <c r="Q247" s="45"/>
      <c r="R247" s="45"/>
      <c r="S247" s="89" t="s">
        <v>411</v>
      </c>
      <c r="T247" s="420">
        <f>SUM(K227:K275)</f>
        <v>74441.17</v>
      </c>
      <c r="U247" s="45"/>
      <c r="V247" s="45"/>
      <c r="W247" s="45"/>
      <c r="X247" s="45"/>
      <c r="Y247" s="45"/>
      <c r="Z247" s="45"/>
      <c r="AA247" s="45"/>
    </row>
    <row r="248" spans="1:27" ht="13">
      <c r="A248" s="54">
        <v>2023</v>
      </c>
      <c r="B248" s="386">
        <v>45056</v>
      </c>
      <c r="C248" s="387" t="s">
        <v>474</v>
      </c>
      <c r="D248" s="468" t="s">
        <v>596</v>
      </c>
      <c r="E248" s="387" t="s">
        <v>619</v>
      </c>
      <c r="F248" s="463" t="s">
        <v>560</v>
      </c>
      <c r="G248" s="467"/>
      <c r="H248" s="388">
        <v>37.729999999999997</v>
      </c>
      <c r="I248" s="388">
        <v>37.729999999999997</v>
      </c>
      <c r="J248" s="388"/>
      <c r="K248" s="388"/>
      <c r="L248" s="388"/>
      <c r="M248" s="387"/>
      <c r="N248" s="45"/>
      <c r="O248" s="469" t="s">
        <v>461</v>
      </c>
      <c r="P248" s="469" t="s">
        <v>462</v>
      </c>
      <c r="Q248" s="45"/>
      <c r="R248" s="45"/>
      <c r="S248" s="421" t="s">
        <v>584</v>
      </c>
      <c r="T248" s="91">
        <f>SUM(I227:I275)</f>
        <v>7793.9000000000005</v>
      </c>
      <c r="U248" s="45"/>
      <c r="V248" s="45"/>
      <c r="W248" s="45"/>
      <c r="X248" s="45"/>
      <c r="Y248" s="45"/>
      <c r="Z248" s="45"/>
      <c r="AA248" s="45"/>
    </row>
    <row r="249" spans="1:27" ht="13">
      <c r="A249" s="54">
        <v>2023</v>
      </c>
      <c r="B249" s="386">
        <v>45061</v>
      </c>
      <c r="C249" s="387" t="s">
        <v>474</v>
      </c>
      <c r="D249" s="387" t="s">
        <v>493</v>
      </c>
      <c r="E249" s="387" t="s">
        <v>479</v>
      </c>
      <c r="F249" s="387" t="s">
        <v>480</v>
      </c>
      <c r="G249" s="467"/>
      <c r="H249" s="388">
        <v>25</v>
      </c>
      <c r="I249" s="388">
        <v>25</v>
      </c>
      <c r="J249" s="388"/>
      <c r="K249" s="388"/>
      <c r="L249" s="388"/>
      <c r="M249" s="387"/>
      <c r="N249" s="45"/>
      <c r="O249" s="470">
        <f>SUM(L227:L274)</f>
        <v>1576.1699600000002</v>
      </c>
      <c r="P249" s="470">
        <f>O247-O249</f>
        <v>30383.50504</v>
      </c>
      <c r="Q249" s="45"/>
      <c r="R249" s="45"/>
      <c r="T249" s="45"/>
      <c r="U249" s="45"/>
      <c r="V249" s="45"/>
      <c r="W249" s="45"/>
      <c r="X249" s="45"/>
      <c r="Y249" s="45"/>
      <c r="Z249" s="45"/>
      <c r="AA249" s="45"/>
    </row>
    <row r="250" spans="1:27" ht="13">
      <c r="A250" s="54">
        <v>2023</v>
      </c>
      <c r="B250" s="386">
        <v>45061</v>
      </c>
      <c r="C250" s="387" t="s">
        <v>474</v>
      </c>
      <c r="D250" s="387" t="s">
        <v>493</v>
      </c>
      <c r="E250" s="387" t="s">
        <v>479</v>
      </c>
      <c r="F250" s="387" t="s">
        <v>514</v>
      </c>
      <c r="G250" s="467"/>
      <c r="H250" s="388"/>
      <c r="I250" s="388"/>
      <c r="J250" s="388">
        <f>1232+1028.45</f>
        <v>2260.4499999999998</v>
      </c>
      <c r="K250" s="388">
        <v>2260.4499999999998</v>
      </c>
      <c r="L250" s="388"/>
      <c r="M250" s="387"/>
      <c r="N250" s="45"/>
      <c r="O250" s="45"/>
      <c r="P250" s="45"/>
      <c r="Q250" s="45"/>
      <c r="R250" s="45"/>
      <c r="T250" s="45"/>
      <c r="U250" s="45"/>
      <c r="V250" s="45"/>
      <c r="W250" s="45"/>
      <c r="X250" s="45"/>
      <c r="Y250" s="45"/>
      <c r="Z250" s="45"/>
      <c r="AA250" s="45"/>
    </row>
    <row r="251" spans="1:27" ht="13">
      <c r="A251" s="54">
        <v>2023</v>
      </c>
      <c r="B251" s="386">
        <v>45071</v>
      </c>
      <c r="C251" s="387" t="s">
        <v>481</v>
      </c>
      <c r="D251" s="387" t="s">
        <v>494</v>
      </c>
      <c r="E251" s="387" t="s">
        <v>502</v>
      </c>
      <c r="F251" s="387" t="s">
        <v>522</v>
      </c>
      <c r="G251" s="467"/>
      <c r="H251" s="388"/>
      <c r="I251" s="388"/>
      <c r="J251" s="388">
        <v>17721</v>
      </c>
      <c r="K251" s="388">
        <v>17721</v>
      </c>
      <c r="L251" s="388"/>
      <c r="M251" s="387"/>
      <c r="N251" s="45"/>
      <c r="O251" s="45"/>
      <c r="P251" s="45"/>
      <c r="Q251" s="45"/>
      <c r="R251" s="45"/>
      <c r="T251" s="45"/>
      <c r="U251" s="45"/>
      <c r="V251" s="45"/>
      <c r="W251" s="45"/>
      <c r="X251" s="45"/>
      <c r="Y251" s="45"/>
      <c r="Z251" s="45"/>
      <c r="AA251" s="45"/>
    </row>
    <row r="252" spans="1:27" ht="13">
      <c r="A252" s="54">
        <v>2023</v>
      </c>
      <c r="B252" s="386">
        <v>45061</v>
      </c>
      <c r="C252" s="387" t="s">
        <v>481</v>
      </c>
      <c r="D252" s="387" t="s">
        <v>491</v>
      </c>
      <c r="E252" s="387" t="s">
        <v>591</v>
      </c>
      <c r="F252" s="387" t="s">
        <v>576</v>
      </c>
      <c r="G252" s="467"/>
      <c r="H252" s="388">
        <v>20</v>
      </c>
      <c r="I252" s="388">
        <v>20</v>
      </c>
      <c r="J252" s="388"/>
      <c r="K252" s="388"/>
      <c r="L252" s="388"/>
      <c r="M252" s="387"/>
      <c r="N252" s="45"/>
      <c r="O252" s="45"/>
      <c r="P252" s="45"/>
      <c r="Q252" s="45"/>
      <c r="R252" s="45"/>
      <c r="T252" s="45"/>
      <c r="U252" s="45"/>
      <c r="V252" s="45"/>
      <c r="W252" s="45"/>
      <c r="X252" s="45"/>
      <c r="Y252" s="45"/>
      <c r="Z252" s="45"/>
      <c r="AA252" s="45"/>
    </row>
    <row r="253" spans="1:27" ht="13">
      <c r="A253" s="54">
        <v>2023</v>
      </c>
      <c r="B253" s="386">
        <v>45071</v>
      </c>
      <c r="C253" s="387" t="s">
        <v>481</v>
      </c>
      <c r="D253" s="387" t="s">
        <v>494</v>
      </c>
      <c r="E253" s="387" t="s">
        <v>512</v>
      </c>
      <c r="F253" s="471" t="s">
        <v>528</v>
      </c>
      <c r="G253" s="467"/>
      <c r="H253" s="388"/>
      <c r="I253" s="388"/>
      <c r="J253" s="388">
        <v>30384</v>
      </c>
      <c r="K253" s="388">
        <v>30384</v>
      </c>
      <c r="L253" s="388"/>
      <c r="M253" s="387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spans="1:27" ht="13">
      <c r="A254" s="54">
        <v>2023</v>
      </c>
      <c r="B254" s="386">
        <v>45071</v>
      </c>
      <c r="C254" s="387" t="s">
        <v>481</v>
      </c>
      <c r="D254" s="387" t="s">
        <v>494</v>
      </c>
      <c r="E254" s="387" t="s">
        <v>512</v>
      </c>
      <c r="F254" s="471" t="s">
        <v>582</v>
      </c>
      <c r="G254" s="467"/>
      <c r="H254" s="388"/>
      <c r="I254" s="388"/>
      <c r="J254" s="388">
        <v>16506</v>
      </c>
      <c r="K254" s="388">
        <v>16506</v>
      </c>
      <c r="L254" s="388"/>
      <c r="M254" s="387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spans="1:27" ht="13">
      <c r="A255" s="54">
        <v>2023</v>
      </c>
      <c r="B255" s="386">
        <v>45071</v>
      </c>
      <c r="C255" s="387" t="s">
        <v>481</v>
      </c>
      <c r="D255" s="387" t="s">
        <v>494</v>
      </c>
      <c r="E255" s="387" t="s">
        <v>512</v>
      </c>
      <c r="F255" s="471" t="s">
        <v>574</v>
      </c>
      <c r="G255" s="467"/>
      <c r="H255" s="388"/>
      <c r="I255" s="388"/>
      <c r="J255" s="388">
        <v>1389</v>
      </c>
      <c r="K255" s="388">
        <v>1389</v>
      </c>
      <c r="L255" s="388"/>
      <c r="M255" s="387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spans="1:27" ht="13">
      <c r="A256" s="54">
        <v>2023</v>
      </c>
      <c r="B256" s="386">
        <v>45072</v>
      </c>
      <c r="C256" s="387" t="s">
        <v>474</v>
      </c>
      <c r="D256" s="387" t="s">
        <v>493</v>
      </c>
      <c r="E256" s="387" t="s">
        <v>479</v>
      </c>
      <c r="F256" s="471" t="s">
        <v>624</v>
      </c>
      <c r="G256" s="467"/>
      <c r="H256" s="388">
        <v>55.11</v>
      </c>
      <c r="I256" s="388">
        <v>45.17</v>
      </c>
      <c r="J256" s="388"/>
      <c r="K256" s="388"/>
      <c r="L256" s="388">
        <f>9.94*M256</f>
        <v>386.00996000000004</v>
      </c>
      <c r="M256" s="387">
        <v>38.834000000000003</v>
      </c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spans="1:27" ht="13">
      <c r="A257" s="54">
        <v>2023</v>
      </c>
      <c r="B257" s="386">
        <v>45077</v>
      </c>
      <c r="C257" s="387" t="s">
        <v>474</v>
      </c>
      <c r="D257" s="387" t="s">
        <v>490</v>
      </c>
      <c r="E257" s="387" t="s">
        <v>620</v>
      </c>
      <c r="F257" s="387" t="s">
        <v>623</v>
      </c>
      <c r="G257" s="467"/>
      <c r="H257" s="388">
        <v>230</v>
      </c>
      <c r="I257" s="388">
        <v>230</v>
      </c>
      <c r="J257" s="388"/>
      <c r="K257" s="388"/>
      <c r="L257" s="388"/>
      <c r="M257" s="387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spans="1:27" ht="13">
      <c r="A258" s="54">
        <v>2023</v>
      </c>
      <c r="B258" s="386">
        <v>45077</v>
      </c>
      <c r="C258" s="387" t="s">
        <v>474</v>
      </c>
      <c r="D258" s="387" t="s">
        <v>478</v>
      </c>
      <c r="E258" s="387" t="s">
        <v>479</v>
      </c>
      <c r="F258" s="387" t="s">
        <v>480</v>
      </c>
      <c r="G258" s="467"/>
      <c r="H258" s="388">
        <v>40</v>
      </c>
      <c r="I258" s="388">
        <v>40</v>
      </c>
      <c r="J258" s="388"/>
      <c r="K258" s="388"/>
      <c r="L258" s="388"/>
      <c r="M258" s="387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spans="1:27" ht="13">
      <c r="A259" s="54">
        <v>2023</v>
      </c>
      <c r="B259" s="386">
        <v>45077</v>
      </c>
      <c r="C259" s="387" t="s">
        <v>474</v>
      </c>
      <c r="D259" s="387" t="s">
        <v>482</v>
      </c>
      <c r="E259" s="387" t="s">
        <v>483</v>
      </c>
      <c r="F259" s="387" t="s">
        <v>459</v>
      </c>
      <c r="G259" s="388"/>
      <c r="H259" s="388">
        <v>811</v>
      </c>
      <c r="I259" s="388">
        <v>811</v>
      </c>
      <c r="J259" s="388"/>
      <c r="K259" s="388"/>
      <c r="L259" s="388"/>
      <c r="M259" s="387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spans="1:27" ht="13">
      <c r="A260" s="54">
        <v>2023</v>
      </c>
      <c r="B260" s="386">
        <v>45077</v>
      </c>
      <c r="C260" s="387" t="s">
        <v>474</v>
      </c>
      <c r="D260" s="387" t="s">
        <v>482</v>
      </c>
      <c r="E260" s="387" t="s">
        <v>535</v>
      </c>
      <c r="F260" s="387" t="s">
        <v>459</v>
      </c>
      <c r="G260" s="388"/>
      <c r="H260" s="388">
        <v>709</v>
      </c>
      <c r="I260" s="388">
        <v>709</v>
      </c>
      <c r="J260" s="388"/>
      <c r="K260" s="388"/>
      <c r="L260" s="388"/>
      <c r="M260" s="387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spans="1:27" ht="13">
      <c r="A261" s="54">
        <v>2023</v>
      </c>
      <c r="B261" s="386">
        <v>45077</v>
      </c>
      <c r="C261" s="387" t="s">
        <v>474</v>
      </c>
      <c r="D261" s="387" t="s">
        <v>482</v>
      </c>
      <c r="E261" s="387" t="s">
        <v>541</v>
      </c>
      <c r="F261" s="387" t="s">
        <v>459</v>
      </c>
      <c r="G261" s="388"/>
      <c r="H261" s="388">
        <v>709</v>
      </c>
      <c r="I261" s="388">
        <v>709</v>
      </c>
      <c r="J261" s="388"/>
      <c r="K261" s="388"/>
      <c r="L261" s="388"/>
      <c r="M261" s="387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spans="1:27" ht="13">
      <c r="A262" s="54">
        <v>2023</v>
      </c>
      <c r="B262" s="386">
        <v>45077</v>
      </c>
      <c r="C262" s="387" t="s">
        <v>474</v>
      </c>
      <c r="D262" s="387" t="s">
        <v>482</v>
      </c>
      <c r="E262" s="387" t="s">
        <v>537</v>
      </c>
      <c r="F262" s="387" t="s">
        <v>459</v>
      </c>
      <c r="G262" s="388"/>
      <c r="H262" s="388">
        <v>506</v>
      </c>
      <c r="I262" s="388">
        <v>506</v>
      </c>
      <c r="J262" s="388"/>
      <c r="K262" s="388"/>
      <c r="L262" s="388"/>
      <c r="M262" s="387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spans="1:27" ht="13">
      <c r="A263" s="54">
        <v>2023</v>
      </c>
      <c r="B263" s="386">
        <v>45077</v>
      </c>
      <c r="C263" s="387" t="s">
        <v>474</v>
      </c>
      <c r="D263" s="387" t="s">
        <v>554</v>
      </c>
      <c r="E263" s="387" t="s">
        <v>540</v>
      </c>
      <c r="F263" s="387" t="s">
        <v>459</v>
      </c>
      <c r="G263" s="388"/>
      <c r="H263" s="388">
        <v>810</v>
      </c>
      <c r="I263" s="388">
        <v>810</v>
      </c>
      <c r="J263" s="388"/>
      <c r="K263" s="388"/>
      <c r="L263" s="388"/>
      <c r="M263" s="387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spans="1:27" ht="13">
      <c r="A264" s="54">
        <v>2023</v>
      </c>
      <c r="B264" s="386">
        <v>45077</v>
      </c>
      <c r="C264" s="387" t="s">
        <v>474</v>
      </c>
      <c r="D264" s="463" t="s">
        <v>478</v>
      </c>
      <c r="E264" s="463" t="s">
        <v>479</v>
      </c>
      <c r="F264" s="463" t="s">
        <v>547</v>
      </c>
      <c r="G264" s="388"/>
      <c r="H264" s="388" t="e">
        <f>#REF!+#REF!+#REF!+#REF!+#REF!+#REF!+#REF!+#REF!+#REF!</f>
        <v>#REF!</v>
      </c>
      <c r="I264" s="388">
        <v>119.5</v>
      </c>
      <c r="J264" s="388"/>
      <c r="K264" s="388"/>
      <c r="L264" s="388"/>
      <c r="M264" s="387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spans="1:27" ht="13">
      <c r="A265" s="54">
        <v>2023</v>
      </c>
      <c r="B265" s="386">
        <v>45077</v>
      </c>
      <c r="C265" s="387" t="s">
        <v>474</v>
      </c>
      <c r="D265" s="387" t="s">
        <v>478</v>
      </c>
      <c r="E265" s="467" t="s">
        <v>479</v>
      </c>
      <c r="F265" s="463" t="s">
        <v>480</v>
      </c>
      <c r="G265" s="388"/>
      <c r="H265" s="388">
        <f t="shared" ref="H265:I265" si="6">40+40+40+40+40</f>
        <v>200</v>
      </c>
      <c r="I265" s="388">
        <f t="shared" si="6"/>
        <v>200</v>
      </c>
      <c r="J265" s="388"/>
      <c r="K265" s="388"/>
      <c r="L265" s="388"/>
      <c r="M265" s="387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spans="1:27" ht="13">
      <c r="A266" s="54">
        <v>2023</v>
      </c>
      <c r="B266" s="386">
        <v>45077</v>
      </c>
      <c r="C266" s="387" t="s">
        <v>481</v>
      </c>
      <c r="D266" s="387" t="s">
        <v>493</v>
      </c>
      <c r="E266" s="467" t="s">
        <v>63</v>
      </c>
      <c r="F266" s="471" t="s">
        <v>539</v>
      </c>
      <c r="G266" s="388"/>
      <c r="H266" s="388"/>
      <c r="I266" s="388"/>
      <c r="J266" s="388">
        <v>785</v>
      </c>
      <c r="K266" s="388"/>
      <c r="L266" s="388"/>
      <c r="M266" s="387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spans="1:27" ht="13">
      <c r="A267" s="54">
        <v>2023</v>
      </c>
      <c r="B267" s="386">
        <v>45077</v>
      </c>
      <c r="C267" s="387" t="s">
        <v>481</v>
      </c>
      <c r="D267" s="387" t="s">
        <v>489</v>
      </c>
      <c r="E267" s="387" t="s">
        <v>463</v>
      </c>
      <c r="F267" s="387" t="s">
        <v>618</v>
      </c>
      <c r="G267" s="467"/>
      <c r="H267" s="388"/>
      <c r="I267" s="388"/>
      <c r="J267" s="388">
        <v>6600</v>
      </c>
      <c r="K267" s="388">
        <f>J267-L267</f>
        <v>5409.84</v>
      </c>
      <c r="L267" s="388">
        <v>1190.1600000000001</v>
      </c>
      <c r="M267" s="387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spans="1:27" ht="13">
      <c r="A268" s="54">
        <v>2023</v>
      </c>
      <c r="B268" s="386">
        <v>45077</v>
      </c>
      <c r="C268" s="387" t="s">
        <v>481</v>
      </c>
      <c r="D268" s="387" t="s">
        <v>491</v>
      </c>
      <c r="E268" s="467" t="s">
        <v>517</v>
      </c>
      <c r="F268" s="471" t="s">
        <v>576</v>
      </c>
      <c r="G268" s="388"/>
      <c r="H268" s="388">
        <v>111.13</v>
      </c>
      <c r="I268" s="388">
        <v>111.13</v>
      </c>
      <c r="J268" s="388"/>
      <c r="K268" s="388"/>
      <c r="L268" s="388"/>
      <c r="M268" s="387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spans="1:27" ht="13">
      <c r="A269" s="54">
        <v>2023</v>
      </c>
      <c r="B269" s="386">
        <v>45077</v>
      </c>
      <c r="C269" s="387" t="s">
        <v>481</v>
      </c>
      <c r="D269" s="387" t="s">
        <v>491</v>
      </c>
      <c r="E269" s="467" t="s">
        <v>601</v>
      </c>
      <c r="F269" s="471" t="s">
        <v>576</v>
      </c>
      <c r="G269" s="388"/>
      <c r="H269" s="388">
        <v>24.6</v>
      </c>
      <c r="I269" s="388">
        <v>24.6</v>
      </c>
      <c r="J269" s="388"/>
      <c r="K269" s="388"/>
      <c r="L269" s="388"/>
      <c r="M269" s="387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spans="1:27" ht="13">
      <c r="A270" s="54">
        <v>2023</v>
      </c>
      <c r="B270" s="386">
        <v>45077</v>
      </c>
      <c r="C270" s="387" t="s">
        <v>481</v>
      </c>
      <c r="D270" s="387" t="s">
        <v>491</v>
      </c>
      <c r="E270" s="467" t="s">
        <v>575</v>
      </c>
      <c r="F270" s="471" t="s">
        <v>576</v>
      </c>
      <c r="G270" s="388"/>
      <c r="H270" s="388">
        <v>9.02</v>
      </c>
      <c r="I270" s="388">
        <v>9.02</v>
      </c>
      <c r="J270" s="388"/>
      <c r="K270" s="388"/>
      <c r="L270" s="388"/>
      <c r="M270" s="387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spans="1:27" ht="13">
      <c r="A271" s="54">
        <v>2023</v>
      </c>
      <c r="B271" s="386">
        <v>45077</v>
      </c>
      <c r="C271" s="387" t="s">
        <v>481</v>
      </c>
      <c r="D271" s="387" t="s">
        <v>491</v>
      </c>
      <c r="E271" s="467" t="s">
        <v>602</v>
      </c>
      <c r="F271" s="471" t="s">
        <v>576</v>
      </c>
      <c r="G271" s="388"/>
      <c r="H271" s="388">
        <v>26.09</v>
      </c>
      <c r="I271" s="388">
        <v>26.09</v>
      </c>
      <c r="J271" s="388"/>
      <c r="K271" s="388"/>
      <c r="L271" s="388"/>
      <c r="M271" s="387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spans="1:27" ht="13">
      <c r="A272" s="54">
        <v>2023</v>
      </c>
      <c r="B272" s="386">
        <v>45077</v>
      </c>
      <c r="C272" s="387" t="s">
        <v>481</v>
      </c>
      <c r="D272" s="387" t="s">
        <v>491</v>
      </c>
      <c r="E272" s="467" t="s">
        <v>592</v>
      </c>
      <c r="F272" s="471" t="s">
        <v>576</v>
      </c>
      <c r="G272" s="388"/>
      <c r="H272" s="388">
        <v>40</v>
      </c>
      <c r="I272" s="388">
        <v>40</v>
      </c>
      <c r="J272" s="388"/>
      <c r="K272" s="388"/>
      <c r="L272" s="388"/>
      <c r="M272" s="387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spans="1:27" ht="13">
      <c r="A273" s="54">
        <v>2023</v>
      </c>
      <c r="B273" s="386">
        <v>45077</v>
      </c>
      <c r="C273" s="387" t="s">
        <v>481</v>
      </c>
      <c r="D273" s="387" t="s">
        <v>491</v>
      </c>
      <c r="E273" s="467" t="s">
        <v>532</v>
      </c>
      <c r="F273" s="471" t="s">
        <v>576</v>
      </c>
      <c r="G273" s="388"/>
      <c r="H273" s="388">
        <v>15</v>
      </c>
      <c r="I273" s="388">
        <v>15</v>
      </c>
      <c r="J273" s="388"/>
      <c r="K273" s="388"/>
      <c r="L273" s="388"/>
      <c r="M273" s="387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spans="1:27" ht="13">
      <c r="A274" s="54">
        <v>2023</v>
      </c>
      <c r="B274" s="386">
        <v>45077</v>
      </c>
      <c r="C274" s="387" t="s">
        <v>481</v>
      </c>
      <c r="D274" s="387" t="s">
        <v>493</v>
      </c>
      <c r="E274" s="467" t="s">
        <v>619</v>
      </c>
      <c r="F274" s="471" t="s">
        <v>625</v>
      </c>
      <c r="G274" s="388"/>
      <c r="H274" s="388"/>
      <c r="I274" s="388"/>
      <c r="J274" s="388">
        <v>240</v>
      </c>
      <c r="K274" s="388">
        <v>240</v>
      </c>
      <c r="L274" s="388"/>
      <c r="M274" s="387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spans="1:27" ht="13">
      <c r="A275" s="54">
        <v>2023</v>
      </c>
      <c r="B275" s="386">
        <v>45077</v>
      </c>
      <c r="C275" s="387" t="s">
        <v>481</v>
      </c>
      <c r="D275" s="387" t="s">
        <v>493</v>
      </c>
      <c r="E275" s="467" t="s">
        <v>619</v>
      </c>
      <c r="F275" s="471" t="s">
        <v>626</v>
      </c>
      <c r="G275" s="388"/>
      <c r="H275" s="388"/>
      <c r="I275" s="388"/>
      <c r="J275" s="388">
        <v>456</v>
      </c>
      <c r="K275" s="388">
        <v>456</v>
      </c>
      <c r="L275" s="388"/>
      <c r="M275" s="387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spans="1:27" ht="13">
      <c r="A276" s="54">
        <v>2023</v>
      </c>
      <c r="B276" s="472">
        <v>45079</v>
      </c>
      <c r="C276" s="473" t="s">
        <v>481</v>
      </c>
      <c r="D276" s="473" t="s">
        <v>491</v>
      </c>
      <c r="E276" s="474" t="s">
        <v>601</v>
      </c>
      <c r="F276" s="475" t="s">
        <v>576</v>
      </c>
      <c r="G276" s="476"/>
      <c r="H276" s="476">
        <v>25.42</v>
      </c>
      <c r="I276" s="476">
        <v>25.42</v>
      </c>
      <c r="J276" s="476"/>
      <c r="K276" s="476"/>
      <c r="L276" s="476"/>
      <c r="M276" s="473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spans="1:27" ht="13">
      <c r="A277" s="54">
        <v>2023</v>
      </c>
      <c r="B277" s="472">
        <v>45079</v>
      </c>
      <c r="C277" s="473" t="s">
        <v>481</v>
      </c>
      <c r="D277" s="473" t="s">
        <v>491</v>
      </c>
      <c r="E277" s="474" t="s">
        <v>517</v>
      </c>
      <c r="F277" s="475" t="s">
        <v>576</v>
      </c>
      <c r="G277" s="476"/>
      <c r="H277" s="476">
        <v>1.1100000000000001</v>
      </c>
      <c r="I277" s="476">
        <v>1.1100000000000001</v>
      </c>
      <c r="J277" s="476"/>
      <c r="K277" s="476"/>
      <c r="L277" s="476"/>
      <c r="M277" s="473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spans="1:27" ht="13">
      <c r="A278" s="54">
        <v>2023</v>
      </c>
      <c r="B278" s="472">
        <v>45079</v>
      </c>
      <c r="C278" s="473" t="s">
        <v>481</v>
      </c>
      <c r="D278" s="473" t="s">
        <v>491</v>
      </c>
      <c r="E278" s="474" t="s">
        <v>498</v>
      </c>
      <c r="F278" s="475" t="s">
        <v>576</v>
      </c>
      <c r="G278" s="476"/>
      <c r="H278" s="476">
        <v>9.02</v>
      </c>
      <c r="I278" s="476">
        <v>9.02</v>
      </c>
      <c r="J278" s="476"/>
      <c r="K278" s="476"/>
      <c r="L278" s="476"/>
      <c r="M278" s="473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spans="1:27" ht="13">
      <c r="A279" s="54">
        <v>2023</v>
      </c>
      <c r="B279" s="472">
        <v>45083</v>
      </c>
      <c r="C279" s="473" t="s">
        <v>481</v>
      </c>
      <c r="D279" s="473" t="s">
        <v>493</v>
      </c>
      <c r="E279" s="474" t="s">
        <v>63</v>
      </c>
      <c r="F279" s="475" t="s">
        <v>514</v>
      </c>
      <c r="G279" s="476"/>
      <c r="H279" s="476"/>
      <c r="I279" s="476"/>
      <c r="J279" s="476">
        <v>240</v>
      </c>
      <c r="K279" s="476">
        <v>240</v>
      </c>
      <c r="L279" s="476"/>
      <c r="M279" s="473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spans="1:27" ht="13">
      <c r="A280" s="54">
        <v>2023</v>
      </c>
      <c r="B280" s="472">
        <v>45094</v>
      </c>
      <c r="C280" s="473" t="s">
        <v>481</v>
      </c>
      <c r="D280" s="473" t="s">
        <v>491</v>
      </c>
      <c r="E280" s="474" t="s">
        <v>548</v>
      </c>
      <c r="F280" s="475" t="s">
        <v>549</v>
      </c>
      <c r="G280" s="476"/>
      <c r="H280" s="476">
        <v>70</v>
      </c>
      <c r="I280" s="476">
        <v>70</v>
      </c>
      <c r="J280" s="476"/>
      <c r="K280" s="476"/>
      <c r="L280" s="476"/>
      <c r="M280" s="473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spans="1:27" ht="13">
      <c r="A281" s="54">
        <v>2023</v>
      </c>
      <c r="B281" s="472">
        <v>45094</v>
      </c>
      <c r="C281" s="473" t="s">
        <v>481</v>
      </c>
      <c r="D281" s="473" t="s">
        <v>491</v>
      </c>
      <c r="E281" s="474" t="s">
        <v>602</v>
      </c>
      <c r="F281" s="475" t="s">
        <v>576</v>
      </c>
      <c r="G281" s="476"/>
      <c r="H281" s="476">
        <v>30.69</v>
      </c>
      <c r="I281" s="476">
        <v>30.69</v>
      </c>
      <c r="J281" s="476"/>
      <c r="K281" s="476"/>
      <c r="L281" s="476"/>
      <c r="M281" s="473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spans="1:27" ht="13">
      <c r="A282" s="54">
        <v>2023</v>
      </c>
      <c r="B282" s="472">
        <v>45094</v>
      </c>
      <c r="C282" s="473" t="s">
        <v>481</v>
      </c>
      <c r="D282" s="473" t="s">
        <v>491</v>
      </c>
      <c r="E282" s="474" t="s">
        <v>592</v>
      </c>
      <c r="F282" s="475" t="s">
        <v>576</v>
      </c>
      <c r="G282" s="476"/>
      <c r="H282" s="476">
        <v>40</v>
      </c>
      <c r="I282" s="476">
        <v>40</v>
      </c>
      <c r="J282" s="476"/>
      <c r="K282" s="476"/>
      <c r="L282" s="476"/>
      <c r="M282" s="473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spans="1:27" ht="13">
      <c r="A283" s="54">
        <v>2023</v>
      </c>
      <c r="B283" s="472">
        <v>45092</v>
      </c>
      <c r="C283" s="473" t="s">
        <v>481</v>
      </c>
      <c r="D283" s="473" t="s">
        <v>493</v>
      </c>
      <c r="E283" s="474" t="s">
        <v>479</v>
      </c>
      <c r="F283" s="475" t="s">
        <v>514</v>
      </c>
      <c r="G283" s="476"/>
      <c r="H283" s="476"/>
      <c r="I283" s="476"/>
      <c r="J283" s="476">
        <v>1232</v>
      </c>
      <c r="K283" s="476">
        <v>1232</v>
      </c>
      <c r="L283" s="476"/>
      <c r="M283" s="473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spans="1:27" ht="13">
      <c r="A284" s="54">
        <v>2023</v>
      </c>
      <c r="B284" s="472">
        <v>45095</v>
      </c>
      <c r="C284" s="473" t="s">
        <v>481</v>
      </c>
      <c r="D284" s="473" t="s">
        <v>491</v>
      </c>
      <c r="E284" s="474" t="s">
        <v>532</v>
      </c>
      <c r="F284" s="475" t="s">
        <v>576</v>
      </c>
      <c r="G284" s="476"/>
      <c r="H284" s="476">
        <v>15</v>
      </c>
      <c r="I284" s="476">
        <v>15</v>
      </c>
      <c r="J284" s="476"/>
      <c r="K284" s="476"/>
      <c r="L284" s="476"/>
      <c r="M284" s="473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spans="1:27" ht="13">
      <c r="A285" s="54">
        <v>2023</v>
      </c>
      <c r="B285" s="472">
        <v>45096</v>
      </c>
      <c r="C285" s="473" t="s">
        <v>481</v>
      </c>
      <c r="D285" s="473" t="s">
        <v>494</v>
      </c>
      <c r="E285" s="474" t="s">
        <v>502</v>
      </c>
      <c r="F285" s="475" t="s">
        <v>522</v>
      </c>
      <c r="G285" s="476"/>
      <c r="H285" s="476"/>
      <c r="I285" s="476"/>
      <c r="J285" s="476">
        <v>17721</v>
      </c>
      <c r="K285" s="476">
        <v>17721</v>
      </c>
      <c r="L285" s="476"/>
      <c r="M285" s="473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spans="1:27" ht="13">
      <c r="A286" s="54">
        <v>2023</v>
      </c>
      <c r="B286" s="472">
        <v>45097</v>
      </c>
      <c r="C286" s="473" t="s">
        <v>481</v>
      </c>
      <c r="D286" s="473" t="s">
        <v>489</v>
      </c>
      <c r="E286" s="474" t="s">
        <v>627</v>
      </c>
      <c r="F286" s="475" t="s">
        <v>628</v>
      </c>
      <c r="G286" s="476"/>
      <c r="H286" s="476"/>
      <c r="I286" s="476"/>
      <c r="J286" s="476">
        <v>8386</v>
      </c>
      <c r="K286" s="476">
        <f>J286-L286</f>
        <v>6873.72</v>
      </c>
      <c r="L286" s="476">
        <v>1512.28</v>
      </c>
      <c r="M286" s="473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spans="1:27" ht="13">
      <c r="A287" s="54">
        <v>2023</v>
      </c>
      <c r="B287" s="472">
        <v>45099</v>
      </c>
      <c r="C287" s="473" t="s">
        <v>481</v>
      </c>
      <c r="D287" s="473" t="s">
        <v>493</v>
      </c>
      <c r="E287" s="474" t="s">
        <v>619</v>
      </c>
      <c r="F287" s="475" t="s">
        <v>629</v>
      </c>
      <c r="G287" s="476"/>
      <c r="H287" s="476"/>
      <c r="I287" s="476"/>
      <c r="J287" s="476">
        <v>580</v>
      </c>
      <c r="K287" s="476">
        <v>580</v>
      </c>
      <c r="L287" s="476"/>
      <c r="M287" s="473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spans="1:27" ht="13">
      <c r="A288" s="54">
        <v>2023</v>
      </c>
      <c r="B288" s="472">
        <v>45101</v>
      </c>
      <c r="C288" s="473" t="s">
        <v>481</v>
      </c>
      <c r="D288" s="473" t="s">
        <v>494</v>
      </c>
      <c r="E288" s="474" t="s">
        <v>512</v>
      </c>
      <c r="F288" s="475" t="s">
        <v>528</v>
      </c>
      <c r="G288" s="476"/>
      <c r="H288" s="476"/>
      <c r="I288" s="476"/>
      <c r="J288" s="476">
        <v>0</v>
      </c>
      <c r="K288" s="476">
        <v>0</v>
      </c>
      <c r="L288" s="476"/>
      <c r="M288" s="473"/>
      <c r="N288" s="45"/>
      <c r="O288" s="59"/>
      <c r="P288" s="68"/>
      <c r="Q288" s="45"/>
      <c r="R288" s="45"/>
      <c r="S288" s="49"/>
      <c r="T288" s="45"/>
      <c r="U288" s="45"/>
      <c r="V288" s="45"/>
      <c r="W288" s="45"/>
      <c r="X288" s="45"/>
      <c r="Y288" s="45"/>
      <c r="Z288" s="45"/>
      <c r="AA288" s="45"/>
    </row>
    <row r="289" spans="1:27" ht="13">
      <c r="A289" s="54">
        <v>2023</v>
      </c>
      <c r="B289" s="472">
        <v>45101</v>
      </c>
      <c r="C289" s="473" t="s">
        <v>481</v>
      </c>
      <c r="D289" s="473" t="s">
        <v>494</v>
      </c>
      <c r="E289" s="474" t="s">
        <v>512</v>
      </c>
      <c r="F289" s="475" t="s">
        <v>582</v>
      </c>
      <c r="G289" s="476"/>
      <c r="H289" s="476"/>
      <c r="I289" s="476"/>
      <c r="J289" s="476">
        <v>17664.689999999999</v>
      </c>
      <c r="K289" s="476">
        <v>17664.689999999999</v>
      </c>
      <c r="L289" s="476"/>
      <c r="M289" s="473"/>
      <c r="N289" s="45"/>
      <c r="O289" s="59"/>
      <c r="P289" s="68"/>
      <c r="Q289" s="45"/>
      <c r="R289" s="45"/>
      <c r="S289" s="49"/>
      <c r="T289" s="45"/>
      <c r="U289" s="45"/>
      <c r="V289" s="45"/>
      <c r="W289" s="45"/>
      <c r="X289" s="45"/>
      <c r="Y289" s="45"/>
      <c r="Z289" s="45"/>
      <c r="AA289" s="45"/>
    </row>
    <row r="290" spans="1:27" ht="13">
      <c r="A290" s="54">
        <v>2023</v>
      </c>
      <c r="B290" s="472">
        <v>45101</v>
      </c>
      <c r="C290" s="473" t="s">
        <v>481</v>
      </c>
      <c r="D290" s="473" t="s">
        <v>494</v>
      </c>
      <c r="E290" s="474" t="s">
        <v>512</v>
      </c>
      <c r="F290" s="475" t="s">
        <v>574</v>
      </c>
      <c r="G290" s="476"/>
      <c r="H290" s="476"/>
      <c r="I290" s="476"/>
      <c r="J290" s="476">
        <v>1389</v>
      </c>
      <c r="K290" s="476">
        <v>1389</v>
      </c>
      <c r="L290" s="476"/>
      <c r="M290" s="473"/>
      <c r="N290" s="45"/>
      <c r="O290" s="59"/>
      <c r="P290" s="68"/>
      <c r="Q290" s="45"/>
      <c r="R290" s="45"/>
      <c r="S290" s="49"/>
      <c r="T290" s="45"/>
      <c r="U290" s="45"/>
      <c r="V290" s="45"/>
      <c r="W290" s="45"/>
      <c r="X290" s="45"/>
      <c r="Y290" s="45"/>
      <c r="Z290" s="45"/>
      <c r="AA290" s="45"/>
    </row>
    <row r="291" spans="1:27" ht="13">
      <c r="A291" s="54">
        <v>2023</v>
      </c>
      <c r="B291" s="472">
        <v>45107</v>
      </c>
      <c r="C291" s="473" t="s">
        <v>481</v>
      </c>
      <c r="D291" s="473" t="s">
        <v>489</v>
      </c>
      <c r="E291" s="474" t="s">
        <v>463</v>
      </c>
      <c r="F291" s="475" t="s">
        <v>464</v>
      </c>
      <c r="G291" s="476"/>
      <c r="H291" s="476"/>
      <c r="I291" s="476"/>
      <c r="J291" s="476">
        <v>6600</v>
      </c>
      <c r="K291" s="476">
        <f>J291-L291</f>
        <v>5409.84</v>
      </c>
      <c r="L291" s="476">
        <v>1190.1600000000001</v>
      </c>
      <c r="M291" s="473"/>
      <c r="N291" s="45"/>
      <c r="O291" s="469" t="s">
        <v>457</v>
      </c>
      <c r="P291" s="470"/>
      <c r="Q291" s="45"/>
      <c r="R291" s="45"/>
      <c r="S291" s="84" t="s">
        <v>583</v>
      </c>
      <c r="T291" s="93"/>
      <c r="U291" s="45"/>
      <c r="V291" s="45"/>
      <c r="W291" s="45"/>
      <c r="X291" s="45"/>
      <c r="Y291" s="45"/>
      <c r="Z291" s="45"/>
      <c r="AA291" s="45"/>
    </row>
    <row r="292" spans="1:27" ht="13">
      <c r="A292" s="54">
        <v>2023</v>
      </c>
      <c r="B292" s="472">
        <v>45107</v>
      </c>
      <c r="C292" s="473" t="s">
        <v>481</v>
      </c>
      <c r="D292" s="473" t="s">
        <v>482</v>
      </c>
      <c r="E292" s="474" t="s">
        <v>458</v>
      </c>
      <c r="F292" s="475" t="s">
        <v>459</v>
      </c>
      <c r="G292" s="476"/>
      <c r="H292" s="476">
        <v>4636</v>
      </c>
      <c r="I292" s="476">
        <v>3800</v>
      </c>
      <c r="J292" s="476"/>
      <c r="K292" s="476"/>
      <c r="L292" s="476">
        <f>836*M292</f>
        <v>31360.867999999999</v>
      </c>
      <c r="M292" s="475">
        <v>37.512999999999998</v>
      </c>
      <c r="N292" s="45"/>
      <c r="O292" s="470">
        <f>SUM(Facturacion!I139)</f>
        <v>0</v>
      </c>
      <c r="P292" s="470"/>
      <c r="Q292" s="45"/>
      <c r="R292" s="45"/>
      <c r="S292" s="89" t="s">
        <v>411</v>
      </c>
      <c r="T292" s="420">
        <f>SUM(K276:K301)</f>
        <v>51110.25</v>
      </c>
      <c r="U292" s="45"/>
      <c r="V292" s="45"/>
      <c r="W292" s="45"/>
      <c r="X292" s="45"/>
      <c r="Y292" s="45"/>
      <c r="Z292" s="45"/>
      <c r="AA292" s="45"/>
    </row>
    <row r="293" spans="1:27" ht="13">
      <c r="A293" s="54">
        <v>2023</v>
      </c>
      <c r="B293" s="472">
        <v>45107</v>
      </c>
      <c r="C293" s="473" t="s">
        <v>481</v>
      </c>
      <c r="D293" s="473" t="s">
        <v>482</v>
      </c>
      <c r="E293" s="474" t="s">
        <v>133</v>
      </c>
      <c r="F293" s="475" t="s">
        <v>459</v>
      </c>
      <c r="G293" s="476"/>
      <c r="H293" s="476">
        <v>4855.6000000000004</v>
      </c>
      <c r="I293" s="476">
        <v>3980</v>
      </c>
      <c r="J293" s="476"/>
      <c r="K293" s="476"/>
      <c r="L293" s="476">
        <f>875.6*M293</f>
        <v>32846.382799999999</v>
      </c>
      <c r="M293" s="475">
        <v>37.512999999999998</v>
      </c>
      <c r="N293" s="45"/>
      <c r="O293" s="469" t="s">
        <v>461</v>
      </c>
      <c r="P293" s="469" t="s">
        <v>462</v>
      </c>
      <c r="Q293" s="45"/>
      <c r="R293" s="45"/>
      <c r="S293" s="421" t="s">
        <v>584</v>
      </c>
      <c r="T293" s="91">
        <f>SUM(I276:I301)</f>
        <v>15089.61</v>
      </c>
      <c r="U293" s="45"/>
      <c r="V293" s="45"/>
      <c r="W293" s="45"/>
      <c r="X293" s="45"/>
      <c r="Y293" s="45"/>
      <c r="Z293" s="45"/>
      <c r="AA293" s="45"/>
    </row>
    <row r="294" spans="1:27" ht="13">
      <c r="A294" s="54">
        <v>2023</v>
      </c>
      <c r="B294" s="472">
        <v>45107</v>
      </c>
      <c r="C294" s="473" t="s">
        <v>481</v>
      </c>
      <c r="D294" s="473" t="s">
        <v>482</v>
      </c>
      <c r="E294" s="473" t="s">
        <v>460</v>
      </c>
      <c r="F294" s="473" t="s">
        <v>459</v>
      </c>
      <c r="G294" s="476"/>
      <c r="H294" s="476">
        <v>3660</v>
      </c>
      <c r="I294" s="476">
        <v>3000</v>
      </c>
      <c r="J294" s="476"/>
      <c r="K294" s="476"/>
      <c r="L294" s="476">
        <f>660*M294</f>
        <v>24758.579999999998</v>
      </c>
      <c r="M294" s="475">
        <v>37.512999999999998</v>
      </c>
      <c r="N294" s="45"/>
      <c r="O294" s="470">
        <f>SUM(L276:L301)</f>
        <v>91668.270799999998</v>
      </c>
      <c r="P294" s="470">
        <f>O292-O294</f>
        <v>-91668.270799999998</v>
      </c>
      <c r="Q294" s="45"/>
      <c r="R294" s="45"/>
      <c r="T294" s="45"/>
      <c r="U294" s="45"/>
      <c r="V294" s="45"/>
      <c r="W294" s="45"/>
      <c r="X294" s="45"/>
      <c r="Y294" s="45"/>
      <c r="Z294" s="45"/>
      <c r="AA294" s="45"/>
    </row>
    <row r="295" spans="1:27" ht="13">
      <c r="A295" s="54">
        <v>2023</v>
      </c>
      <c r="B295" s="472">
        <v>45107</v>
      </c>
      <c r="C295" s="473" t="s">
        <v>474</v>
      </c>
      <c r="D295" s="473" t="s">
        <v>482</v>
      </c>
      <c r="E295" s="473" t="s">
        <v>483</v>
      </c>
      <c r="F295" s="473" t="s">
        <v>459</v>
      </c>
      <c r="G295" s="476"/>
      <c r="H295" s="476">
        <v>867</v>
      </c>
      <c r="I295" s="476">
        <v>867</v>
      </c>
      <c r="J295" s="476"/>
      <c r="K295" s="476"/>
      <c r="L295" s="476"/>
      <c r="M295" s="47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1:27" ht="13">
      <c r="A296" s="54">
        <v>2023</v>
      </c>
      <c r="B296" s="472">
        <v>45107</v>
      </c>
      <c r="C296" s="473" t="s">
        <v>474</v>
      </c>
      <c r="D296" s="473" t="s">
        <v>482</v>
      </c>
      <c r="E296" s="473" t="s">
        <v>535</v>
      </c>
      <c r="F296" s="473" t="s">
        <v>459</v>
      </c>
      <c r="G296" s="476"/>
      <c r="H296" s="476">
        <v>760</v>
      </c>
      <c r="I296" s="476">
        <v>760</v>
      </c>
      <c r="J296" s="476"/>
      <c r="K296" s="476"/>
      <c r="L296" s="476"/>
      <c r="M296" s="47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1:27" ht="13">
      <c r="A297" s="54">
        <v>2023</v>
      </c>
      <c r="B297" s="472">
        <v>45107</v>
      </c>
      <c r="C297" s="473" t="s">
        <v>474</v>
      </c>
      <c r="D297" s="473" t="s">
        <v>482</v>
      </c>
      <c r="E297" s="473" t="s">
        <v>541</v>
      </c>
      <c r="F297" s="473" t="s">
        <v>459</v>
      </c>
      <c r="G297" s="476"/>
      <c r="H297" s="476">
        <v>760</v>
      </c>
      <c r="I297" s="476">
        <v>760</v>
      </c>
      <c r="J297" s="476"/>
      <c r="K297" s="476"/>
      <c r="L297" s="476"/>
      <c r="M297" s="47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1:27" ht="13">
      <c r="A298" s="54">
        <v>2023</v>
      </c>
      <c r="B298" s="472">
        <v>45107</v>
      </c>
      <c r="C298" s="473" t="s">
        <v>474</v>
      </c>
      <c r="D298" s="473" t="s">
        <v>482</v>
      </c>
      <c r="E298" s="473" t="s">
        <v>537</v>
      </c>
      <c r="F298" s="473" t="s">
        <v>459</v>
      </c>
      <c r="G298" s="476"/>
      <c r="H298" s="476">
        <v>543</v>
      </c>
      <c r="I298" s="476">
        <v>543</v>
      </c>
      <c r="J298" s="476"/>
      <c r="K298" s="476"/>
      <c r="L298" s="476"/>
      <c r="M298" s="47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1:27" ht="13">
      <c r="A299" s="54">
        <v>2023</v>
      </c>
      <c r="B299" s="472">
        <v>45107</v>
      </c>
      <c r="C299" s="473" t="s">
        <v>474</v>
      </c>
      <c r="D299" s="473" t="s">
        <v>554</v>
      </c>
      <c r="E299" s="473" t="s">
        <v>540</v>
      </c>
      <c r="F299" s="473" t="s">
        <v>459</v>
      </c>
      <c r="G299" s="476"/>
      <c r="H299" s="476">
        <v>867</v>
      </c>
      <c r="I299" s="476">
        <v>867</v>
      </c>
      <c r="J299" s="476"/>
      <c r="K299" s="476"/>
      <c r="L299" s="476"/>
      <c r="M299" s="47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1:27" ht="13">
      <c r="A300" s="54">
        <v>2023</v>
      </c>
      <c r="B300" s="472">
        <v>45107</v>
      </c>
      <c r="C300" s="477" t="s">
        <v>474</v>
      </c>
      <c r="D300" s="477" t="s">
        <v>478</v>
      </c>
      <c r="E300" s="477" t="s">
        <v>479</v>
      </c>
      <c r="F300" s="477" t="s">
        <v>547</v>
      </c>
      <c r="G300" s="478"/>
      <c r="H300" s="478" t="e">
        <f>#REF!+#REF!+#REF!+#REF!+#REF!+#REF!+#REF!+#REF!+#REF!+#REF!+#REF!+#REF!</f>
        <v>#REF!</v>
      </c>
      <c r="I300" s="478">
        <v>121.37</v>
      </c>
      <c r="J300" s="478"/>
      <c r="K300" s="478"/>
      <c r="L300" s="478"/>
      <c r="M300" s="479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1:27" ht="13">
      <c r="A301" s="54">
        <v>2023</v>
      </c>
      <c r="B301" s="480">
        <v>45107</v>
      </c>
      <c r="C301" s="477" t="s">
        <v>474</v>
      </c>
      <c r="D301" s="477" t="s">
        <v>478</v>
      </c>
      <c r="E301" s="477" t="s">
        <v>479</v>
      </c>
      <c r="F301" s="477" t="s">
        <v>480</v>
      </c>
      <c r="G301" s="478"/>
      <c r="H301" s="478">
        <v>200</v>
      </c>
      <c r="I301" s="478">
        <v>200</v>
      </c>
      <c r="J301" s="478"/>
      <c r="K301" s="478"/>
      <c r="L301" s="478"/>
      <c r="M301" s="479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1:27" ht="13">
      <c r="A302" s="54">
        <v>2023</v>
      </c>
      <c r="B302" s="353">
        <v>45110</v>
      </c>
      <c r="C302" s="354" t="s">
        <v>481</v>
      </c>
      <c r="D302" s="354" t="s">
        <v>493</v>
      </c>
      <c r="E302" s="354" t="s">
        <v>63</v>
      </c>
      <c r="F302" s="354" t="s">
        <v>480</v>
      </c>
      <c r="G302" s="355"/>
      <c r="H302" s="355">
        <v>2.93</v>
      </c>
      <c r="I302" s="355">
        <v>2.93</v>
      </c>
      <c r="J302" s="355"/>
      <c r="K302" s="355"/>
      <c r="L302" s="355"/>
      <c r="M302" s="481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1:27" ht="13">
      <c r="A303" s="54">
        <v>2023</v>
      </c>
      <c r="B303" s="342">
        <v>45111</v>
      </c>
      <c r="C303" s="343" t="s">
        <v>481</v>
      </c>
      <c r="D303" s="343" t="s">
        <v>493</v>
      </c>
      <c r="E303" s="343" t="s">
        <v>63</v>
      </c>
      <c r="F303" s="343" t="s">
        <v>514</v>
      </c>
      <c r="G303" s="344"/>
      <c r="H303" s="344"/>
      <c r="I303" s="344"/>
      <c r="J303" s="344">
        <v>145</v>
      </c>
      <c r="K303" s="344">
        <v>145</v>
      </c>
      <c r="L303" s="344"/>
      <c r="M303" s="482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1:27" ht="13">
      <c r="A304" s="54">
        <v>2023</v>
      </c>
      <c r="B304" s="353">
        <v>45112</v>
      </c>
      <c r="C304" s="354" t="s">
        <v>481</v>
      </c>
      <c r="D304" s="354" t="s">
        <v>493</v>
      </c>
      <c r="E304" s="354" t="s">
        <v>479</v>
      </c>
      <c r="F304" s="354" t="s">
        <v>480</v>
      </c>
      <c r="G304" s="355"/>
      <c r="H304" s="355">
        <v>25</v>
      </c>
      <c r="I304" s="355">
        <v>25</v>
      </c>
      <c r="J304" s="355"/>
      <c r="K304" s="355"/>
      <c r="L304" s="355"/>
      <c r="M304" s="481"/>
      <c r="N304" s="45"/>
      <c r="O304" s="469" t="s">
        <v>457</v>
      </c>
      <c r="P304" s="470"/>
      <c r="Q304" s="45"/>
      <c r="R304" s="45"/>
      <c r="S304" s="84" t="s">
        <v>583</v>
      </c>
      <c r="T304" s="93"/>
      <c r="U304" s="45"/>
      <c r="V304" s="45"/>
      <c r="W304" s="45"/>
      <c r="X304" s="45"/>
      <c r="Y304" s="45"/>
      <c r="Z304" s="45"/>
      <c r="AA304" s="45"/>
    </row>
    <row r="305" spans="1:27" ht="13">
      <c r="A305" s="54">
        <v>2023</v>
      </c>
      <c r="B305" s="353">
        <v>45118</v>
      </c>
      <c r="C305" s="354" t="s">
        <v>474</v>
      </c>
      <c r="D305" s="354" t="s">
        <v>489</v>
      </c>
      <c r="E305" s="354" t="s">
        <v>630</v>
      </c>
      <c r="F305" s="354" t="s">
        <v>631</v>
      </c>
      <c r="G305" s="355"/>
      <c r="H305" s="355">
        <v>316</v>
      </c>
      <c r="I305" s="355">
        <v>316</v>
      </c>
      <c r="J305" s="355"/>
      <c r="K305" s="355"/>
      <c r="L305" s="355"/>
      <c r="M305" s="481"/>
      <c r="N305" s="45"/>
      <c r="O305" s="470">
        <f>SUM(Facturacion!I65:I68)</f>
        <v>62403.781000000003</v>
      </c>
      <c r="P305" s="470"/>
      <c r="Q305" s="45"/>
      <c r="R305" s="45"/>
      <c r="S305" s="89" t="s">
        <v>411</v>
      </c>
      <c r="T305" s="420">
        <f>SUM(K302:K335)</f>
        <v>295406.89</v>
      </c>
      <c r="U305" s="45"/>
      <c r="V305" s="45"/>
      <c r="W305" s="45"/>
      <c r="X305" s="45"/>
      <c r="Y305" s="45"/>
      <c r="Z305" s="45"/>
      <c r="AA305" s="45"/>
    </row>
    <row r="306" spans="1:27" ht="13">
      <c r="A306" s="54">
        <v>2023</v>
      </c>
      <c r="B306" s="353">
        <v>45118</v>
      </c>
      <c r="C306" s="354" t="s">
        <v>474</v>
      </c>
      <c r="D306" s="354" t="s">
        <v>478</v>
      </c>
      <c r="E306" s="354" t="s">
        <v>479</v>
      </c>
      <c r="F306" s="354" t="s">
        <v>480</v>
      </c>
      <c r="G306" s="355"/>
      <c r="H306" s="355">
        <v>40</v>
      </c>
      <c r="I306" s="355">
        <v>40</v>
      </c>
      <c r="J306" s="355"/>
      <c r="K306" s="355"/>
      <c r="L306" s="355"/>
      <c r="M306" s="481"/>
      <c r="N306" s="45"/>
      <c r="O306" s="469" t="s">
        <v>461</v>
      </c>
      <c r="P306" s="469" t="s">
        <v>462</v>
      </c>
      <c r="Q306" s="45"/>
      <c r="R306" s="45"/>
      <c r="S306" s="421" t="s">
        <v>584</v>
      </c>
      <c r="T306" s="91">
        <f>SUM(I302:I335)</f>
        <v>17443.93</v>
      </c>
      <c r="U306" s="45"/>
      <c r="V306" s="45"/>
      <c r="W306" s="45"/>
      <c r="X306" s="45"/>
      <c r="Y306" s="45"/>
      <c r="Z306" s="45"/>
      <c r="AA306" s="45"/>
    </row>
    <row r="307" spans="1:27" ht="13">
      <c r="A307" s="54">
        <v>2023</v>
      </c>
      <c r="B307" s="353">
        <v>45121</v>
      </c>
      <c r="C307" s="354" t="s">
        <v>481</v>
      </c>
      <c r="D307" s="354" t="s">
        <v>493</v>
      </c>
      <c r="E307" s="354" t="s">
        <v>479</v>
      </c>
      <c r="F307" s="354" t="s">
        <v>514</v>
      </c>
      <c r="G307" s="355"/>
      <c r="H307" s="355"/>
      <c r="I307" s="355"/>
      <c r="J307" s="355">
        <v>1232</v>
      </c>
      <c r="K307" s="355">
        <v>1232</v>
      </c>
      <c r="L307" s="355"/>
      <c r="M307" s="481"/>
      <c r="N307" s="45"/>
      <c r="O307" s="470">
        <f>SUM(L302:L335)-P294</f>
        <v>195125.23016000001</v>
      </c>
      <c r="P307" s="470">
        <f>O305-O307</f>
        <v>-132721.44916000002</v>
      </c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1:27" ht="13">
      <c r="A308" s="54">
        <v>2023</v>
      </c>
      <c r="B308" s="353">
        <v>45122</v>
      </c>
      <c r="C308" s="354" t="s">
        <v>481</v>
      </c>
      <c r="D308" s="354" t="s">
        <v>493</v>
      </c>
      <c r="E308" s="354" t="s">
        <v>479</v>
      </c>
      <c r="F308" s="354" t="s">
        <v>480</v>
      </c>
      <c r="G308" s="355"/>
      <c r="H308" s="355">
        <v>25</v>
      </c>
      <c r="I308" s="355">
        <v>25</v>
      </c>
      <c r="J308" s="355"/>
      <c r="K308" s="355"/>
      <c r="L308" s="355"/>
      <c r="M308" s="481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1:27" ht="13">
      <c r="A309" s="54">
        <v>2023</v>
      </c>
      <c r="B309" s="353">
        <v>45131</v>
      </c>
      <c r="C309" s="354" t="s">
        <v>481</v>
      </c>
      <c r="D309" s="354" t="s">
        <v>494</v>
      </c>
      <c r="E309" s="354" t="s">
        <v>502</v>
      </c>
      <c r="F309" s="354" t="s">
        <v>543</v>
      </c>
      <c r="G309" s="355"/>
      <c r="H309" s="355"/>
      <c r="I309" s="355"/>
      <c r="J309" s="355">
        <v>24636</v>
      </c>
      <c r="K309" s="355">
        <v>24636</v>
      </c>
      <c r="L309" s="355"/>
      <c r="M309" s="481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1:27" ht="13">
      <c r="A310" s="54">
        <v>2023</v>
      </c>
      <c r="B310" s="353">
        <v>45131</v>
      </c>
      <c r="C310" s="354" t="s">
        <v>481</v>
      </c>
      <c r="D310" s="354" t="s">
        <v>494</v>
      </c>
      <c r="E310" s="354" t="s">
        <v>502</v>
      </c>
      <c r="F310" s="354" t="s">
        <v>522</v>
      </c>
      <c r="G310" s="355"/>
      <c r="H310" s="355"/>
      <c r="I310" s="355"/>
      <c r="J310" s="355">
        <v>137220</v>
      </c>
      <c r="K310" s="355">
        <v>137220</v>
      </c>
      <c r="L310" s="355"/>
      <c r="M310" s="481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1:27" ht="13">
      <c r="A311" s="54">
        <v>2023</v>
      </c>
      <c r="B311" s="353">
        <v>45131</v>
      </c>
      <c r="C311" s="354" t="s">
        <v>481</v>
      </c>
      <c r="D311" s="354" t="s">
        <v>494</v>
      </c>
      <c r="E311" s="483" t="s">
        <v>512</v>
      </c>
      <c r="F311" s="481" t="s">
        <v>528</v>
      </c>
      <c r="G311" s="355"/>
      <c r="H311" s="355"/>
      <c r="I311" s="355"/>
      <c r="J311" s="355">
        <v>0</v>
      </c>
      <c r="K311" s="355">
        <v>0</v>
      </c>
      <c r="L311" s="355"/>
      <c r="M311" s="481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1:27" ht="13">
      <c r="A312" s="54">
        <v>2023</v>
      </c>
      <c r="B312" s="353">
        <v>45131</v>
      </c>
      <c r="C312" s="354" t="s">
        <v>481</v>
      </c>
      <c r="D312" s="354" t="s">
        <v>494</v>
      </c>
      <c r="E312" s="483" t="s">
        <v>512</v>
      </c>
      <c r="F312" s="481" t="s">
        <v>582</v>
      </c>
      <c r="G312" s="355"/>
      <c r="H312" s="355"/>
      <c r="I312" s="355"/>
      <c r="J312" s="355">
        <v>19193</v>
      </c>
      <c r="K312" s="355">
        <v>19193</v>
      </c>
      <c r="L312" s="355"/>
      <c r="M312" s="481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1:27" ht="13">
      <c r="A313" s="54">
        <v>2023</v>
      </c>
      <c r="B313" s="353">
        <v>45131</v>
      </c>
      <c r="C313" s="354" t="s">
        <v>481</v>
      </c>
      <c r="D313" s="354" t="s">
        <v>494</v>
      </c>
      <c r="E313" s="483" t="s">
        <v>512</v>
      </c>
      <c r="F313" s="481" t="s">
        <v>574</v>
      </c>
      <c r="G313" s="355"/>
      <c r="H313" s="355"/>
      <c r="I313" s="355"/>
      <c r="J313" s="355">
        <v>1389</v>
      </c>
      <c r="K313" s="355">
        <v>1389</v>
      </c>
      <c r="L313" s="355"/>
      <c r="M313" s="481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1:27" ht="13">
      <c r="A314" s="54">
        <v>2023</v>
      </c>
      <c r="B314" s="353">
        <v>45133</v>
      </c>
      <c r="C314" s="354" t="s">
        <v>481</v>
      </c>
      <c r="D314" s="354" t="s">
        <v>493</v>
      </c>
      <c r="E314" s="354" t="s">
        <v>479</v>
      </c>
      <c r="F314" s="354" t="s">
        <v>480</v>
      </c>
      <c r="G314" s="355"/>
      <c r="H314" s="355">
        <v>4.2699999999999996</v>
      </c>
      <c r="I314" s="355">
        <v>4.2699999999999996</v>
      </c>
      <c r="J314" s="355"/>
      <c r="K314" s="355"/>
      <c r="L314" s="355"/>
      <c r="M314" s="481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1:27" ht="13">
      <c r="A315" s="54">
        <v>2023</v>
      </c>
      <c r="B315" s="353">
        <v>45138</v>
      </c>
      <c r="C315" s="354" t="s">
        <v>481</v>
      </c>
      <c r="D315" s="354" t="s">
        <v>482</v>
      </c>
      <c r="E315" s="483" t="s">
        <v>458</v>
      </c>
      <c r="F315" s="481" t="s">
        <v>459</v>
      </c>
      <c r="G315" s="355"/>
      <c r="H315" s="355">
        <v>4636</v>
      </c>
      <c r="I315" s="355">
        <v>3800</v>
      </c>
      <c r="J315" s="355"/>
      <c r="K315" s="355"/>
      <c r="L315" s="355">
        <f>836*M315</f>
        <v>31487.104000000003</v>
      </c>
      <c r="M315" s="481">
        <v>37.664000000000001</v>
      </c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1:27" ht="13">
      <c r="A316" s="54">
        <v>2023</v>
      </c>
      <c r="B316" s="353">
        <v>45138</v>
      </c>
      <c r="C316" s="354" t="s">
        <v>481</v>
      </c>
      <c r="D316" s="354" t="s">
        <v>482</v>
      </c>
      <c r="E316" s="483" t="s">
        <v>133</v>
      </c>
      <c r="F316" s="481" t="s">
        <v>459</v>
      </c>
      <c r="G316" s="355"/>
      <c r="H316" s="355">
        <v>6761.24</v>
      </c>
      <c r="I316" s="355">
        <v>5542</v>
      </c>
      <c r="J316" s="355"/>
      <c r="K316" s="355"/>
      <c r="L316" s="355">
        <f>1219.24*M316</f>
        <v>45921.45536</v>
      </c>
      <c r="M316" s="481">
        <v>37.664000000000001</v>
      </c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1:27" ht="13">
      <c r="A317" s="54">
        <v>2023</v>
      </c>
      <c r="B317" s="353">
        <v>45138</v>
      </c>
      <c r="C317" s="354" t="s">
        <v>481</v>
      </c>
      <c r="D317" s="354" t="s">
        <v>482</v>
      </c>
      <c r="E317" s="354" t="s">
        <v>460</v>
      </c>
      <c r="F317" s="354" t="s">
        <v>459</v>
      </c>
      <c r="G317" s="355"/>
      <c r="H317" s="355">
        <v>3660</v>
      </c>
      <c r="I317" s="355">
        <v>3000</v>
      </c>
      <c r="J317" s="355"/>
      <c r="K317" s="355"/>
      <c r="L317" s="355">
        <f>660*M317</f>
        <v>24858.240000000002</v>
      </c>
      <c r="M317" s="481">
        <v>37.664000000000001</v>
      </c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1:27" ht="13">
      <c r="A318" s="54">
        <v>2023</v>
      </c>
      <c r="B318" s="353">
        <v>45138</v>
      </c>
      <c r="C318" s="354" t="s">
        <v>474</v>
      </c>
      <c r="D318" s="354" t="s">
        <v>482</v>
      </c>
      <c r="E318" s="354" t="s">
        <v>483</v>
      </c>
      <c r="F318" s="354" t="s">
        <v>459</v>
      </c>
      <c r="G318" s="355"/>
      <c r="H318" s="355">
        <v>970</v>
      </c>
      <c r="I318" s="355">
        <v>970</v>
      </c>
      <c r="J318" s="355"/>
      <c r="K318" s="355"/>
      <c r="L318" s="355"/>
      <c r="M318" s="481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1:27" ht="13">
      <c r="A319" s="54">
        <v>2023</v>
      </c>
      <c r="B319" s="353">
        <v>45138</v>
      </c>
      <c r="C319" s="354" t="s">
        <v>474</v>
      </c>
      <c r="D319" s="354" t="s">
        <v>482</v>
      </c>
      <c r="E319" s="354" t="s">
        <v>535</v>
      </c>
      <c r="F319" s="354" t="s">
        <v>459</v>
      </c>
      <c r="G319" s="355"/>
      <c r="H319" s="355">
        <v>850</v>
      </c>
      <c r="I319" s="355">
        <v>850</v>
      </c>
      <c r="J319" s="355"/>
      <c r="K319" s="355"/>
      <c r="L319" s="355"/>
      <c r="M319" s="481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1:27" ht="13">
      <c r="A320" s="54">
        <v>2023</v>
      </c>
      <c r="B320" s="353">
        <v>45138</v>
      </c>
      <c r="C320" s="354" t="s">
        <v>474</v>
      </c>
      <c r="D320" s="354" t="s">
        <v>482</v>
      </c>
      <c r="E320" s="354" t="s">
        <v>541</v>
      </c>
      <c r="F320" s="354" t="s">
        <v>459</v>
      </c>
      <c r="G320" s="355"/>
      <c r="H320" s="355">
        <v>850</v>
      </c>
      <c r="I320" s="355">
        <v>850</v>
      </c>
      <c r="J320" s="355"/>
      <c r="K320" s="355"/>
      <c r="L320" s="355"/>
      <c r="M320" s="481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1:27" ht="13">
      <c r="A321" s="54">
        <v>2023</v>
      </c>
      <c r="B321" s="353">
        <v>45138</v>
      </c>
      <c r="C321" s="354" t="s">
        <v>474</v>
      </c>
      <c r="D321" s="354" t="s">
        <v>482</v>
      </c>
      <c r="E321" s="354" t="s">
        <v>537</v>
      </c>
      <c r="F321" s="354" t="s">
        <v>459</v>
      </c>
      <c r="G321" s="355"/>
      <c r="H321" s="355">
        <v>606</v>
      </c>
      <c r="I321" s="355">
        <v>606</v>
      </c>
      <c r="J321" s="355"/>
      <c r="K321" s="355"/>
      <c r="L321" s="355"/>
      <c r="M321" s="481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1:27" ht="13">
      <c r="A322" s="54">
        <v>2023</v>
      </c>
      <c r="B322" s="353">
        <v>45138</v>
      </c>
      <c r="C322" s="354" t="s">
        <v>474</v>
      </c>
      <c r="D322" s="354" t="s">
        <v>554</v>
      </c>
      <c r="E322" s="354" t="s">
        <v>540</v>
      </c>
      <c r="F322" s="354" t="s">
        <v>459</v>
      </c>
      <c r="G322" s="355"/>
      <c r="H322" s="355">
        <v>971</v>
      </c>
      <c r="I322" s="355">
        <v>971</v>
      </c>
      <c r="J322" s="355"/>
      <c r="K322" s="355"/>
      <c r="L322" s="355"/>
      <c r="M322" s="481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1:27" ht="13">
      <c r="A323" s="54">
        <v>2023</v>
      </c>
      <c r="B323" s="353">
        <v>45138</v>
      </c>
      <c r="C323" s="354" t="s">
        <v>474</v>
      </c>
      <c r="D323" s="354" t="s">
        <v>478</v>
      </c>
      <c r="E323" s="354" t="s">
        <v>479</v>
      </c>
      <c r="F323" s="354" t="s">
        <v>547</v>
      </c>
      <c r="G323" s="355"/>
      <c r="H323" s="355" t="e">
        <f>#REF!+#REF!+#REF!+#REF!+#REF!+#REF!+#REF!+#REF!+#REF!+#REF!</f>
        <v>#REF!</v>
      </c>
      <c r="I323" s="355">
        <v>125</v>
      </c>
      <c r="J323" s="355"/>
      <c r="K323" s="355"/>
      <c r="L323" s="355"/>
      <c r="M323" s="481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1:27" ht="13">
      <c r="A324" s="54">
        <v>2023</v>
      </c>
      <c r="B324" s="353">
        <v>45138</v>
      </c>
      <c r="C324" s="354" t="s">
        <v>481</v>
      </c>
      <c r="D324" s="354" t="s">
        <v>493</v>
      </c>
      <c r="E324" s="354" t="s">
        <v>63</v>
      </c>
      <c r="F324" s="354" t="s">
        <v>539</v>
      </c>
      <c r="G324" s="354"/>
      <c r="H324" s="355"/>
      <c r="I324" s="355"/>
      <c r="J324" s="355">
        <v>783.05</v>
      </c>
      <c r="K324" s="355">
        <v>783.05</v>
      </c>
      <c r="L324" s="355"/>
      <c r="M324" s="354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1:27" ht="13">
      <c r="A325" s="54">
        <v>2023</v>
      </c>
      <c r="B325" s="353">
        <v>45138</v>
      </c>
      <c r="C325" s="354" t="s">
        <v>481</v>
      </c>
      <c r="D325" s="354" t="s">
        <v>489</v>
      </c>
      <c r="E325" s="483" t="s">
        <v>463</v>
      </c>
      <c r="F325" s="481" t="s">
        <v>464</v>
      </c>
      <c r="G325" s="355"/>
      <c r="H325" s="355"/>
      <c r="I325" s="355"/>
      <c r="J325" s="355">
        <v>6600</v>
      </c>
      <c r="K325" s="355">
        <f>J325-L325</f>
        <v>5409.84</v>
      </c>
      <c r="L325" s="355">
        <v>1190.1600000000001</v>
      </c>
      <c r="M325" s="354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1:27" ht="13">
      <c r="A326" s="54">
        <v>2023</v>
      </c>
      <c r="B326" s="353">
        <v>45138</v>
      </c>
      <c r="C326" s="354" t="s">
        <v>474</v>
      </c>
      <c r="D326" s="354" t="s">
        <v>478</v>
      </c>
      <c r="E326" s="354" t="s">
        <v>479</v>
      </c>
      <c r="F326" s="354" t="s">
        <v>480</v>
      </c>
      <c r="G326" s="354"/>
      <c r="H326" s="355">
        <v>200</v>
      </c>
      <c r="I326" s="355">
        <v>200</v>
      </c>
      <c r="J326" s="355"/>
      <c r="K326" s="355"/>
      <c r="L326" s="355"/>
      <c r="M326" s="354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1:27" ht="13">
      <c r="A327" s="54">
        <v>2023</v>
      </c>
      <c r="B327" s="353">
        <v>45138</v>
      </c>
      <c r="C327" s="354" t="s">
        <v>481</v>
      </c>
      <c r="D327" s="354" t="s">
        <v>484</v>
      </c>
      <c r="E327" s="354" t="s">
        <v>632</v>
      </c>
      <c r="F327" s="354" t="s">
        <v>488</v>
      </c>
      <c r="G327" s="355"/>
      <c r="H327" s="355"/>
      <c r="I327" s="355"/>
      <c r="J327" s="355">
        <v>105000</v>
      </c>
      <c r="K327" s="355">
        <v>105000</v>
      </c>
      <c r="L327" s="355"/>
      <c r="M327" s="35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1:27" ht="13">
      <c r="A328" s="54">
        <v>2023</v>
      </c>
      <c r="B328" s="353">
        <v>45138</v>
      </c>
      <c r="C328" s="354" t="s">
        <v>481</v>
      </c>
      <c r="D328" s="354" t="s">
        <v>491</v>
      </c>
      <c r="E328" s="354" t="s">
        <v>633</v>
      </c>
      <c r="F328" s="354" t="s">
        <v>576</v>
      </c>
      <c r="G328" s="355"/>
      <c r="H328" s="355">
        <v>3.24</v>
      </c>
      <c r="I328" s="355">
        <v>3.24</v>
      </c>
      <c r="J328" s="355"/>
      <c r="K328" s="355"/>
      <c r="L328" s="355"/>
      <c r="M328" s="35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1:27" ht="13">
      <c r="A329" s="54">
        <v>2023</v>
      </c>
      <c r="B329" s="353">
        <v>45138</v>
      </c>
      <c r="C329" s="354" t="s">
        <v>481</v>
      </c>
      <c r="D329" s="354" t="s">
        <v>491</v>
      </c>
      <c r="E329" s="354" t="s">
        <v>517</v>
      </c>
      <c r="F329" s="354" t="s">
        <v>576</v>
      </c>
      <c r="G329" s="355"/>
      <c r="H329" s="355">
        <v>0.32</v>
      </c>
      <c r="I329" s="355">
        <v>0.32</v>
      </c>
      <c r="J329" s="355"/>
      <c r="K329" s="355"/>
      <c r="L329" s="355"/>
      <c r="M329" s="35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1:27" ht="13">
      <c r="A330" s="54">
        <v>2023</v>
      </c>
      <c r="B330" s="353">
        <v>45138</v>
      </c>
      <c r="C330" s="354" t="s">
        <v>481</v>
      </c>
      <c r="D330" s="354" t="s">
        <v>491</v>
      </c>
      <c r="E330" s="354" t="s">
        <v>601</v>
      </c>
      <c r="F330" s="354" t="s">
        <v>576</v>
      </c>
      <c r="G330" s="355"/>
      <c r="H330" s="355">
        <v>27.71</v>
      </c>
      <c r="I330" s="355">
        <v>27.71</v>
      </c>
      <c r="J330" s="355"/>
      <c r="K330" s="355"/>
      <c r="L330" s="355"/>
      <c r="M330" s="354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1:27" ht="13">
      <c r="A331" s="54">
        <v>2023</v>
      </c>
      <c r="B331" s="353">
        <v>45138</v>
      </c>
      <c r="C331" s="354" t="s">
        <v>481</v>
      </c>
      <c r="D331" s="354" t="s">
        <v>491</v>
      </c>
      <c r="E331" s="354" t="s">
        <v>498</v>
      </c>
      <c r="F331" s="354" t="s">
        <v>576</v>
      </c>
      <c r="G331" s="355"/>
      <c r="H331" s="355">
        <v>9.16</v>
      </c>
      <c r="I331" s="355">
        <v>9.16</v>
      </c>
      <c r="J331" s="355"/>
      <c r="K331" s="355"/>
      <c r="L331" s="355"/>
      <c r="M331" s="354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1:27" ht="13">
      <c r="A332" s="54">
        <v>2023</v>
      </c>
      <c r="B332" s="353">
        <v>45138</v>
      </c>
      <c r="C332" s="354" t="s">
        <v>481</v>
      </c>
      <c r="D332" s="354" t="s">
        <v>491</v>
      </c>
      <c r="E332" s="354" t="s">
        <v>592</v>
      </c>
      <c r="F332" s="354" t="s">
        <v>576</v>
      </c>
      <c r="G332" s="355"/>
      <c r="H332" s="355">
        <v>40</v>
      </c>
      <c r="I332" s="355">
        <v>40</v>
      </c>
      <c r="J332" s="355"/>
      <c r="K332" s="355"/>
      <c r="L332" s="355"/>
      <c r="M332" s="354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1:27" ht="13">
      <c r="A333" s="54">
        <v>2023</v>
      </c>
      <c r="B333" s="353">
        <v>45138</v>
      </c>
      <c r="C333" s="354" t="s">
        <v>481</v>
      </c>
      <c r="D333" s="354" t="s">
        <v>491</v>
      </c>
      <c r="E333" s="354" t="s">
        <v>602</v>
      </c>
      <c r="F333" s="354" t="s">
        <v>576</v>
      </c>
      <c r="G333" s="355"/>
      <c r="H333" s="355">
        <v>21.3</v>
      </c>
      <c r="I333" s="355">
        <v>21.3</v>
      </c>
      <c r="J333" s="355"/>
      <c r="K333" s="355"/>
      <c r="L333" s="355"/>
      <c r="M333" s="354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1:27" ht="13">
      <c r="A334" s="54">
        <v>2023</v>
      </c>
      <c r="B334" s="353">
        <v>45138</v>
      </c>
      <c r="C334" s="354" t="s">
        <v>481</v>
      </c>
      <c r="D334" s="354" t="s">
        <v>491</v>
      </c>
      <c r="E334" s="354" t="s">
        <v>532</v>
      </c>
      <c r="F334" s="354" t="s">
        <v>576</v>
      </c>
      <c r="G334" s="355"/>
      <c r="H334" s="355">
        <v>15</v>
      </c>
      <c r="I334" s="355">
        <v>15</v>
      </c>
      <c r="J334" s="355"/>
      <c r="K334" s="355"/>
      <c r="L334" s="355"/>
      <c r="M334" s="354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1:27" ht="13">
      <c r="A335" s="54">
        <v>2023</v>
      </c>
      <c r="B335" s="353">
        <v>45138</v>
      </c>
      <c r="C335" s="354" t="s">
        <v>481</v>
      </c>
      <c r="D335" s="354" t="s">
        <v>493</v>
      </c>
      <c r="E335" s="354" t="s">
        <v>619</v>
      </c>
      <c r="F335" s="354" t="s">
        <v>634</v>
      </c>
      <c r="G335" s="355"/>
      <c r="H335" s="355"/>
      <c r="I335" s="355"/>
      <c r="J335" s="355">
        <v>399</v>
      </c>
      <c r="K335" s="355">
        <v>399</v>
      </c>
      <c r="L335" s="355"/>
      <c r="M335" s="354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1:27" ht="13">
      <c r="A336" s="54">
        <v>2023</v>
      </c>
      <c r="B336" s="472">
        <v>45139</v>
      </c>
      <c r="C336" s="473" t="s">
        <v>481</v>
      </c>
      <c r="D336" s="473" t="s">
        <v>493</v>
      </c>
      <c r="E336" s="473" t="s">
        <v>63</v>
      </c>
      <c r="F336" s="473" t="s">
        <v>514</v>
      </c>
      <c r="G336" s="476"/>
      <c r="H336" s="476"/>
      <c r="I336" s="476"/>
      <c r="J336" s="476">
        <v>72.22</v>
      </c>
      <c r="K336" s="476">
        <v>72.22</v>
      </c>
      <c r="L336" s="476"/>
      <c r="M336" s="476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1:27" ht="13">
      <c r="A337" s="54">
        <v>2023</v>
      </c>
      <c r="B337" s="472">
        <v>45148</v>
      </c>
      <c r="C337" s="473" t="s">
        <v>481</v>
      </c>
      <c r="D337" s="473" t="s">
        <v>493</v>
      </c>
      <c r="E337" s="473" t="s">
        <v>479</v>
      </c>
      <c r="F337" s="473" t="s">
        <v>480</v>
      </c>
      <c r="G337" s="476"/>
      <c r="H337" s="476">
        <v>25</v>
      </c>
      <c r="I337" s="476">
        <v>25</v>
      </c>
      <c r="J337" s="476"/>
      <c r="K337" s="476"/>
      <c r="L337" s="476"/>
      <c r="M337" s="476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1:27" ht="13">
      <c r="A338" s="54">
        <v>2023</v>
      </c>
      <c r="B338" s="472">
        <v>45152</v>
      </c>
      <c r="C338" s="473" t="s">
        <v>481</v>
      </c>
      <c r="D338" s="473" t="s">
        <v>493</v>
      </c>
      <c r="E338" s="473" t="s">
        <v>63</v>
      </c>
      <c r="F338" s="473" t="s">
        <v>480</v>
      </c>
      <c r="G338" s="476"/>
      <c r="H338" s="476">
        <v>1.9</v>
      </c>
      <c r="I338" s="476">
        <v>1.9</v>
      </c>
      <c r="J338" s="476"/>
      <c r="K338" s="476"/>
      <c r="L338" s="476"/>
      <c r="M338" s="476"/>
      <c r="N338" s="45"/>
      <c r="O338" s="469" t="s">
        <v>457</v>
      </c>
      <c r="P338" s="470"/>
      <c r="Q338" s="45"/>
      <c r="R338" s="45"/>
      <c r="S338" s="84" t="s">
        <v>583</v>
      </c>
      <c r="T338" s="93"/>
      <c r="U338" s="45"/>
      <c r="V338" s="45"/>
      <c r="W338" s="45"/>
      <c r="X338" s="45"/>
      <c r="Y338" s="45"/>
      <c r="Z338" s="45"/>
      <c r="AA338" s="45"/>
    </row>
    <row r="339" spans="1:27" ht="13">
      <c r="A339" s="54">
        <v>2023</v>
      </c>
      <c r="B339" s="472">
        <v>45153</v>
      </c>
      <c r="C339" s="473" t="s">
        <v>481</v>
      </c>
      <c r="D339" s="473" t="s">
        <v>493</v>
      </c>
      <c r="E339" s="473" t="s">
        <v>479</v>
      </c>
      <c r="F339" s="473" t="s">
        <v>539</v>
      </c>
      <c r="G339" s="476"/>
      <c r="H339" s="476"/>
      <c r="I339" s="476"/>
      <c r="J339" s="476">
        <v>797.75</v>
      </c>
      <c r="K339" s="476">
        <v>797.75</v>
      </c>
      <c r="L339" s="476"/>
      <c r="M339" s="476"/>
      <c r="N339" s="45"/>
      <c r="O339" s="470">
        <f>SUM(Facturacion!I69:I70)</f>
        <v>33574.662000000004</v>
      </c>
      <c r="P339" s="470"/>
      <c r="Q339" s="45"/>
      <c r="R339" s="45"/>
      <c r="S339" s="89" t="s">
        <v>411</v>
      </c>
      <c r="T339" s="420">
        <f>SUM(K336:K378)</f>
        <v>84050.72</v>
      </c>
      <c r="U339" s="45"/>
      <c r="V339" s="45"/>
      <c r="W339" s="45"/>
      <c r="X339" s="45"/>
      <c r="Y339" s="45"/>
      <c r="Z339" s="45"/>
      <c r="AA339" s="45"/>
    </row>
    <row r="340" spans="1:27" ht="13">
      <c r="A340" s="54">
        <v>2023</v>
      </c>
      <c r="B340" s="472">
        <v>45153</v>
      </c>
      <c r="C340" s="473" t="s">
        <v>481</v>
      </c>
      <c r="D340" s="473" t="s">
        <v>493</v>
      </c>
      <c r="E340" s="473" t="s">
        <v>479</v>
      </c>
      <c r="F340" s="473" t="s">
        <v>514</v>
      </c>
      <c r="G340" s="476"/>
      <c r="H340" s="476"/>
      <c r="I340" s="476"/>
      <c r="J340" s="476">
        <v>1264</v>
      </c>
      <c r="K340" s="476">
        <v>1264</v>
      </c>
      <c r="L340" s="476"/>
      <c r="M340" s="476"/>
      <c r="N340" s="45"/>
      <c r="O340" s="469" t="s">
        <v>461</v>
      </c>
      <c r="P340" s="469" t="s">
        <v>462</v>
      </c>
      <c r="Q340" s="45"/>
      <c r="R340" s="45"/>
      <c r="S340" s="421" t="s">
        <v>584</v>
      </c>
      <c r="T340" s="91">
        <f>SUM(I336:I378)</f>
        <v>21093.87</v>
      </c>
      <c r="U340" s="45"/>
      <c r="V340" s="45"/>
      <c r="W340" s="45"/>
      <c r="X340" s="45"/>
      <c r="Y340" s="45"/>
      <c r="Z340" s="45"/>
      <c r="AA340" s="45"/>
    </row>
    <row r="341" spans="1:27" ht="13">
      <c r="A341" s="54">
        <v>2023</v>
      </c>
      <c r="B341" s="472">
        <v>45154</v>
      </c>
      <c r="C341" s="473" t="s">
        <v>481</v>
      </c>
      <c r="D341" s="473" t="s">
        <v>493</v>
      </c>
      <c r="E341" s="473" t="s">
        <v>616</v>
      </c>
      <c r="F341" s="473" t="s">
        <v>617</v>
      </c>
      <c r="G341" s="476"/>
      <c r="H341" s="476"/>
      <c r="I341" s="476"/>
      <c r="J341" s="476">
        <v>5978</v>
      </c>
      <c r="K341" s="476">
        <f t="shared" ref="K341:K342" si="7">J341-L341</f>
        <v>4900</v>
      </c>
      <c r="L341" s="476">
        <v>1078</v>
      </c>
      <c r="M341" s="476"/>
      <c r="N341" s="45"/>
      <c r="O341" s="470">
        <f>SUM(L336:L377)-P307</f>
        <v>260243.69112000003</v>
      </c>
      <c r="P341" s="470">
        <f>O339-O341</f>
        <v>-226669.02912000002</v>
      </c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1:27" ht="13">
      <c r="A342" s="54">
        <v>2023</v>
      </c>
      <c r="B342" s="472">
        <v>45157</v>
      </c>
      <c r="C342" s="473" t="s">
        <v>481</v>
      </c>
      <c r="D342" s="473" t="s">
        <v>494</v>
      </c>
      <c r="E342" s="473" t="s">
        <v>521</v>
      </c>
      <c r="F342" s="473" t="s">
        <v>544</v>
      </c>
      <c r="G342" s="476"/>
      <c r="H342" s="476"/>
      <c r="I342" s="476"/>
      <c r="J342" s="476">
        <v>1807</v>
      </c>
      <c r="K342" s="476">
        <f t="shared" si="7"/>
        <v>1481.07</v>
      </c>
      <c r="L342" s="476">
        <v>325.93</v>
      </c>
      <c r="M342" s="476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1:27" ht="13">
      <c r="A343" s="54">
        <v>2023</v>
      </c>
      <c r="B343" s="472">
        <v>45161</v>
      </c>
      <c r="C343" s="473" t="s">
        <v>481</v>
      </c>
      <c r="D343" s="473" t="s">
        <v>493</v>
      </c>
      <c r="E343" s="473" t="s">
        <v>616</v>
      </c>
      <c r="F343" s="473" t="s">
        <v>302</v>
      </c>
      <c r="G343" s="476"/>
      <c r="H343" s="476"/>
      <c r="I343" s="476"/>
      <c r="J343" s="476">
        <v>-122</v>
      </c>
      <c r="K343" s="476">
        <v>-100</v>
      </c>
      <c r="L343" s="476">
        <v>-22</v>
      </c>
      <c r="M343" s="476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1:27" ht="13">
      <c r="A344" s="54">
        <v>2023</v>
      </c>
      <c r="B344" s="472">
        <v>45166</v>
      </c>
      <c r="C344" s="473" t="s">
        <v>481</v>
      </c>
      <c r="D344" s="473" t="s">
        <v>475</v>
      </c>
      <c r="E344" s="473" t="s">
        <v>635</v>
      </c>
      <c r="F344" s="473" t="s">
        <v>636</v>
      </c>
      <c r="G344" s="476"/>
      <c r="H344" s="476">
        <v>1385.49</v>
      </c>
      <c r="I344" s="476">
        <f>1135.65</f>
        <v>1135.6500000000001</v>
      </c>
      <c r="J344" s="476"/>
      <c r="K344" s="474"/>
      <c r="L344" s="476">
        <f>249.84*M344</f>
        <v>9415.4702400000006</v>
      </c>
      <c r="M344" s="476">
        <v>37.686</v>
      </c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1:27" ht="13">
      <c r="A345" s="54">
        <v>2023</v>
      </c>
      <c r="B345" s="472">
        <v>45169</v>
      </c>
      <c r="C345" s="473" t="s">
        <v>481</v>
      </c>
      <c r="D345" s="473" t="s">
        <v>494</v>
      </c>
      <c r="E345" s="473" t="s">
        <v>502</v>
      </c>
      <c r="F345" s="473" t="s">
        <v>543</v>
      </c>
      <c r="G345" s="476"/>
      <c r="H345" s="476"/>
      <c r="I345" s="476"/>
      <c r="J345" s="476">
        <v>24636</v>
      </c>
      <c r="K345" s="476">
        <v>24636</v>
      </c>
      <c r="L345" s="476"/>
      <c r="M345" s="476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1:27" ht="13">
      <c r="A346" s="54">
        <v>2023</v>
      </c>
      <c r="B346" s="472">
        <v>45169</v>
      </c>
      <c r="C346" s="473" t="s">
        <v>481</v>
      </c>
      <c r="D346" s="473" t="s">
        <v>494</v>
      </c>
      <c r="E346" s="473" t="s">
        <v>502</v>
      </c>
      <c r="F346" s="473" t="s">
        <v>522</v>
      </c>
      <c r="G346" s="476"/>
      <c r="H346" s="476"/>
      <c r="I346" s="476"/>
      <c r="J346" s="476">
        <v>137460</v>
      </c>
      <c r="K346" s="476">
        <v>137460</v>
      </c>
      <c r="L346" s="476"/>
      <c r="M346" s="476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1:27" ht="13">
      <c r="A347" s="54">
        <v>2023</v>
      </c>
      <c r="B347" s="472">
        <v>45169</v>
      </c>
      <c r="C347" s="473" t="s">
        <v>481</v>
      </c>
      <c r="D347" s="473" t="s">
        <v>494</v>
      </c>
      <c r="E347" s="474" t="s">
        <v>512</v>
      </c>
      <c r="F347" s="475" t="s">
        <v>528</v>
      </c>
      <c r="G347" s="476"/>
      <c r="H347" s="476"/>
      <c r="I347" s="476"/>
      <c r="J347" s="476">
        <v>-226243</v>
      </c>
      <c r="K347" s="476">
        <v>-226243</v>
      </c>
      <c r="L347" s="476"/>
      <c r="M347" s="476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1:27" ht="13">
      <c r="A348" s="54">
        <v>2023</v>
      </c>
      <c r="B348" s="472">
        <v>45169</v>
      </c>
      <c r="C348" s="473" t="s">
        <v>481</v>
      </c>
      <c r="D348" s="473" t="s">
        <v>494</v>
      </c>
      <c r="E348" s="474" t="s">
        <v>512</v>
      </c>
      <c r="F348" s="475" t="s">
        <v>582</v>
      </c>
      <c r="G348" s="476"/>
      <c r="H348" s="476"/>
      <c r="I348" s="476"/>
      <c r="J348" s="476">
        <v>21972</v>
      </c>
      <c r="K348" s="476">
        <v>21972</v>
      </c>
      <c r="L348" s="476"/>
      <c r="M348" s="476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1:27" ht="13">
      <c r="A349" s="54">
        <v>2023</v>
      </c>
      <c r="B349" s="472">
        <v>45169</v>
      </c>
      <c r="C349" s="473" t="s">
        <v>481</v>
      </c>
      <c r="D349" s="473" t="s">
        <v>494</v>
      </c>
      <c r="E349" s="474" t="s">
        <v>512</v>
      </c>
      <c r="F349" s="475" t="s">
        <v>574</v>
      </c>
      <c r="G349" s="476"/>
      <c r="H349" s="476"/>
      <c r="I349" s="476"/>
      <c r="J349" s="476">
        <v>1389</v>
      </c>
      <c r="K349" s="476">
        <v>1389</v>
      </c>
      <c r="L349" s="476"/>
      <c r="M349" s="476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1:27" ht="13">
      <c r="A350" s="54">
        <v>2023</v>
      </c>
      <c r="B350" s="472">
        <v>45169</v>
      </c>
      <c r="C350" s="473" t="s">
        <v>481</v>
      </c>
      <c r="D350" s="473" t="s">
        <v>489</v>
      </c>
      <c r="E350" s="474" t="s">
        <v>463</v>
      </c>
      <c r="F350" s="475" t="s">
        <v>464</v>
      </c>
      <c r="G350" s="476"/>
      <c r="H350" s="476"/>
      <c r="I350" s="476"/>
      <c r="J350" s="476">
        <v>6600</v>
      </c>
      <c r="K350" s="476">
        <f>J350-L350</f>
        <v>5409.84</v>
      </c>
      <c r="L350" s="476">
        <v>1190.1600000000001</v>
      </c>
      <c r="M350" s="476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1:27" ht="13">
      <c r="A351" s="54">
        <v>2023</v>
      </c>
      <c r="B351" s="472">
        <v>45169</v>
      </c>
      <c r="C351" s="475" t="s">
        <v>481</v>
      </c>
      <c r="D351" s="473" t="s">
        <v>484</v>
      </c>
      <c r="E351" s="473" t="s">
        <v>632</v>
      </c>
      <c r="F351" s="473" t="s">
        <v>488</v>
      </c>
      <c r="G351" s="473"/>
      <c r="H351" s="476"/>
      <c r="I351" s="476"/>
      <c r="J351" s="476">
        <v>105000</v>
      </c>
      <c r="K351" s="476">
        <v>105000</v>
      </c>
      <c r="L351" s="476"/>
      <c r="M351" s="476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1:27" ht="13">
      <c r="A352" s="54">
        <v>2023</v>
      </c>
      <c r="B352" s="472">
        <v>45169</v>
      </c>
      <c r="C352" s="473" t="s">
        <v>474</v>
      </c>
      <c r="D352" s="473" t="s">
        <v>482</v>
      </c>
      <c r="E352" s="473" t="s">
        <v>483</v>
      </c>
      <c r="F352" s="473" t="s">
        <v>459</v>
      </c>
      <c r="G352" s="476"/>
      <c r="H352" s="476">
        <v>1200</v>
      </c>
      <c r="I352" s="476">
        <v>1200</v>
      </c>
      <c r="J352" s="476"/>
      <c r="K352" s="476"/>
      <c r="L352" s="476"/>
      <c r="M352" s="476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1:27" ht="13">
      <c r="A353" s="54">
        <v>2023</v>
      </c>
      <c r="B353" s="472">
        <v>45169</v>
      </c>
      <c r="C353" s="473" t="s">
        <v>474</v>
      </c>
      <c r="D353" s="473" t="s">
        <v>482</v>
      </c>
      <c r="E353" s="473" t="s">
        <v>535</v>
      </c>
      <c r="F353" s="473" t="s">
        <v>459</v>
      </c>
      <c r="G353" s="476"/>
      <c r="H353" s="476">
        <v>1200</v>
      </c>
      <c r="I353" s="476">
        <v>1200</v>
      </c>
      <c r="J353" s="476"/>
      <c r="K353" s="476"/>
      <c r="L353" s="476"/>
      <c r="M353" s="476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1:27" ht="13">
      <c r="A354" s="54">
        <v>2023</v>
      </c>
      <c r="B354" s="472">
        <v>45169</v>
      </c>
      <c r="C354" s="473" t="s">
        <v>474</v>
      </c>
      <c r="D354" s="473" t="s">
        <v>482</v>
      </c>
      <c r="E354" s="473" t="s">
        <v>541</v>
      </c>
      <c r="F354" s="473" t="s">
        <v>459</v>
      </c>
      <c r="G354" s="476"/>
      <c r="H354" s="476">
        <v>1200</v>
      </c>
      <c r="I354" s="476">
        <v>1200</v>
      </c>
      <c r="J354" s="476"/>
      <c r="K354" s="476"/>
      <c r="L354" s="476"/>
      <c r="M354" s="476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1:27" ht="13">
      <c r="A355" s="54">
        <v>2023</v>
      </c>
      <c r="B355" s="472">
        <v>45169</v>
      </c>
      <c r="C355" s="473" t="s">
        <v>474</v>
      </c>
      <c r="D355" s="473" t="s">
        <v>482</v>
      </c>
      <c r="E355" s="473" t="s">
        <v>537</v>
      </c>
      <c r="F355" s="473" t="s">
        <v>459</v>
      </c>
      <c r="G355" s="476"/>
      <c r="H355" s="476">
        <v>900</v>
      </c>
      <c r="I355" s="476">
        <v>900</v>
      </c>
      <c r="J355" s="476"/>
      <c r="K355" s="476"/>
      <c r="L355" s="476"/>
      <c r="M355" s="476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1:27" ht="13">
      <c r="A356" s="54">
        <v>2023</v>
      </c>
      <c r="B356" s="472">
        <v>45169</v>
      </c>
      <c r="C356" s="473" t="s">
        <v>474</v>
      </c>
      <c r="D356" s="473" t="s">
        <v>554</v>
      </c>
      <c r="E356" s="473" t="s">
        <v>540</v>
      </c>
      <c r="F356" s="473" t="s">
        <v>459</v>
      </c>
      <c r="G356" s="476"/>
      <c r="H356" s="476">
        <v>899</v>
      </c>
      <c r="I356" s="476">
        <v>899</v>
      </c>
      <c r="J356" s="476"/>
      <c r="K356" s="476"/>
      <c r="L356" s="476"/>
      <c r="M356" s="476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1:27" ht="13">
      <c r="A357" s="54">
        <v>2023</v>
      </c>
      <c r="B357" s="472">
        <v>45169</v>
      </c>
      <c r="C357" s="473" t="s">
        <v>474</v>
      </c>
      <c r="D357" s="473" t="s">
        <v>478</v>
      </c>
      <c r="E357" s="473" t="s">
        <v>479</v>
      </c>
      <c r="F357" s="473" t="s">
        <v>547</v>
      </c>
      <c r="G357" s="476"/>
      <c r="H357" s="476">
        <f>(20*5)</f>
        <v>100</v>
      </c>
      <c r="I357" s="476">
        <f>(20*5)+(40*5)</f>
        <v>300</v>
      </c>
      <c r="J357" s="476"/>
      <c r="K357" s="476"/>
      <c r="L357" s="476"/>
      <c r="M357" s="476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1:27" ht="13">
      <c r="A358" s="54">
        <v>2023</v>
      </c>
      <c r="B358" s="472">
        <v>45169</v>
      </c>
      <c r="C358" s="473" t="s">
        <v>481</v>
      </c>
      <c r="D358" s="473" t="s">
        <v>554</v>
      </c>
      <c r="E358" s="473" t="s">
        <v>133</v>
      </c>
      <c r="F358" s="473" t="s">
        <v>459</v>
      </c>
      <c r="G358" s="476"/>
      <c r="H358" s="476">
        <v>6031.68</v>
      </c>
      <c r="I358" s="476">
        <v>4944</v>
      </c>
      <c r="J358" s="476"/>
      <c r="K358" s="476"/>
      <c r="L358" s="476">
        <f>1087.68*M358</f>
        <v>40985.957760000005</v>
      </c>
      <c r="M358" s="476">
        <v>37.682000000000002</v>
      </c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1:27" ht="13">
      <c r="A359" s="54">
        <v>2023</v>
      </c>
      <c r="B359" s="472">
        <v>45169</v>
      </c>
      <c r="C359" s="473" t="s">
        <v>481</v>
      </c>
      <c r="D359" s="473" t="s">
        <v>554</v>
      </c>
      <c r="E359" s="473" t="s">
        <v>458</v>
      </c>
      <c r="F359" s="473" t="s">
        <v>459</v>
      </c>
      <c r="G359" s="476"/>
      <c r="H359" s="476">
        <v>4636</v>
      </c>
      <c r="I359" s="476">
        <v>3800</v>
      </c>
      <c r="J359" s="476"/>
      <c r="K359" s="476"/>
      <c r="L359" s="476">
        <f>836*M359</f>
        <v>31502.152000000002</v>
      </c>
      <c r="M359" s="476">
        <v>37.682000000000002</v>
      </c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1:27" ht="13">
      <c r="A360" s="54">
        <v>2023</v>
      </c>
      <c r="B360" s="472">
        <v>45169</v>
      </c>
      <c r="C360" s="473" t="s">
        <v>481</v>
      </c>
      <c r="D360" s="473" t="s">
        <v>554</v>
      </c>
      <c r="E360" s="473" t="s">
        <v>460</v>
      </c>
      <c r="F360" s="473" t="s">
        <v>459</v>
      </c>
      <c r="G360" s="476"/>
      <c r="H360" s="476">
        <v>3660</v>
      </c>
      <c r="I360" s="476">
        <v>3000</v>
      </c>
      <c r="J360" s="476"/>
      <c r="K360" s="476"/>
      <c r="L360" s="476">
        <f>660*M360</f>
        <v>24870.120000000003</v>
      </c>
      <c r="M360" s="476">
        <v>37.682000000000002</v>
      </c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1:27" ht="13">
      <c r="A361" s="54">
        <v>2023</v>
      </c>
      <c r="B361" s="472">
        <v>45169</v>
      </c>
      <c r="C361" s="473" t="s">
        <v>481</v>
      </c>
      <c r="D361" s="473" t="s">
        <v>489</v>
      </c>
      <c r="E361" s="473" t="s">
        <v>637</v>
      </c>
      <c r="F361" s="473" t="s">
        <v>464</v>
      </c>
      <c r="G361" s="476"/>
      <c r="H361" s="476">
        <v>2499.7800000000002</v>
      </c>
      <c r="I361" s="476">
        <v>2049</v>
      </c>
      <c r="J361" s="476"/>
      <c r="K361" s="476"/>
      <c r="L361" s="476">
        <f>450.78*M361</f>
        <v>16986.291959999999</v>
      </c>
      <c r="M361" s="476">
        <v>37.682000000000002</v>
      </c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1:27" ht="13">
      <c r="A362" s="54">
        <v>2023</v>
      </c>
      <c r="B362" s="472">
        <v>45169</v>
      </c>
      <c r="C362" s="473" t="s">
        <v>481</v>
      </c>
      <c r="D362" s="473" t="s">
        <v>489</v>
      </c>
      <c r="E362" s="473" t="s">
        <v>637</v>
      </c>
      <c r="F362" s="473" t="s">
        <v>464</v>
      </c>
      <c r="G362" s="476"/>
      <c r="H362" s="476">
        <v>3050</v>
      </c>
      <c r="I362" s="476">
        <v>2500</v>
      </c>
      <c r="J362" s="476"/>
      <c r="K362" s="476"/>
      <c r="L362" s="476">
        <f>550*M362</f>
        <v>20725.100000000002</v>
      </c>
      <c r="M362" s="476">
        <v>37.682000000000002</v>
      </c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1:27" ht="13">
      <c r="A363" s="54">
        <v>2023</v>
      </c>
      <c r="B363" s="472">
        <v>45169</v>
      </c>
      <c r="C363" s="473" t="s">
        <v>481</v>
      </c>
      <c r="D363" s="473" t="s">
        <v>489</v>
      </c>
      <c r="E363" s="473" t="s">
        <v>637</v>
      </c>
      <c r="F363" s="473" t="s">
        <v>464</v>
      </c>
      <c r="G363" s="476"/>
      <c r="H363" s="476">
        <v>-3050</v>
      </c>
      <c r="I363" s="476">
        <v>-2500</v>
      </c>
      <c r="J363" s="476"/>
      <c r="K363" s="476"/>
      <c r="L363" s="476">
        <f>-550*M363</f>
        <v>-20725.100000000002</v>
      </c>
      <c r="M363" s="476">
        <v>37.682000000000002</v>
      </c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1:27" ht="13">
      <c r="A364" s="54">
        <v>2023</v>
      </c>
      <c r="B364" s="472">
        <v>45169</v>
      </c>
      <c r="C364" s="473" t="s">
        <v>481</v>
      </c>
      <c r="D364" s="473" t="s">
        <v>491</v>
      </c>
      <c r="E364" s="473" t="s">
        <v>638</v>
      </c>
      <c r="F364" s="473" t="s">
        <v>576</v>
      </c>
      <c r="G364" s="476"/>
      <c r="H364" s="476">
        <v>16.34</v>
      </c>
      <c r="I364" s="476">
        <v>16.34</v>
      </c>
      <c r="J364" s="476"/>
      <c r="K364" s="476"/>
      <c r="L364" s="476"/>
      <c r="M364" s="476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1:27" ht="13">
      <c r="A365" s="54">
        <v>2023</v>
      </c>
      <c r="B365" s="472">
        <v>45169</v>
      </c>
      <c r="C365" s="473" t="s">
        <v>481</v>
      </c>
      <c r="D365" s="473" t="s">
        <v>491</v>
      </c>
      <c r="E365" s="473" t="s">
        <v>548</v>
      </c>
      <c r="F365" s="473" t="s">
        <v>549</v>
      </c>
      <c r="G365" s="476"/>
      <c r="H365" s="476">
        <f t="shared" ref="H365:I365" si="8">-30.98+71+4.02-71+-2.72+2.72+2.72+2.72</f>
        <v>-21.52000000000001</v>
      </c>
      <c r="I365" s="476">
        <f t="shared" si="8"/>
        <v>-21.52000000000001</v>
      </c>
      <c r="J365" s="476"/>
      <c r="K365" s="476"/>
      <c r="L365" s="476"/>
      <c r="M365" s="476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1:27" ht="13">
      <c r="A366" s="54">
        <v>2023</v>
      </c>
      <c r="B366" s="472">
        <v>45169</v>
      </c>
      <c r="C366" s="473" t="s">
        <v>481</v>
      </c>
      <c r="D366" s="473" t="s">
        <v>491</v>
      </c>
      <c r="E366" s="473" t="s">
        <v>601</v>
      </c>
      <c r="F366" s="473" t="s">
        <v>576</v>
      </c>
      <c r="G366" s="476"/>
      <c r="H366" s="476">
        <v>35.19</v>
      </c>
      <c r="I366" s="476">
        <v>35.19</v>
      </c>
      <c r="J366" s="476"/>
      <c r="K366" s="476"/>
      <c r="L366" s="476"/>
      <c r="M366" s="476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1:27" ht="13">
      <c r="A367" s="54">
        <v>2023</v>
      </c>
      <c r="B367" s="472">
        <v>45169</v>
      </c>
      <c r="C367" s="473" t="s">
        <v>481</v>
      </c>
      <c r="D367" s="473" t="s">
        <v>491</v>
      </c>
      <c r="E367" s="473" t="s">
        <v>498</v>
      </c>
      <c r="F367" s="473" t="s">
        <v>576</v>
      </c>
      <c r="G367" s="476"/>
      <c r="H367" s="476">
        <v>9.1999999999999993</v>
      </c>
      <c r="I367" s="476">
        <v>9.1999999999999993</v>
      </c>
      <c r="J367" s="476"/>
      <c r="K367" s="476"/>
      <c r="L367" s="476"/>
      <c r="M367" s="476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1:27" ht="13">
      <c r="A368" s="54">
        <v>2023</v>
      </c>
      <c r="B368" s="472">
        <v>45169</v>
      </c>
      <c r="C368" s="473" t="s">
        <v>481</v>
      </c>
      <c r="D368" s="473" t="s">
        <v>491</v>
      </c>
      <c r="E368" s="473" t="s">
        <v>592</v>
      </c>
      <c r="F368" s="473" t="s">
        <v>576</v>
      </c>
      <c r="G368" s="476"/>
      <c r="H368" s="476">
        <v>40</v>
      </c>
      <c r="I368" s="476">
        <v>40</v>
      </c>
      <c r="J368" s="476"/>
      <c r="K368" s="476"/>
      <c r="L368" s="476"/>
      <c r="M368" s="476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1:27" ht="13">
      <c r="A369" s="54">
        <v>2023</v>
      </c>
      <c r="B369" s="472">
        <v>45169</v>
      </c>
      <c r="C369" s="473" t="s">
        <v>481</v>
      </c>
      <c r="D369" s="473" t="s">
        <v>491</v>
      </c>
      <c r="E369" s="473" t="s">
        <v>602</v>
      </c>
      <c r="F369" s="473" t="s">
        <v>576</v>
      </c>
      <c r="G369" s="476"/>
      <c r="H369" s="476">
        <v>28.8</v>
      </c>
      <c r="I369" s="476">
        <v>28.8</v>
      </c>
      <c r="J369" s="476"/>
      <c r="K369" s="476"/>
      <c r="L369" s="476"/>
      <c r="M369" s="476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1:27" ht="13">
      <c r="A370" s="54">
        <v>2023</v>
      </c>
      <c r="B370" s="472">
        <v>45169</v>
      </c>
      <c r="C370" s="473" t="s">
        <v>481</v>
      </c>
      <c r="D370" s="473" t="s">
        <v>491</v>
      </c>
      <c r="E370" s="473" t="s">
        <v>532</v>
      </c>
      <c r="F370" s="473" t="s">
        <v>576</v>
      </c>
      <c r="G370" s="476"/>
      <c r="H370" s="476">
        <v>15</v>
      </c>
      <c r="I370" s="476">
        <v>15</v>
      </c>
      <c r="J370" s="476"/>
      <c r="K370" s="476"/>
      <c r="L370" s="476"/>
      <c r="M370" s="476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1:27" ht="13">
      <c r="A371" s="54">
        <v>2023</v>
      </c>
      <c r="B371" s="472">
        <v>45169</v>
      </c>
      <c r="C371" s="473" t="s">
        <v>481</v>
      </c>
      <c r="D371" s="473" t="s">
        <v>491</v>
      </c>
      <c r="E371" s="474" t="s">
        <v>591</v>
      </c>
      <c r="F371" s="475" t="s">
        <v>576</v>
      </c>
      <c r="G371" s="476"/>
      <c r="H371" s="476">
        <v>20</v>
      </c>
      <c r="I371" s="476">
        <v>20</v>
      </c>
      <c r="J371" s="476"/>
      <c r="K371" s="476"/>
      <c r="L371" s="476"/>
      <c r="M371" s="476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1:27" ht="13">
      <c r="A372" s="54">
        <v>2023</v>
      </c>
      <c r="B372" s="472">
        <v>45169</v>
      </c>
      <c r="C372" s="473" t="s">
        <v>481</v>
      </c>
      <c r="D372" s="473" t="s">
        <v>491</v>
      </c>
      <c r="E372" s="474" t="s">
        <v>639</v>
      </c>
      <c r="F372" s="475" t="s">
        <v>576</v>
      </c>
      <c r="G372" s="476"/>
      <c r="H372" s="476">
        <v>15</v>
      </c>
      <c r="I372" s="476">
        <v>15</v>
      </c>
      <c r="J372" s="476"/>
      <c r="K372" s="476"/>
      <c r="L372" s="476"/>
      <c r="M372" s="476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1:27" ht="13">
      <c r="A373" s="54">
        <v>2023</v>
      </c>
      <c r="B373" s="472">
        <v>45169</v>
      </c>
      <c r="C373" s="473" t="s">
        <v>481</v>
      </c>
      <c r="D373" s="473" t="s">
        <v>491</v>
      </c>
      <c r="E373" s="474" t="s">
        <v>640</v>
      </c>
      <c r="F373" s="475" t="s">
        <v>576</v>
      </c>
      <c r="G373" s="476"/>
      <c r="H373" s="476">
        <v>6.49</v>
      </c>
      <c r="I373" s="476">
        <v>6.49</v>
      </c>
      <c r="J373" s="476"/>
      <c r="K373" s="476"/>
      <c r="L373" s="476"/>
      <c r="M373" s="476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1:27" ht="13">
      <c r="A374" s="54">
        <v>2023</v>
      </c>
      <c r="B374" s="472">
        <v>45169</v>
      </c>
      <c r="C374" s="473" t="s">
        <v>481</v>
      </c>
      <c r="D374" s="473" t="s">
        <v>491</v>
      </c>
      <c r="E374" s="474" t="s">
        <v>534</v>
      </c>
      <c r="F374" s="475" t="s">
        <v>576</v>
      </c>
      <c r="G374" s="476"/>
      <c r="H374" s="476">
        <f t="shared" ref="H374:I374" si="9">15.99*2</f>
        <v>31.98</v>
      </c>
      <c r="I374" s="476">
        <f t="shared" si="9"/>
        <v>31.98</v>
      </c>
      <c r="J374" s="476"/>
      <c r="K374" s="476"/>
      <c r="L374" s="476"/>
      <c r="M374" s="476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1:27" ht="13">
      <c r="A375" s="54">
        <v>2023</v>
      </c>
      <c r="B375" s="472">
        <v>45169</v>
      </c>
      <c r="C375" s="473" t="s">
        <v>481</v>
      </c>
      <c r="D375" s="473" t="s">
        <v>491</v>
      </c>
      <c r="E375" s="474" t="s">
        <v>633</v>
      </c>
      <c r="F375" s="475" t="s">
        <v>576</v>
      </c>
      <c r="G375" s="476"/>
      <c r="H375" s="476">
        <v>42.84</v>
      </c>
      <c r="I375" s="476">
        <v>42.84</v>
      </c>
      <c r="J375" s="476"/>
      <c r="K375" s="476"/>
      <c r="L375" s="476"/>
      <c r="M375" s="476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1:27" ht="13">
      <c r="A376" s="54">
        <v>2023</v>
      </c>
      <c r="B376" s="472">
        <v>45169</v>
      </c>
      <c r="C376" s="473" t="s">
        <v>481</v>
      </c>
      <c r="D376" s="473" t="s">
        <v>493</v>
      </c>
      <c r="E376" s="474" t="s">
        <v>641</v>
      </c>
      <c r="F376" s="475" t="s">
        <v>642</v>
      </c>
      <c r="G376" s="476"/>
      <c r="H376" s="476"/>
      <c r="I376" s="476"/>
      <c r="J376" s="476">
        <v>602</v>
      </c>
      <c r="K376" s="476">
        <v>602</v>
      </c>
      <c r="L376" s="476"/>
      <c r="M376" s="476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1:27" ht="13">
      <c r="A377" s="54">
        <v>2023</v>
      </c>
      <c r="B377" s="472">
        <v>45169</v>
      </c>
      <c r="C377" s="473" t="s">
        <v>481</v>
      </c>
      <c r="D377" s="473" t="s">
        <v>489</v>
      </c>
      <c r="E377" s="474" t="s">
        <v>463</v>
      </c>
      <c r="F377" s="475" t="s">
        <v>464</v>
      </c>
      <c r="G377" s="476"/>
      <c r="H377" s="476"/>
      <c r="I377" s="476"/>
      <c r="J377" s="476">
        <v>6600</v>
      </c>
      <c r="K377" s="476">
        <f>J377-L377</f>
        <v>5409.84</v>
      </c>
      <c r="L377" s="476">
        <v>1190.1600000000001</v>
      </c>
      <c r="M377" s="476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1:27" ht="13">
      <c r="A378" s="54">
        <v>2023</v>
      </c>
      <c r="B378" s="472">
        <v>45169</v>
      </c>
      <c r="C378" s="473" t="s">
        <v>474</v>
      </c>
      <c r="D378" s="473" t="s">
        <v>478</v>
      </c>
      <c r="E378" s="474" t="s">
        <v>479</v>
      </c>
      <c r="F378" s="475" t="s">
        <v>480</v>
      </c>
      <c r="G378" s="476"/>
      <c r="H378" s="476">
        <v>200</v>
      </c>
      <c r="I378" s="476">
        <v>200</v>
      </c>
      <c r="J378" s="476"/>
      <c r="K378" s="476"/>
      <c r="L378" s="476"/>
      <c r="M378" s="476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1:27" ht="13">
      <c r="A379" s="54">
        <v>2023</v>
      </c>
      <c r="B379" s="484">
        <v>45170</v>
      </c>
      <c r="C379" s="485" t="s">
        <v>481</v>
      </c>
      <c r="D379" s="485" t="s">
        <v>493</v>
      </c>
      <c r="E379" s="485" t="s">
        <v>63</v>
      </c>
      <c r="F379" s="485" t="s">
        <v>480</v>
      </c>
      <c r="G379" s="486"/>
      <c r="H379" s="486">
        <v>2.93</v>
      </c>
      <c r="I379" s="486">
        <v>2.93</v>
      </c>
      <c r="J379" s="486">
        <v>39.36</v>
      </c>
      <c r="K379" s="486">
        <v>39.36</v>
      </c>
      <c r="L379" s="486"/>
      <c r="M379" s="48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1:27" ht="13">
      <c r="A380" s="54">
        <v>2023</v>
      </c>
      <c r="B380" s="484">
        <v>45176</v>
      </c>
      <c r="C380" s="485" t="s">
        <v>481</v>
      </c>
      <c r="D380" s="485" t="s">
        <v>493</v>
      </c>
      <c r="E380" s="485" t="s">
        <v>479</v>
      </c>
      <c r="F380" s="485" t="s">
        <v>480</v>
      </c>
      <c r="G380" s="486"/>
      <c r="H380" s="486">
        <v>25</v>
      </c>
      <c r="I380" s="486"/>
      <c r="J380" s="486"/>
      <c r="K380" s="486"/>
      <c r="L380" s="486"/>
      <c r="M380" s="48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1:27" ht="13">
      <c r="A381" s="54">
        <v>2023</v>
      </c>
      <c r="B381" s="484">
        <v>45176</v>
      </c>
      <c r="C381" s="485" t="s">
        <v>481</v>
      </c>
      <c r="D381" s="485" t="s">
        <v>493</v>
      </c>
      <c r="E381" s="485" t="s">
        <v>479</v>
      </c>
      <c r="F381" s="485" t="s">
        <v>514</v>
      </c>
      <c r="G381" s="486"/>
      <c r="H381" s="486"/>
      <c r="I381" s="486"/>
      <c r="J381" s="486">
        <v>1264</v>
      </c>
      <c r="K381" s="486">
        <v>1264</v>
      </c>
      <c r="L381" s="486"/>
      <c r="M381" s="48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1:27" ht="13">
      <c r="A382" s="54">
        <v>2023</v>
      </c>
      <c r="B382" s="484">
        <v>45184</v>
      </c>
      <c r="C382" s="485" t="s">
        <v>481</v>
      </c>
      <c r="D382" s="485" t="s">
        <v>493</v>
      </c>
      <c r="E382" s="485" t="s">
        <v>63</v>
      </c>
      <c r="F382" s="485" t="s">
        <v>480</v>
      </c>
      <c r="G382" s="485"/>
      <c r="H382" s="486">
        <v>1.9</v>
      </c>
      <c r="I382" s="486">
        <v>1.9</v>
      </c>
      <c r="J382" s="486">
        <v>73.55</v>
      </c>
      <c r="K382" s="486">
        <v>73.55</v>
      </c>
      <c r="L382" s="486"/>
      <c r="M382" s="48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1:27" ht="13">
      <c r="A383" s="54">
        <v>2023</v>
      </c>
      <c r="B383" s="484">
        <v>45187</v>
      </c>
      <c r="C383" s="485" t="s">
        <v>481</v>
      </c>
      <c r="D383" s="485" t="s">
        <v>493</v>
      </c>
      <c r="E383" s="485" t="s">
        <v>63</v>
      </c>
      <c r="F383" s="485" t="s">
        <v>480</v>
      </c>
      <c r="G383" s="485"/>
      <c r="H383" s="486">
        <v>1.9</v>
      </c>
      <c r="I383" s="486">
        <v>1.9</v>
      </c>
      <c r="J383" s="486"/>
      <c r="K383" s="486"/>
      <c r="L383" s="486"/>
      <c r="M383" s="48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1:27" ht="13">
      <c r="A384" s="54">
        <v>2023</v>
      </c>
      <c r="B384" s="484">
        <v>45187</v>
      </c>
      <c r="C384" s="485" t="s">
        <v>481</v>
      </c>
      <c r="D384" s="485" t="s">
        <v>489</v>
      </c>
      <c r="E384" s="487" t="s">
        <v>637</v>
      </c>
      <c r="F384" s="485" t="s">
        <v>464</v>
      </c>
      <c r="G384" s="485"/>
      <c r="H384" s="486">
        <v>2499.7800000000002</v>
      </c>
      <c r="I384" s="486">
        <v>2049</v>
      </c>
      <c r="J384" s="486"/>
      <c r="K384" s="486"/>
      <c r="L384" s="486">
        <f>450.78*M384</f>
        <v>17153.982120000001</v>
      </c>
      <c r="M384" s="485">
        <v>38.054000000000002</v>
      </c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1:27" ht="13">
      <c r="A385" s="54">
        <v>2023</v>
      </c>
      <c r="B385" s="484">
        <v>45187</v>
      </c>
      <c r="C385" s="485" t="s">
        <v>481</v>
      </c>
      <c r="D385" s="485" t="s">
        <v>494</v>
      </c>
      <c r="E385" s="485" t="s">
        <v>502</v>
      </c>
      <c r="F385" s="485" t="s">
        <v>522</v>
      </c>
      <c r="G385" s="485"/>
      <c r="H385" s="486"/>
      <c r="I385" s="486"/>
      <c r="J385" s="486">
        <v>163000</v>
      </c>
      <c r="K385" s="486">
        <v>163000</v>
      </c>
      <c r="L385" s="486"/>
      <c r="M385" s="48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1:27" ht="13">
      <c r="A386" s="54">
        <v>2023</v>
      </c>
      <c r="B386" s="484">
        <v>45187</v>
      </c>
      <c r="C386" s="485" t="s">
        <v>481</v>
      </c>
      <c r="D386" s="485" t="s">
        <v>494</v>
      </c>
      <c r="E386" s="485" t="s">
        <v>502</v>
      </c>
      <c r="F386" s="485" t="s">
        <v>543</v>
      </c>
      <c r="G386" s="485"/>
      <c r="H386" s="486"/>
      <c r="I386" s="486"/>
      <c r="J386" s="486">
        <v>28369</v>
      </c>
      <c r="K386" s="486">
        <v>28369</v>
      </c>
      <c r="L386" s="486"/>
      <c r="M386" s="48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1:27" ht="13">
      <c r="A387" s="54">
        <v>2023</v>
      </c>
      <c r="B387" s="484">
        <v>45188</v>
      </c>
      <c r="C387" s="485" t="s">
        <v>481</v>
      </c>
      <c r="D387" s="485" t="s">
        <v>494</v>
      </c>
      <c r="E387" s="485" t="s">
        <v>521</v>
      </c>
      <c r="F387" s="485" t="s">
        <v>544</v>
      </c>
      <c r="G387" s="485"/>
      <c r="H387" s="486"/>
      <c r="I387" s="486"/>
      <c r="J387" s="486">
        <v>1807</v>
      </c>
      <c r="K387" s="486">
        <v>1481.5</v>
      </c>
      <c r="L387" s="486">
        <v>325.93</v>
      </c>
      <c r="M387" s="48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1:27" ht="13">
      <c r="A388" s="54">
        <v>2023</v>
      </c>
      <c r="B388" s="484">
        <v>45188</v>
      </c>
      <c r="C388" s="485" t="s">
        <v>481</v>
      </c>
      <c r="D388" s="485" t="s">
        <v>494</v>
      </c>
      <c r="E388" s="488" t="s">
        <v>512</v>
      </c>
      <c r="F388" s="487" t="s">
        <v>528</v>
      </c>
      <c r="G388" s="485"/>
      <c r="H388" s="486"/>
      <c r="I388" s="486"/>
      <c r="J388" s="486">
        <v>-202831</v>
      </c>
      <c r="K388" s="486">
        <v>-202831</v>
      </c>
      <c r="L388" s="486"/>
      <c r="M388" s="48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1:27" ht="13">
      <c r="A389" s="54">
        <v>2023</v>
      </c>
      <c r="B389" s="484">
        <v>45188</v>
      </c>
      <c r="C389" s="485" t="s">
        <v>481</v>
      </c>
      <c r="D389" s="485" t="s">
        <v>494</v>
      </c>
      <c r="E389" s="488" t="s">
        <v>512</v>
      </c>
      <c r="F389" s="487" t="s">
        <v>582</v>
      </c>
      <c r="G389" s="485"/>
      <c r="H389" s="486"/>
      <c r="I389" s="486"/>
      <c r="J389" s="486">
        <v>22535</v>
      </c>
      <c r="K389" s="486">
        <v>22535</v>
      </c>
      <c r="L389" s="486"/>
      <c r="M389" s="48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1:27" ht="13">
      <c r="A390" s="54">
        <v>2023</v>
      </c>
      <c r="B390" s="484">
        <v>45188</v>
      </c>
      <c r="C390" s="485" t="s">
        <v>481</v>
      </c>
      <c r="D390" s="485" t="s">
        <v>494</v>
      </c>
      <c r="E390" s="488" t="s">
        <v>512</v>
      </c>
      <c r="F390" s="487" t="s">
        <v>574</v>
      </c>
      <c r="G390" s="485"/>
      <c r="H390" s="486"/>
      <c r="I390" s="486"/>
      <c r="J390" s="486">
        <v>1389</v>
      </c>
      <c r="K390" s="486">
        <v>1389</v>
      </c>
      <c r="L390" s="486"/>
      <c r="M390" s="48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1:27" ht="13">
      <c r="A391" s="54">
        <v>2023</v>
      </c>
      <c r="B391" s="484">
        <v>45199</v>
      </c>
      <c r="C391" s="485" t="s">
        <v>481</v>
      </c>
      <c r="D391" s="485" t="s">
        <v>493</v>
      </c>
      <c r="E391" s="485" t="s">
        <v>63</v>
      </c>
      <c r="F391" s="485" t="s">
        <v>539</v>
      </c>
      <c r="G391" s="485"/>
      <c r="H391" s="486"/>
      <c r="I391" s="486"/>
      <c r="J391" s="486">
        <v>780.76</v>
      </c>
      <c r="K391" s="486">
        <v>780.76</v>
      </c>
      <c r="L391" s="486"/>
      <c r="M391" s="48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1:27" ht="13">
      <c r="A392" s="54">
        <v>2023</v>
      </c>
      <c r="B392" s="484">
        <v>45199</v>
      </c>
      <c r="C392" s="485" t="s">
        <v>481</v>
      </c>
      <c r="D392" s="485" t="s">
        <v>493</v>
      </c>
      <c r="E392" s="485" t="s">
        <v>479</v>
      </c>
      <c r="F392" s="485" t="s">
        <v>643</v>
      </c>
      <c r="G392" s="485"/>
      <c r="H392" s="486">
        <v>33.840000000000003</v>
      </c>
      <c r="I392" s="486">
        <v>27.74</v>
      </c>
      <c r="J392" s="486"/>
      <c r="K392" s="486"/>
      <c r="L392" s="486">
        <f>6.1*M392</f>
        <v>235.19159999999997</v>
      </c>
      <c r="M392" s="485">
        <v>38.555999999999997</v>
      </c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1:27" ht="13">
      <c r="A393" s="54">
        <v>2023</v>
      </c>
      <c r="B393" s="484">
        <v>45199</v>
      </c>
      <c r="C393" s="485" t="s">
        <v>481</v>
      </c>
      <c r="D393" s="485" t="s">
        <v>493</v>
      </c>
      <c r="E393" s="485" t="s">
        <v>479</v>
      </c>
      <c r="F393" s="485" t="s">
        <v>643</v>
      </c>
      <c r="G393" s="485"/>
      <c r="H393" s="486"/>
      <c r="I393" s="486"/>
      <c r="J393" s="486">
        <v>162.96</v>
      </c>
      <c r="K393" s="486">
        <v>133.57</v>
      </c>
      <c r="L393" s="486">
        <v>29.39</v>
      </c>
      <c r="M393" s="485"/>
      <c r="N393" s="45"/>
      <c r="O393" s="469" t="s">
        <v>457</v>
      </c>
      <c r="P393" s="470"/>
      <c r="Q393" s="45"/>
      <c r="R393" s="45"/>
      <c r="S393" s="84" t="s">
        <v>583</v>
      </c>
      <c r="T393" s="93"/>
      <c r="U393" s="45"/>
      <c r="V393" s="45"/>
      <c r="W393" s="45"/>
      <c r="X393" s="45"/>
      <c r="Y393" s="45"/>
      <c r="Z393" s="45"/>
      <c r="AA393" s="45"/>
    </row>
    <row r="394" spans="1:27" ht="13">
      <c r="A394" s="54">
        <v>2023</v>
      </c>
      <c r="B394" s="484">
        <v>45199</v>
      </c>
      <c r="C394" s="485" t="s">
        <v>481</v>
      </c>
      <c r="D394" s="485" t="s">
        <v>484</v>
      </c>
      <c r="E394" s="485" t="s">
        <v>644</v>
      </c>
      <c r="F394" s="485" t="s">
        <v>488</v>
      </c>
      <c r="G394" s="485"/>
      <c r="H394" s="486"/>
      <c r="I394" s="486"/>
      <c r="J394" s="486">
        <v>60587</v>
      </c>
      <c r="K394" s="486">
        <v>60587</v>
      </c>
      <c r="L394" s="486"/>
      <c r="M394" s="485"/>
      <c r="N394" s="45"/>
      <c r="O394" s="470">
        <f>SUM(Facturacion!I71:I73)</f>
        <v>116059.54799999998</v>
      </c>
      <c r="P394" s="470"/>
      <c r="Q394" s="45"/>
      <c r="R394" s="45"/>
      <c r="S394" s="89" t="s">
        <v>411</v>
      </c>
      <c r="T394" s="420">
        <f>SUM(K379:K424)</f>
        <v>188376.87</v>
      </c>
      <c r="U394" s="45"/>
      <c r="V394" s="45"/>
      <c r="W394" s="45"/>
      <c r="X394" s="45"/>
      <c r="Y394" s="45"/>
      <c r="Z394" s="45"/>
      <c r="AA394" s="45"/>
    </row>
    <row r="395" spans="1:27" ht="13">
      <c r="A395" s="54">
        <v>2023</v>
      </c>
      <c r="B395" s="484">
        <v>45199</v>
      </c>
      <c r="C395" s="485" t="s">
        <v>481</v>
      </c>
      <c r="D395" s="485" t="s">
        <v>484</v>
      </c>
      <c r="E395" s="485" t="s">
        <v>632</v>
      </c>
      <c r="F395" s="485" t="s">
        <v>488</v>
      </c>
      <c r="G395" s="485"/>
      <c r="H395" s="486"/>
      <c r="I395" s="486"/>
      <c r="J395" s="486">
        <v>105000</v>
      </c>
      <c r="K395" s="486">
        <v>105000</v>
      </c>
      <c r="L395" s="486"/>
      <c r="M395" s="485"/>
      <c r="N395" s="45"/>
      <c r="O395" s="469" t="s">
        <v>461</v>
      </c>
      <c r="P395" s="469" t="s">
        <v>462</v>
      </c>
      <c r="Q395" s="45"/>
      <c r="R395" s="45"/>
      <c r="S395" s="421" t="s">
        <v>584</v>
      </c>
      <c r="T395" s="91">
        <f>SUM(I379:I424)</f>
        <v>17562.880000000012</v>
      </c>
      <c r="U395" s="45"/>
      <c r="V395" s="45"/>
      <c r="W395" s="45"/>
      <c r="X395" s="45"/>
      <c r="Y395" s="45"/>
      <c r="Z395" s="45"/>
      <c r="AA395" s="45"/>
    </row>
    <row r="396" spans="1:27" ht="13">
      <c r="A396" s="54">
        <v>2023</v>
      </c>
      <c r="B396" s="484">
        <v>45199</v>
      </c>
      <c r="C396" s="485" t="s">
        <v>481</v>
      </c>
      <c r="D396" s="485" t="s">
        <v>554</v>
      </c>
      <c r="E396" s="485" t="s">
        <v>133</v>
      </c>
      <c r="F396" s="485" t="s">
        <v>459</v>
      </c>
      <c r="G396" s="486"/>
      <c r="H396" s="486">
        <v>5904.8</v>
      </c>
      <c r="I396" s="486">
        <v>4840</v>
      </c>
      <c r="J396" s="486"/>
      <c r="K396" s="486"/>
      <c r="L396" s="486">
        <f>1064.8*M396</f>
        <v>41054.428799999994</v>
      </c>
      <c r="M396" s="485">
        <v>38.555999999999997</v>
      </c>
      <c r="N396" s="45"/>
      <c r="O396" s="470">
        <f>SUM(L379:L421)-P341</f>
        <v>318890.92764000001</v>
      </c>
      <c r="P396" s="470">
        <f>O394-O396</f>
        <v>-202831.37964000003</v>
      </c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1:27" ht="13">
      <c r="A397" s="54">
        <v>2023</v>
      </c>
      <c r="B397" s="484">
        <v>45199</v>
      </c>
      <c r="C397" s="485" t="s">
        <v>481</v>
      </c>
      <c r="D397" s="485" t="s">
        <v>554</v>
      </c>
      <c r="E397" s="485" t="s">
        <v>458</v>
      </c>
      <c r="F397" s="485" t="s">
        <v>459</v>
      </c>
      <c r="G397" s="486"/>
      <c r="H397" s="486">
        <v>4636</v>
      </c>
      <c r="I397" s="486">
        <v>3800</v>
      </c>
      <c r="J397" s="486"/>
      <c r="K397" s="486"/>
      <c r="L397" s="486">
        <f>836*M397</f>
        <v>32232.815999999999</v>
      </c>
      <c r="M397" s="485">
        <v>38.555999999999997</v>
      </c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1:27" ht="13">
      <c r="A398" s="54">
        <v>2023</v>
      </c>
      <c r="B398" s="484">
        <v>45199</v>
      </c>
      <c r="C398" s="485" t="s">
        <v>481</v>
      </c>
      <c r="D398" s="488" t="s">
        <v>489</v>
      </c>
      <c r="E398" s="487" t="s">
        <v>463</v>
      </c>
      <c r="F398" s="486" t="s">
        <v>464</v>
      </c>
      <c r="G398" s="486"/>
      <c r="H398" s="486"/>
      <c r="I398" s="488"/>
      <c r="J398" s="486">
        <v>6600</v>
      </c>
      <c r="K398" s="486">
        <f>J398-L398</f>
        <v>5409.84</v>
      </c>
      <c r="L398" s="486">
        <v>1190.1600000000001</v>
      </c>
      <c r="M398" s="48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1:27" ht="13">
      <c r="A399" s="54">
        <v>2023</v>
      </c>
      <c r="B399" s="484">
        <v>45199</v>
      </c>
      <c r="C399" s="485" t="s">
        <v>474</v>
      </c>
      <c r="D399" s="485" t="s">
        <v>482</v>
      </c>
      <c r="E399" s="485" t="s">
        <v>483</v>
      </c>
      <c r="F399" s="485" t="s">
        <v>459</v>
      </c>
      <c r="G399" s="486"/>
      <c r="H399" s="486">
        <v>1200</v>
      </c>
      <c r="I399" s="486">
        <v>1200</v>
      </c>
      <c r="J399" s="486"/>
      <c r="K399" s="486"/>
      <c r="L399" s="486"/>
      <c r="M399" s="48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1:27" ht="13">
      <c r="A400" s="54">
        <v>2023</v>
      </c>
      <c r="B400" s="484">
        <v>45199</v>
      </c>
      <c r="C400" s="485" t="s">
        <v>474</v>
      </c>
      <c r="D400" s="485" t="s">
        <v>482</v>
      </c>
      <c r="E400" s="485" t="s">
        <v>535</v>
      </c>
      <c r="F400" s="485" t="s">
        <v>459</v>
      </c>
      <c r="G400" s="486"/>
      <c r="H400" s="486">
        <v>1200</v>
      </c>
      <c r="I400" s="486">
        <v>1200</v>
      </c>
      <c r="J400" s="486"/>
      <c r="K400" s="486"/>
      <c r="L400" s="486"/>
      <c r="M400" s="48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1:27" ht="13">
      <c r="A401" s="54">
        <v>2023</v>
      </c>
      <c r="B401" s="484">
        <v>45199</v>
      </c>
      <c r="C401" s="485" t="s">
        <v>474</v>
      </c>
      <c r="D401" s="485" t="s">
        <v>482</v>
      </c>
      <c r="E401" s="485" t="s">
        <v>541</v>
      </c>
      <c r="F401" s="485" t="s">
        <v>459</v>
      </c>
      <c r="G401" s="486"/>
      <c r="H401" s="486">
        <v>1200</v>
      </c>
      <c r="I401" s="486">
        <v>1200</v>
      </c>
      <c r="J401" s="486"/>
      <c r="K401" s="486"/>
      <c r="L401" s="486"/>
      <c r="M401" s="48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1:27" ht="13">
      <c r="A402" s="54">
        <v>2023</v>
      </c>
      <c r="B402" s="484">
        <v>45199</v>
      </c>
      <c r="C402" s="485" t="s">
        <v>474</v>
      </c>
      <c r="D402" s="485" t="s">
        <v>482</v>
      </c>
      <c r="E402" s="485" t="s">
        <v>537</v>
      </c>
      <c r="F402" s="485" t="s">
        <v>459</v>
      </c>
      <c r="G402" s="486"/>
      <c r="H402" s="486">
        <v>900</v>
      </c>
      <c r="I402" s="486">
        <v>900</v>
      </c>
      <c r="J402" s="486"/>
      <c r="K402" s="486"/>
      <c r="L402" s="486"/>
      <c r="M402" s="48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1:27" ht="13">
      <c r="A403" s="54">
        <v>2023</v>
      </c>
      <c r="B403" s="484">
        <v>45199</v>
      </c>
      <c r="C403" s="485" t="s">
        <v>474</v>
      </c>
      <c r="D403" s="485" t="s">
        <v>554</v>
      </c>
      <c r="E403" s="485" t="s">
        <v>540</v>
      </c>
      <c r="F403" s="485" t="s">
        <v>459</v>
      </c>
      <c r="G403" s="486"/>
      <c r="H403" s="486">
        <v>910</v>
      </c>
      <c r="I403" s="486">
        <v>910</v>
      </c>
      <c r="J403" s="486"/>
      <c r="K403" s="486"/>
      <c r="L403" s="486"/>
      <c r="M403" s="48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1:27" ht="13">
      <c r="A404" s="54">
        <v>2023</v>
      </c>
      <c r="B404" s="484">
        <v>45199</v>
      </c>
      <c r="C404" s="485" t="s">
        <v>474</v>
      </c>
      <c r="D404" s="485" t="s">
        <v>478</v>
      </c>
      <c r="E404" s="485" t="s">
        <v>479</v>
      </c>
      <c r="F404" s="485" t="s">
        <v>547</v>
      </c>
      <c r="G404" s="486"/>
      <c r="H404" s="486">
        <f t="shared" ref="H404:I404" si="10">(20*5)+(40*5)</f>
        <v>300</v>
      </c>
      <c r="I404" s="486">
        <f t="shared" si="10"/>
        <v>300</v>
      </c>
      <c r="J404" s="486"/>
      <c r="K404" s="486"/>
      <c r="L404" s="486"/>
      <c r="M404" s="48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1:27" ht="13">
      <c r="A405" s="54">
        <v>2023</v>
      </c>
      <c r="B405" s="484">
        <v>45199</v>
      </c>
      <c r="C405" s="485" t="s">
        <v>481</v>
      </c>
      <c r="D405" s="485" t="s">
        <v>491</v>
      </c>
      <c r="E405" s="485" t="s">
        <v>638</v>
      </c>
      <c r="F405" s="485" t="s">
        <v>576</v>
      </c>
      <c r="G405" s="485"/>
      <c r="H405" s="486">
        <v>143.68</v>
      </c>
      <c r="I405" s="486">
        <v>143.68</v>
      </c>
      <c r="J405" s="486"/>
      <c r="K405" s="486"/>
      <c r="L405" s="486"/>
      <c r="M405" s="48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spans="1:27" ht="13">
      <c r="A406" s="54">
        <v>2023</v>
      </c>
      <c r="B406" s="484">
        <v>45199</v>
      </c>
      <c r="C406" s="485" t="s">
        <v>481</v>
      </c>
      <c r="D406" s="485" t="s">
        <v>491</v>
      </c>
      <c r="E406" s="485" t="s">
        <v>548</v>
      </c>
      <c r="F406" s="485" t="s">
        <v>549</v>
      </c>
      <c r="G406" s="485"/>
      <c r="H406" s="486">
        <v>1.45</v>
      </c>
      <c r="I406" s="486">
        <v>1.45</v>
      </c>
      <c r="J406" s="486"/>
      <c r="K406" s="486"/>
      <c r="L406" s="486"/>
      <c r="M406" s="48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spans="1:27" ht="13">
      <c r="A407" s="54">
        <v>2023</v>
      </c>
      <c r="B407" s="484">
        <v>45199</v>
      </c>
      <c r="C407" s="485" t="s">
        <v>481</v>
      </c>
      <c r="D407" s="485" t="s">
        <v>491</v>
      </c>
      <c r="E407" s="485" t="s">
        <v>601</v>
      </c>
      <c r="F407" s="485" t="s">
        <v>576</v>
      </c>
      <c r="G407" s="485"/>
      <c r="H407" s="486">
        <v>109</v>
      </c>
      <c r="I407" s="486">
        <v>109</v>
      </c>
      <c r="J407" s="486"/>
      <c r="K407" s="486"/>
      <c r="L407" s="486"/>
      <c r="M407" s="48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spans="1:27" ht="13">
      <c r="A408" s="54">
        <v>2023</v>
      </c>
      <c r="B408" s="484">
        <v>45199</v>
      </c>
      <c r="C408" s="485" t="s">
        <v>481</v>
      </c>
      <c r="D408" s="485" t="s">
        <v>491</v>
      </c>
      <c r="E408" s="485" t="s">
        <v>498</v>
      </c>
      <c r="F408" s="485" t="s">
        <v>576</v>
      </c>
      <c r="G408" s="485"/>
      <c r="H408" s="486">
        <v>9.16</v>
      </c>
      <c r="I408" s="486">
        <v>9.16</v>
      </c>
      <c r="J408" s="486"/>
      <c r="K408" s="486"/>
      <c r="L408" s="486"/>
      <c r="M408" s="48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spans="1:27" ht="13">
      <c r="A409" s="54">
        <v>2023</v>
      </c>
      <c r="B409" s="484">
        <v>45199</v>
      </c>
      <c r="C409" s="485" t="s">
        <v>481</v>
      </c>
      <c r="D409" s="485" t="s">
        <v>491</v>
      </c>
      <c r="E409" s="485" t="s">
        <v>592</v>
      </c>
      <c r="F409" s="485" t="s">
        <v>576</v>
      </c>
      <c r="G409" s="485"/>
      <c r="H409" s="486">
        <v>40</v>
      </c>
      <c r="I409" s="486">
        <v>40</v>
      </c>
      <c r="J409" s="486"/>
      <c r="K409" s="486"/>
      <c r="L409" s="486"/>
      <c r="M409" s="48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spans="1:27" ht="13">
      <c r="A410" s="54">
        <v>2023</v>
      </c>
      <c r="B410" s="484">
        <v>45199</v>
      </c>
      <c r="C410" s="485" t="s">
        <v>481</v>
      </c>
      <c r="D410" s="485" t="s">
        <v>491</v>
      </c>
      <c r="E410" s="485" t="s">
        <v>602</v>
      </c>
      <c r="F410" s="485" t="s">
        <v>576</v>
      </c>
      <c r="G410" s="485"/>
      <c r="H410" s="486">
        <v>471.5</v>
      </c>
      <c r="I410" s="486">
        <v>471.5</v>
      </c>
      <c r="J410" s="486"/>
      <c r="K410" s="486"/>
      <c r="L410" s="486"/>
      <c r="M410" s="48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spans="1:27" ht="13">
      <c r="A411" s="54">
        <v>2023</v>
      </c>
      <c r="B411" s="484">
        <v>45199</v>
      </c>
      <c r="C411" s="485" t="s">
        <v>481</v>
      </c>
      <c r="D411" s="485" t="s">
        <v>491</v>
      </c>
      <c r="E411" s="485" t="s">
        <v>532</v>
      </c>
      <c r="F411" s="485" t="s">
        <v>576</v>
      </c>
      <c r="G411" s="485"/>
      <c r="H411" s="486">
        <v>15</v>
      </c>
      <c r="I411" s="486">
        <v>15</v>
      </c>
      <c r="J411" s="486"/>
      <c r="K411" s="486"/>
      <c r="L411" s="486"/>
      <c r="M411" s="48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spans="1:27" ht="13">
      <c r="A412" s="54">
        <v>2023</v>
      </c>
      <c r="B412" s="484">
        <v>45199</v>
      </c>
      <c r="C412" s="485" t="s">
        <v>481</v>
      </c>
      <c r="D412" s="485" t="s">
        <v>491</v>
      </c>
      <c r="E412" s="488" t="s">
        <v>591</v>
      </c>
      <c r="F412" s="487" t="s">
        <v>576</v>
      </c>
      <c r="G412" s="485"/>
      <c r="H412" s="486">
        <v>20</v>
      </c>
      <c r="I412" s="486">
        <v>20</v>
      </c>
      <c r="J412" s="486"/>
      <c r="K412" s="486"/>
      <c r="L412" s="486"/>
      <c r="M412" s="48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spans="1:27" ht="13">
      <c r="A413" s="54">
        <v>2023</v>
      </c>
      <c r="B413" s="484">
        <v>45199</v>
      </c>
      <c r="C413" s="485" t="s">
        <v>481</v>
      </c>
      <c r="D413" s="485" t="s">
        <v>491</v>
      </c>
      <c r="E413" s="488" t="s">
        <v>639</v>
      </c>
      <c r="F413" s="487" t="s">
        <v>576</v>
      </c>
      <c r="G413" s="485"/>
      <c r="H413" s="486">
        <v>15</v>
      </c>
      <c r="I413" s="486">
        <v>15</v>
      </c>
      <c r="J413" s="486"/>
      <c r="K413" s="486"/>
      <c r="L413" s="486"/>
      <c r="M413" s="48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spans="1:27" ht="13">
      <c r="A414" s="54">
        <v>2023</v>
      </c>
      <c r="B414" s="484">
        <v>45199</v>
      </c>
      <c r="C414" s="485" t="s">
        <v>481</v>
      </c>
      <c r="D414" s="485" t="s">
        <v>491</v>
      </c>
      <c r="E414" s="488" t="s">
        <v>640</v>
      </c>
      <c r="F414" s="487" t="s">
        <v>576</v>
      </c>
      <c r="G414" s="485"/>
      <c r="H414" s="486">
        <v>6.49</v>
      </c>
      <c r="I414" s="486">
        <v>6.49</v>
      </c>
      <c r="J414" s="486"/>
      <c r="K414" s="486"/>
      <c r="L414" s="486"/>
      <c r="M414" s="48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spans="1:27" ht="13">
      <c r="A415" s="54">
        <v>2023</v>
      </c>
      <c r="B415" s="484">
        <v>45199</v>
      </c>
      <c r="C415" s="485" t="s">
        <v>481</v>
      </c>
      <c r="D415" s="485" t="s">
        <v>491</v>
      </c>
      <c r="E415" s="488" t="s">
        <v>534</v>
      </c>
      <c r="F415" s="487" t="s">
        <v>576</v>
      </c>
      <c r="G415" s="485"/>
      <c r="H415" s="486">
        <v>15.99</v>
      </c>
      <c r="I415" s="486">
        <v>15.99</v>
      </c>
      <c r="J415" s="486"/>
      <c r="K415" s="486"/>
      <c r="L415" s="486"/>
      <c r="M415" s="48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spans="1:27" ht="13">
      <c r="A416" s="54">
        <v>2023</v>
      </c>
      <c r="B416" s="484">
        <v>45199</v>
      </c>
      <c r="C416" s="485" t="s">
        <v>481</v>
      </c>
      <c r="D416" s="485" t="s">
        <v>491</v>
      </c>
      <c r="E416" s="488" t="s">
        <v>633</v>
      </c>
      <c r="F416" s="487" t="s">
        <v>576</v>
      </c>
      <c r="G416" s="485"/>
      <c r="H416" s="486">
        <v>45.36</v>
      </c>
      <c r="I416" s="486">
        <v>45.36</v>
      </c>
      <c r="J416" s="486"/>
      <c r="K416" s="486"/>
      <c r="L416" s="486"/>
      <c r="M416" s="48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spans="1:27" ht="13">
      <c r="A417" s="54">
        <v>2023</v>
      </c>
      <c r="B417" s="484">
        <v>45199</v>
      </c>
      <c r="C417" s="485" t="s">
        <v>481</v>
      </c>
      <c r="D417" s="485" t="s">
        <v>491</v>
      </c>
      <c r="E417" s="485" t="s">
        <v>645</v>
      </c>
      <c r="F417" s="485" t="s">
        <v>576</v>
      </c>
      <c r="G417" s="485"/>
      <c r="H417" s="486">
        <v>12.99</v>
      </c>
      <c r="I417" s="486">
        <v>12.99</v>
      </c>
      <c r="J417" s="486"/>
      <c r="K417" s="486"/>
      <c r="L417" s="486"/>
      <c r="M417" s="48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spans="1:27" ht="13">
      <c r="A418" s="54">
        <v>2023</v>
      </c>
      <c r="B418" s="484">
        <v>45199</v>
      </c>
      <c r="C418" s="485" t="s">
        <v>481</v>
      </c>
      <c r="D418" s="485" t="s">
        <v>491</v>
      </c>
      <c r="E418" s="485" t="s">
        <v>646</v>
      </c>
      <c r="F418" s="485" t="s">
        <v>549</v>
      </c>
      <c r="G418" s="485"/>
      <c r="H418" s="486">
        <v>19.989999999999998</v>
      </c>
      <c r="I418" s="486">
        <v>19.989999999999998</v>
      </c>
      <c r="J418" s="486"/>
      <c r="K418" s="486"/>
      <c r="L418" s="486"/>
      <c r="M418" s="48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spans="1:27" ht="13">
      <c r="A419" s="54">
        <v>2023</v>
      </c>
      <c r="B419" s="484">
        <v>45199</v>
      </c>
      <c r="C419" s="485" t="s">
        <v>481</v>
      </c>
      <c r="D419" s="485" t="s">
        <v>493</v>
      </c>
      <c r="E419" s="485" t="s">
        <v>619</v>
      </c>
      <c r="F419" s="485" t="s">
        <v>629</v>
      </c>
      <c r="G419" s="485"/>
      <c r="H419" s="486"/>
      <c r="I419" s="486"/>
      <c r="J419" s="486">
        <v>386</v>
      </c>
      <c r="K419" s="486">
        <v>386</v>
      </c>
      <c r="L419" s="486"/>
      <c r="M419" s="48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spans="1:27" ht="13">
      <c r="A420" s="54">
        <v>2023</v>
      </c>
      <c r="B420" s="484">
        <v>45199</v>
      </c>
      <c r="C420" s="485" t="s">
        <v>481</v>
      </c>
      <c r="D420" s="485" t="s">
        <v>489</v>
      </c>
      <c r="E420" s="485" t="s">
        <v>647</v>
      </c>
      <c r="F420" s="485" t="s">
        <v>648</v>
      </c>
      <c r="G420" s="485"/>
      <c r="H420" s="486"/>
      <c r="I420" s="486"/>
      <c r="J420" s="486">
        <v>200</v>
      </c>
      <c r="K420" s="486">
        <v>200</v>
      </c>
      <c r="L420" s="486"/>
      <c r="M420" s="48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spans="1:27" ht="13">
      <c r="A421" s="54">
        <v>2023</v>
      </c>
      <c r="B421" s="484">
        <v>45199</v>
      </c>
      <c r="C421" s="485" t="s">
        <v>481</v>
      </c>
      <c r="D421" s="485" t="s">
        <v>493</v>
      </c>
      <c r="E421" s="485" t="s">
        <v>619</v>
      </c>
      <c r="F421" s="485" t="s">
        <v>649</v>
      </c>
      <c r="G421" s="485"/>
      <c r="H421" s="486"/>
      <c r="I421" s="486"/>
      <c r="J421" s="486">
        <v>520</v>
      </c>
      <c r="K421" s="486">
        <v>520</v>
      </c>
      <c r="L421" s="486"/>
      <c r="M421" s="48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spans="1:27" ht="13">
      <c r="A422" s="54">
        <v>2023</v>
      </c>
      <c r="B422" s="353">
        <v>45201</v>
      </c>
      <c r="C422" s="354" t="s">
        <v>481</v>
      </c>
      <c r="D422" s="354" t="s">
        <v>493</v>
      </c>
      <c r="E422" s="354" t="s">
        <v>63</v>
      </c>
      <c r="F422" s="354" t="s">
        <v>480</v>
      </c>
      <c r="G422" s="354"/>
      <c r="H422" s="355"/>
      <c r="I422" s="355"/>
      <c r="J422" s="355">
        <v>39.29</v>
      </c>
      <c r="K422" s="355">
        <v>39.29</v>
      </c>
      <c r="L422" s="355"/>
      <c r="M422" s="354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spans="1:27" ht="13">
      <c r="A423" s="54">
        <v>2023</v>
      </c>
      <c r="B423" s="353">
        <v>45201</v>
      </c>
      <c r="C423" s="354" t="s">
        <v>481</v>
      </c>
      <c r="D423" s="354" t="s">
        <v>493</v>
      </c>
      <c r="E423" s="354" t="s">
        <v>63</v>
      </c>
      <c r="F423" s="354" t="s">
        <v>480</v>
      </c>
      <c r="G423" s="354"/>
      <c r="H423" s="355">
        <v>201.9</v>
      </c>
      <c r="I423" s="355">
        <v>201.9</v>
      </c>
      <c r="J423" s="355"/>
      <c r="K423" s="355"/>
      <c r="L423" s="355"/>
      <c r="M423" s="354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spans="1:27" ht="13">
      <c r="A424" s="54">
        <v>2023</v>
      </c>
      <c r="B424" s="489">
        <v>45202</v>
      </c>
      <c r="C424" s="481" t="s">
        <v>481</v>
      </c>
      <c r="D424" s="481" t="s">
        <v>493</v>
      </c>
      <c r="E424" s="481" t="s">
        <v>479</v>
      </c>
      <c r="F424" s="481" t="s">
        <v>480</v>
      </c>
      <c r="G424" s="483"/>
      <c r="H424" s="483">
        <v>1.9</v>
      </c>
      <c r="I424" s="483">
        <v>1.9</v>
      </c>
      <c r="J424" s="483"/>
      <c r="K424" s="483"/>
      <c r="L424" s="355"/>
      <c r="M424" s="354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spans="1:27" ht="13">
      <c r="A425" s="54">
        <v>2023</v>
      </c>
      <c r="B425" s="489">
        <v>45202</v>
      </c>
      <c r="C425" s="481" t="s">
        <v>481</v>
      </c>
      <c r="D425" s="481" t="s">
        <v>493</v>
      </c>
      <c r="E425" s="481" t="s">
        <v>650</v>
      </c>
      <c r="F425" s="481" t="s">
        <v>619</v>
      </c>
      <c r="G425" s="483"/>
      <c r="H425" s="483"/>
      <c r="I425" s="483"/>
      <c r="J425" s="483">
        <v>1510</v>
      </c>
      <c r="K425" s="483">
        <f>J425-L425</f>
        <v>1237.7</v>
      </c>
      <c r="L425" s="355">
        <v>272.3</v>
      </c>
      <c r="M425" s="354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spans="1:27" ht="13">
      <c r="A426" s="54">
        <v>2023</v>
      </c>
      <c r="B426" s="489">
        <v>45202</v>
      </c>
      <c r="C426" s="481" t="s">
        <v>481</v>
      </c>
      <c r="D426" s="481" t="s">
        <v>493</v>
      </c>
      <c r="E426" s="354" t="s">
        <v>650</v>
      </c>
      <c r="F426" s="354" t="s">
        <v>651</v>
      </c>
      <c r="G426" s="355"/>
      <c r="H426" s="355"/>
      <c r="I426" s="355"/>
      <c r="J426" s="355">
        <f>1660-1510</f>
        <v>150</v>
      </c>
      <c r="K426" s="355">
        <v>150</v>
      </c>
      <c r="L426" s="355"/>
      <c r="M426" s="354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spans="1:27" ht="13">
      <c r="A427" s="54">
        <v>2023</v>
      </c>
      <c r="B427" s="490">
        <v>45212</v>
      </c>
      <c r="C427" s="354" t="s">
        <v>481</v>
      </c>
      <c r="D427" s="354" t="s">
        <v>493</v>
      </c>
      <c r="E427" s="354" t="s">
        <v>479</v>
      </c>
      <c r="F427" s="354" t="s">
        <v>514</v>
      </c>
      <c r="G427" s="355"/>
      <c r="H427" s="355"/>
      <c r="I427" s="355"/>
      <c r="J427" s="355">
        <v>1264</v>
      </c>
      <c r="K427" s="355">
        <v>1264</v>
      </c>
      <c r="L427" s="355"/>
      <c r="M427" s="354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spans="1:27" ht="13">
      <c r="A428" s="54">
        <v>2023</v>
      </c>
      <c r="B428" s="490">
        <v>45212</v>
      </c>
      <c r="C428" s="354" t="s">
        <v>481</v>
      </c>
      <c r="D428" s="354" t="s">
        <v>493</v>
      </c>
      <c r="E428" s="481" t="s">
        <v>652</v>
      </c>
      <c r="F428" s="354" t="s">
        <v>653</v>
      </c>
      <c r="G428" s="355"/>
      <c r="H428" s="355"/>
      <c r="I428" s="355"/>
      <c r="J428" s="355">
        <v>6682.98</v>
      </c>
      <c r="K428" s="355">
        <f>J428-L428</f>
        <v>5477.8399999999992</v>
      </c>
      <c r="L428" s="355">
        <v>1205.1400000000001</v>
      </c>
      <c r="M428" s="354"/>
      <c r="N428" s="45"/>
      <c r="O428" s="469" t="s">
        <v>457</v>
      </c>
      <c r="P428" s="470"/>
      <c r="Q428" s="45"/>
      <c r="R428" s="45"/>
      <c r="S428" s="491" t="s">
        <v>583</v>
      </c>
      <c r="T428" s="492"/>
      <c r="U428" s="45"/>
      <c r="V428" s="45"/>
      <c r="W428" s="45"/>
      <c r="X428" s="45"/>
      <c r="Y428" s="45"/>
      <c r="Z428" s="45"/>
      <c r="AA428" s="45"/>
    </row>
    <row r="429" spans="1:27" ht="13">
      <c r="A429" s="54">
        <v>2023</v>
      </c>
      <c r="B429" s="490">
        <v>45217</v>
      </c>
      <c r="C429" s="354" t="s">
        <v>481</v>
      </c>
      <c r="D429" s="354" t="s">
        <v>493</v>
      </c>
      <c r="E429" s="354" t="s">
        <v>479</v>
      </c>
      <c r="F429" s="354" t="s">
        <v>480</v>
      </c>
      <c r="G429" s="355"/>
      <c r="H429" s="355">
        <v>1.9</v>
      </c>
      <c r="I429" s="355">
        <v>1.9</v>
      </c>
      <c r="J429" s="355"/>
      <c r="K429" s="355"/>
      <c r="L429" s="355"/>
      <c r="M429" s="354"/>
      <c r="N429" s="45"/>
      <c r="O429" s="470">
        <f>SUM(Facturacion!I74:I75)</f>
        <v>38673.536</v>
      </c>
      <c r="P429" s="470"/>
      <c r="Q429" s="45"/>
      <c r="R429" s="45"/>
      <c r="S429" s="491" t="s">
        <v>411</v>
      </c>
      <c r="T429" s="470">
        <f>SUM(K425:K465)</f>
        <v>109538.81999999998</v>
      </c>
      <c r="U429" s="45"/>
      <c r="V429" s="45"/>
      <c r="W429" s="45"/>
      <c r="X429" s="45"/>
      <c r="Y429" s="45"/>
      <c r="Z429" s="45"/>
      <c r="AA429" s="45"/>
    </row>
    <row r="430" spans="1:27" ht="13">
      <c r="A430" s="54">
        <v>2023</v>
      </c>
      <c r="B430" s="490">
        <v>45220</v>
      </c>
      <c r="C430" s="354" t="s">
        <v>481</v>
      </c>
      <c r="D430" s="354" t="s">
        <v>494</v>
      </c>
      <c r="E430" s="354" t="s">
        <v>521</v>
      </c>
      <c r="F430" s="354" t="s">
        <v>544</v>
      </c>
      <c r="G430" s="355"/>
      <c r="H430" s="355"/>
      <c r="I430" s="355"/>
      <c r="J430" s="355">
        <v>2687</v>
      </c>
      <c r="K430" s="355">
        <f>J430-L430</f>
        <v>2202.38</v>
      </c>
      <c r="L430" s="355">
        <v>484.62</v>
      </c>
      <c r="M430" s="354"/>
      <c r="N430" s="45"/>
      <c r="O430" s="469" t="s">
        <v>461</v>
      </c>
      <c r="P430" s="469" t="s">
        <v>462</v>
      </c>
      <c r="Q430" s="45"/>
      <c r="R430" s="45"/>
      <c r="S430" s="469" t="s">
        <v>584</v>
      </c>
      <c r="T430" s="470">
        <f>SUM(I425:I465)</f>
        <v>19152.470000000005</v>
      </c>
      <c r="U430" s="45"/>
      <c r="V430" s="45"/>
      <c r="W430" s="45"/>
      <c r="X430" s="45"/>
      <c r="Y430" s="45"/>
      <c r="Z430" s="45"/>
      <c r="AA430" s="45"/>
    </row>
    <row r="431" spans="1:27" ht="13">
      <c r="A431" s="54">
        <v>2023</v>
      </c>
      <c r="B431" s="490">
        <v>45225</v>
      </c>
      <c r="C431" s="354" t="s">
        <v>481</v>
      </c>
      <c r="D431" s="354" t="s">
        <v>493</v>
      </c>
      <c r="E431" s="354" t="s">
        <v>479</v>
      </c>
      <c r="F431" s="354" t="s">
        <v>480</v>
      </c>
      <c r="G431" s="355"/>
      <c r="H431" s="355">
        <v>51.14</v>
      </c>
      <c r="I431" s="355">
        <v>51.14</v>
      </c>
      <c r="J431" s="355"/>
      <c r="K431" s="355"/>
      <c r="L431" s="355"/>
      <c r="M431" s="354"/>
      <c r="N431" s="45"/>
      <c r="O431" s="470">
        <f>SUM(L422:L465)-P396</f>
        <v>309974.12812000001</v>
      </c>
      <c r="P431" s="470">
        <f>O429-O431</f>
        <v>-271300.59211999999</v>
      </c>
      <c r="Q431" s="45"/>
      <c r="R431" s="45"/>
      <c r="S431" s="59"/>
      <c r="T431" s="68"/>
      <c r="U431" s="45"/>
      <c r="V431" s="45"/>
      <c r="W431" s="45"/>
      <c r="X431" s="45"/>
      <c r="Y431" s="45"/>
      <c r="Z431" s="45"/>
      <c r="AA431" s="45"/>
    </row>
    <row r="432" spans="1:27" ht="13">
      <c r="A432" s="54">
        <v>2023</v>
      </c>
      <c r="B432" s="490">
        <v>45225</v>
      </c>
      <c r="C432" s="354" t="s">
        <v>481</v>
      </c>
      <c r="D432" s="354" t="s">
        <v>494</v>
      </c>
      <c r="E432" s="354" t="s">
        <v>502</v>
      </c>
      <c r="F432" s="354" t="s">
        <v>522</v>
      </c>
      <c r="G432" s="355"/>
      <c r="H432" s="355"/>
      <c r="I432" s="355"/>
      <c r="J432" s="355">
        <v>163000</v>
      </c>
      <c r="K432" s="355">
        <v>163000</v>
      </c>
      <c r="L432" s="355"/>
      <c r="M432" s="354"/>
      <c r="N432" s="45"/>
      <c r="O432" s="59"/>
      <c r="P432" s="59"/>
      <c r="Q432" s="45"/>
      <c r="R432" s="45"/>
      <c r="S432" s="59"/>
      <c r="T432" s="68"/>
      <c r="U432" s="45"/>
      <c r="V432" s="45"/>
      <c r="W432" s="45"/>
      <c r="X432" s="45"/>
      <c r="Y432" s="45"/>
      <c r="Z432" s="45"/>
      <c r="AA432" s="45"/>
    </row>
    <row r="433" spans="1:27" ht="13">
      <c r="A433" s="54">
        <v>2023</v>
      </c>
      <c r="B433" s="490">
        <v>45225</v>
      </c>
      <c r="C433" s="354" t="s">
        <v>481</v>
      </c>
      <c r="D433" s="354" t="s">
        <v>494</v>
      </c>
      <c r="E433" s="354" t="s">
        <v>502</v>
      </c>
      <c r="F433" s="354" t="s">
        <v>543</v>
      </c>
      <c r="G433" s="355"/>
      <c r="H433" s="355"/>
      <c r="I433" s="355"/>
      <c r="J433" s="355">
        <v>28369</v>
      </c>
      <c r="K433" s="355">
        <v>28369</v>
      </c>
      <c r="L433" s="355"/>
      <c r="M433" s="354"/>
      <c r="N433" s="45"/>
      <c r="O433" s="59"/>
      <c r="P433" s="59"/>
      <c r="Q433" s="45"/>
      <c r="R433" s="45"/>
      <c r="S433" s="59"/>
      <c r="T433" s="68"/>
      <c r="U433" s="45"/>
      <c r="V433" s="45"/>
      <c r="W433" s="45"/>
      <c r="X433" s="45"/>
      <c r="Y433" s="45"/>
      <c r="Z433" s="45"/>
      <c r="AA433" s="45"/>
    </row>
    <row r="434" spans="1:27" ht="13">
      <c r="A434" s="54">
        <v>2023</v>
      </c>
      <c r="B434" s="490">
        <v>45225</v>
      </c>
      <c r="C434" s="354" t="s">
        <v>481</v>
      </c>
      <c r="D434" s="354" t="s">
        <v>494</v>
      </c>
      <c r="E434" s="354" t="s">
        <v>512</v>
      </c>
      <c r="F434" s="354" t="s">
        <v>528</v>
      </c>
      <c r="G434" s="355"/>
      <c r="H434" s="355"/>
      <c r="I434" s="355"/>
      <c r="J434" s="355">
        <v>-271301</v>
      </c>
      <c r="K434" s="355">
        <v>-271301</v>
      </c>
      <c r="L434" s="355"/>
      <c r="M434" s="354"/>
      <c r="N434" s="45"/>
      <c r="O434" s="59"/>
      <c r="P434" s="59"/>
      <c r="Q434" s="45"/>
      <c r="R434" s="45"/>
      <c r="S434" s="59"/>
      <c r="T434" s="68"/>
      <c r="U434" s="45"/>
      <c r="V434" s="45"/>
      <c r="W434" s="45"/>
      <c r="X434" s="45"/>
      <c r="Y434" s="45"/>
      <c r="Z434" s="45"/>
      <c r="AA434" s="45"/>
    </row>
    <row r="435" spans="1:27" ht="13">
      <c r="A435" s="54">
        <v>2023</v>
      </c>
      <c r="B435" s="490">
        <v>45225</v>
      </c>
      <c r="C435" s="354" t="s">
        <v>481</v>
      </c>
      <c r="D435" s="354" t="s">
        <v>494</v>
      </c>
      <c r="E435" s="354" t="s">
        <v>512</v>
      </c>
      <c r="F435" s="354" t="s">
        <v>582</v>
      </c>
      <c r="G435" s="355"/>
      <c r="H435" s="355"/>
      <c r="I435" s="355"/>
      <c r="J435" s="355">
        <v>0</v>
      </c>
      <c r="K435" s="355">
        <v>0</v>
      </c>
      <c r="L435" s="355"/>
      <c r="M435" s="354"/>
      <c r="N435" s="45"/>
      <c r="O435" s="59"/>
      <c r="P435" s="59"/>
      <c r="Q435" s="45"/>
      <c r="R435" s="45"/>
      <c r="S435" s="59"/>
      <c r="T435" s="68"/>
      <c r="U435" s="45"/>
      <c r="V435" s="45"/>
      <c r="W435" s="45"/>
      <c r="X435" s="45"/>
      <c r="Y435" s="45"/>
      <c r="Z435" s="45"/>
      <c r="AA435" s="45"/>
    </row>
    <row r="436" spans="1:27" ht="13">
      <c r="A436" s="54">
        <v>2023</v>
      </c>
      <c r="B436" s="490">
        <v>45225</v>
      </c>
      <c r="C436" s="354" t="s">
        <v>481</v>
      </c>
      <c r="D436" s="354" t="s">
        <v>494</v>
      </c>
      <c r="E436" s="354" t="s">
        <v>512</v>
      </c>
      <c r="F436" s="354" t="s">
        <v>574</v>
      </c>
      <c r="G436" s="355"/>
      <c r="H436" s="355"/>
      <c r="I436" s="355"/>
      <c r="J436" s="355">
        <v>1389</v>
      </c>
      <c r="K436" s="355">
        <v>1389</v>
      </c>
      <c r="L436" s="355"/>
      <c r="M436" s="354"/>
      <c r="N436" s="45"/>
      <c r="O436" s="59"/>
      <c r="P436" s="59"/>
      <c r="Q436" s="45"/>
      <c r="R436" s="45"/>
      <c r="S436" s="59"/>
      <c r="T436" s="68"/>
      <c r="U436" s="45"/>
      <c r="V436" s="45"/>
      <c r="W436" s="45"/>
      <c r="X436" s="45"/>
      <c r="Y436" s="45"/>
      <c r="Z436" s="45"/>
      <c r="AA436" s="45"/>
    </row>
    <row r="437" spans="1:27" ht="13">
      <c r="A437" s="54">
        <v>2023</v>
      </c>
      <c r="B437" s="490">
        <v>45226</v>
      </c>
      <c r="C437" s="354" t="s">
        <v>481</v>
      </c>
      <c r="D437" s="354" t="s">
        <v>493</v>
      </c>
      <c r="E437" s="354" t="s">
        <v>479</v>
      </c>
      <c r="F437" s="354" t="s">
        <v>480</v>
      </c>
      <c r="G437" s="355"/>
      <c r="H437" s="355">
        <v>25</v>
      </c>
      <c r="I437" s="355">
        <v>25</v>
      </c>
      <c r="J437" s="355"/>
      <c r="K437" s="355"/>
      <c r="L437" s="355"/>
      <c r="M437" s="354"/>
      <c r="N437" s="45"/>
      <c r="O437" s="59"/>
      <c r="P437" s="59"/>
      <c r="Q437" s="45"/>
      <c r="R437" s="45"/>
      <c r="S437" s="59"/>
      <c r="T437" s="68"/>
      <c r="U437" s="45"/>
      <c r="V437" s="45"/>
      <c r="W437" s="45"/>
      <c r="X437" s="45"/>
      <c r="Y437" s="45"/>
      <c r="Z437" s="45"/>
      <c r="AA437" s="45"/>
    </row>
    <row r="438" spans="1:27" ht="13">
      <c r="A438" s="54">
        <v>2023</v>
      </c>
      <c r="B438" s="490">
        <v>45226</v>
      </c>
      <c r="C438" s="354" t="s">
        <v>481</v>
      </c>
      <c r="D438" s="354" t="s">
        <v>493</v>
      </c>
      <c r="E438" s="354" t="s">
        <v>652</v>
      </c>
      <c r="F438" s="354" t="s">
        <v>653</v>
      </c>
      <c r="G438" s="355"/>
      <c r="H438" s="355"/>
      <c r="I438" s="355"/>
      <c r="J438" s="355">
        <v>7233</v>
      </c>
      <c r="K438" s="355">
        <f>J438-L438</f>
        <v>5928.7</v>
      </c>
      <c r="L438" s="355">
        <v>1304.3</v>
      </c>
      <c r="M438" s="354"/>
      <c r="N438" s="45"/>
      <c r="Q438" s="45"/>
      <c r="R438" s="45"/>
      <c r="U438" s="45"/>
      <c r="V438" s="45"/>
      <c r="W438" s="45"/>
      <c r="X438" s="45"/>
      <c r="Y438" s="45"/>
      <c r="Z438" s="45"/>
      <c r="AA438" s="45"/>
    </row>
    <row r="439" spans="1:27" ht="13">
      <c r="A439" s="54">
        <v>2023</v>
      </c>
      <c r="B439" s="490">
        <v>45230</v>
      </c>
      <c r="C439" s="354" t="s">
        <v>481</v>
      </c>
      <c r="D439" s="354" t="s">
        <v>554</v>
      </c>
      <c r="E439" s="354" t="s">
        <v>458</v>
      </c>
      <c r="F439" s="354" t="s">
        <v>459</v>
      </c>
      <c r="G439" s="355"/>
      <c r="H439" s="355">
        <v>4636</v>
      </c>
      <c r="I439" s="355">
        <v>3800</v>
      </c>
      <c r="J439" s="355"/>
      <c r="K439" s="355"/>
      <c r="L439" s="355">
        <f>836*M439</f>
        <v>33399.871999999996</v>
      </c>
      <c r="M439" s="354">
        <v>39.951999999999998</v>
      </c>
      <c r="N439" s="45"/>
      <c r="Q439" s="45"/>
      <c r="R439" s="45"/>
      <c r="U439" s="45"/>
      <c r="V439" s="45"/>
      <c r="W439" s="45"/>
      <c r="X439" s="45"/>
      <c r="Y439" s="45"/>
      <c r="Z439" s="45"/>
      <c r="AA439" s="45"/>
    </row>
    <row r="440" spans="1:27" ht="13">
      <c r="A440" s="54">
        <v>2023</v>
      </c>
      <c r="B440" s="490">
        <v>45230</v>
      </c>
      <c r="C440" s="354" t="s">
        <v>481</v>
      </c>
      <c r="D440" s="354" t="s">
        <v>482</v>
      </c>
      <c r="E440" s="354" t="s">
        <v>133</v>
      </c>
      <c r="F440" s="354" t="s">
        <v>459</v>
      </c>
      <c r="G440" s="355"/>
      <c r="H440" s="355">
        <v>5957.14</v>
      </c>
      <c r="I440" s="355">
        <v>4882.8999999999996</v>
      </c>
      <c r="J440" s="355"/>
      <c r="K440" s="355"/>
      <c r="L440" s="355">
        <f>1074.24*M440</f>
        <v>42918.036479999995</v>
      </c>
      <c r="M440" s="354">
        <v>39.951999999999998</v>
      </c>
      <c r="N440" s="45"/>
      <c r="Q440" s="45"/>
      <c r="R440" s="45"/>
      <c r="U440" s="45"/>
      <c r="V440" s="45"/>
      <c r="W440" s="45"/>
      <c r="X440" s="45"/>
      <c r="Y440" s="45"/>
      <c r="Z440" s="45"/>
      <c r="AA440" s="45"/>
    </row>
    <row r="441" spans="1:27" ht="13">
      <c r="A441" s="54">
        <v>2023</v>
      </c>
      <c r="B441" s="490">
        <v>45230</v>
      </c>
      <c r="C441" s="354" t="s">
        <v>481</v>
      </c>
      <c r="D441" s="354" t="s">
        <v>482</v>
      </c>
      <c r="E441" s="354" t="s">
        <v>460</v>
      </c>
      <c r="F441" s="354" t="s">
        <v>459</v>
      </c>
      <c r="G441" s="355"/>
      <c r="H441" s="355">
        <v>3660</v>
      </c>
      <c r="I441" s="355">
        <v>3000</v>
      </c>
      <c r="J441" s="355"/>
      <c r="K441" s="355"/>
      <c r="L441" s="355">
        <f>660*M441</f>
        <v>26368.32</v>
      </c>
      <c r="M441" s="354">
        <v>39.951999999999998</v>
      </c>
      <c r="N441" s="45"/>
      <c r="Q441" s="45"/>
      <c r="R441" s="45"/>
      <c r="U441" s="45"/>
      <c r="V441" s="45"/>
      <c r="W441" s="45"/>
      <c r="X441" s="45"/>
      <c r="Y441" s="45"/>
      <c r="Z441" s="45"/>
      <c r="AA441" s="45"/>
    </row>
    <row r="442" spans="1:27" ht="13">
      <c r="A442" s="54">
        <v>2023</v>
      </c>
      <c r="B442" s="490">
        <v>45230</v>
      </c>
      <c r="C442" s="354" t="s">
        <v>481</v>
      </c>
      <c r="D442" s="354" t="s">
        <v>489</v>
      </c>
      <c r="E442" s="354" t="s">
        <v>463</v>
      </c>
      <c r="F442" s="354" t="s">
        <v>464</v>
      </c>
      <c r="G442" s="355"/>
      <c r="H442" s="355"/>
      <c r="I442" s="355"/>
      <c r="J442" s="355">
        <v>6600</v>
      </c>
      <c r="K442" s="355">
        <f>J442-L442</f>
        <v>5409.84</v>
      </c>
      <c r="L442" s="355">
        <v>1190.1600000000001</v>
      </c>
      <c r="M442" s="354"/>
      <c r="N442" s="45"/>
      <c r="Q442" s="45"/>
      <c r="R442" s="45"/>
      <c r="U442" s="45"/>
      <c r="V442" s="45"/>
      <c r="W442" s="45"/>
      <c r="X442" s="45"/>
      <c r="Y442" s="45"/>
      <c r="Z442" s="45"/>
      <c r="AA442" s="45"/>
    </row>
    <row r="443" spans="1:27" ht="13">
      <c r="A443" s="54">
        <v>2023</v>
      </c>
      <c r="B443" s="490">
        <v>45230</v>
      </c>
      <c r="C443" s="354" t="s">
        <v>481</v>
      </c>
      <c r="D443" s="354" t="s">
        <v>493</v>
      </c>
      <c r="E443" s="354" t="s">
        <v>63</v>
      </c>
      <c r="F443" s="354" t="s">
        <v>539</v>
      </c>
      <c r="G443" s="355"/>
      <c r="H443" s="355"/>
      <c r="I443" s="355"/>
      <c r="J443" s="355">
        <v>784.97</v>
      </c>
      <c r="K443" s="355">
        <v>784.97</v>
      </c>
      <c r="L443" s="355"/>
      <c r="M443" s="354"/>
      <c r="N443" s="45"/>
      <c r="Q443" s="45"/>
      <c r="R443" s="45"/>
      <c r="U443" s="45"/>
      <c r="V443" s="45"/>
      <c r="W443" s="45"/>
      <c r="X443" s="45"/>
      <c r="Y443" s="45"/>
      <c r="Z443" s="45"/>
      <c r="AA443" s="45"/>
    </row>
    <row r="444" spans="1:27" ht="13">
      <c r="A444" s="54">
        <v>2023</v>
      </c>
      <c r="B444" s="490">
        <v>45230</v>
      </c>
      <c r="C444" s="354" t="s">
        <v>481</v>
      </c>
      <c r="D444" s="354" t="s">
        <v>493</v>
      </c>
      <c r="E444" s="354" t="s">
        <v>63</v>
      </c>
      <c r="F444" s="354" t="s">
        <v>480</v>
      </c>
      <c r="G444" s="355"/>
      <c r="H444" s="355"/>
      <c r="I444" s="355"/>
      <c r="J444" s="355">
        <v>39.39</v>
      </c>
      <c r="K444" s="355">
        <v>39.39</v>
      </c>
      <c r="L444" s="355"/>
      <c r="M444" s="354"/>
      <c r="N444" s="45"/>
      <c r="Q444" s="45"/>
      <c r="R444" s="45"/>
      <c r="U444" s="45"/>
      <c r="V444" s="45"/>
      <c r="W444" s="45"/>
      <c r="X444" s="45"/>
      <c r="Y444" s="45"/>
      <c r="Z444" s="45"/>
      <c r="AA444" s="45"/>
    </row>
    <row r="445" spans="1:27" ht="13">
      <c r="A445" s="54">
        <v>2023</v>
      </c>
      <c r="B445" s="490">
        <v>45230</v>
      </c>
      <c r="C445" s="354" t="s">
        <v>474</v>
      </c>
      <c r="D445" s="354" t="s">
        <v>482</v>
      </c>
      <c r="E445" s="354" t="s">
        <v>483</v>
      </c>
      <c r="F445" s="354" t="s">
        <v>459</v>
      </c>
      <c r="G445" s="355"/>
      <c r="H445" s="355">
        <v>1200</v>
      </c>
      <c r="I445" s="355">
        <v>1200</v>
      </c>
      <c r="J445" s="355"/>
      <c r="K445" s="355"/>
      <c r="L445" s="355"/>
      <c r="M445" s="354"/>
      <c r="N445" s="45"/>
      <c r="Q445" s="45"/>
      <c r="R445" s="45"/>
      <c r="U445" s="45"/>
      <c r="V445" s="45"/>
      <c r="W445" s="45"/>
      <c r="X445" s="45"/>
      <c r="Y445" s="45"/>
      <c r="Z445" s="45"/>
      <c r="AA445" s="45"/>
    </row>
    <row r="446" spans="1:27" ht="13">
      <c r="A446" s="54">
        <v>2023</v>
      </c>
      <c r="B446" s="490">
        <v>45230</v>
      </c>
      <c r="C446" s="354" t="s">
        <v>474</v>
      </c>
      <c r="D446" s="354" t="s">
        <v>482</v>
      </c>
      <c r="E446" s="354" t="s">
        <v>535</v>
      </c>
      <c r="F446" s="354" t="s">
        <v>459</v>
      </c>
      <c r="G446" s="355"/>
      <c r="H446" s="355">
        <v>1200</v>
      </c>
      <c r="I446" s="355">
        <v>1200</v>
      </c>
      <c r="J446" s="355"/>
      <c r="K446" s="355"/>
      <c r="L446" s="355"/>
      <c r="M446" s="354"/>
      <c r="N446" s="45"/>
      <c r="Q446" s="45"/>
      <c r="R446" s="45"/>
      <c r="U446" s="45"/>
      <c r="V446" s="45"/>
      <c r="W446" s="45"/>
      <c r="X446" s="45"/>
      <c r="Y446" s="45"/>
      <c r="Z446" s="45"/>
      <c r="AA446" s="45"/>
    </row>
    <row r="447" spans="1:27" ht="13">
      <c r="A447" s="54">
        <v>2023</v>
      </c>
      <c r="B447" s="490">
        <v>45230</v>
      </c>
      <c r="C447" s="354" t="s">
        <v>474</v>
      </c>
      <c r="D447" s="354" t="s">
        <v>482</v>
      </c>
      <c r="E447" s="354" t="s">
        <v>541</v>
      </c>
      <c r="F447" s="354" t="s">
        <v>459</v>
      </c>
      <c r="G447" s="355"/>
      <c r="H447" s="355">
        <v>1200</v>
      </c>
      <c r="I447" s="355">
        <v>1200</v>
      </c>
      <c r="J447" s="355"/>
      <c r="K447" s="355"/>
      <c r="L447" s="355"/>
      <c r="M447" s="354"/>
      <c r="N447" s="45"/>
      <c r="Q447" s="45"/>
      <c r="R447" s="45"/>
      <c r="U447" s="45"/>
      <c r="V447" s="45"/>
      <c r="W447" s="45"/>
      <c r="X447" s="45"/>
      <c r="Y447" s="45"/>
      <c r="Z447" s="45"/>
      <c r="AA447" s="45"/>
    </row>
    <row r="448" spans="1:27" ht="13">
      <c r="A448" s="54">
        <v>2023</v>
      </c>
      <c r="B448" s="490">
        <v>45230</v>
      </c>
      <c r="C448" s="354" t="s">
        <v>474</v>
      </c>
      <c r="D448" s="354" t="s">
        <v>482</v>
      </c>
      <c r="E448" s="354" t="s">
        <v>537</v>
      </c>
      <c r="F448" s="354" t="s">
        <v>459</v>
      </c>
      <c r="G448" s="355"/>
      <c r="H448" s="355">
        <v>900</v>
      </c>
      <c r="I448" s="355">
        <v>900</v>
      </c>
      <c r="J448" s="355"/>
      <c r="K448" s="355"/>
      <c r="L448" s="355"/>
      <c r="M448" s="354"/>
      <c r="N448" s="45"/>
      <c r="Q448" s="45"/>
      <c r="R448" s="45"/>
      <c r="U448" s="45"/>
      <c r="V448" s="45"/>
      <c r="W448" s="45"/>
      <c r="X448" s="45"/>
      <c r="Y448" s="45"/>
      <c r="Z448" s="45"/>
      <c r="AA448" s="45"/>
    </row>
    <row r="449" spans="1:27" ht="13">
      <c r="A449" s="54">
        <v>2023</v>
      </c>
      <c r="B449" s="490">
        <v>45230</v>
      </c>
      <c r="C449" s="354" t="s">
        <v>474</v>
      </c>
      <c r="D449" s="354" t="s">
        <v>554</v>
      </c>
      <c r="E449" s="354" t="s">
        <v>540</v>
      </c>
      <c r="F449" s="354" t="s">
        <v>459</v>
      </c>
      <c r="G449" s="355"/>
      <c r="H449" s="355">
        <v>1200</v>
      </c>
      <c r="I449" s="355">
        <v>1200</v>
      </c>
      <c r="J449" s="355"/>
      <c r="K449" s="355"/>
      <c r="L449" s="355"/>
      <c r="M449" s="354"/>
      <c r="N449" s="45"/>
      <c r="Q449" s="45"/>
      <c r="R449" s="45"/>
      <c r="U449" s="45"/>
      <c r="V449" s="45"/>
      <c r="W449" s="45"/>
      <c r="X449" s="45"/>
      <c r="Y449" s="45"/>
      <c r="Z449" s="45"/>
      <c r="AA449" s="45"/>
    </row>
    <row r="450" spans="1:27" ht="13">
      <c r="A450" s="54">
        <v>2023</v>
      </c>
      <c r="B450" s="490">
        <v>45230</v>
      </c>
      <c r="C450" s="354" t="s">
        <v>474</v>
      </c>
      <c r="D450" s="354" t="s">
        <v>478</v>
      </c>
      <c r="E450" s="354" t="s">
        <v>479</v>
      </c>
      <c r="F450" s="354" t="s">
        <v>547</v>
      </c>
      <c r="G450" s="355"/>
      <c r="H450" s="355">
        <f t="shared" ref="H450:I450" si="11">(20*5)+(40*5)</f>
        <v>300</v>
      </c>
      <c r="I450" s="355">
        <f t="shared" si="11"/>
        <v>300</v>
      </c>
      <c r="J450" s="355"/>
      <c r="K450" s="355"/>
      <c r="L450" s="355"/>
      <c r="M450" s="354"/>
      <c r="N450" s="45"/>
      <c r="O450" s="59"/>
      <c r="P450" s="59"/>
      <c r="Q450" s="45"/>
      <c r="R450" s="45"/>
      <c r="S450" s="59"/>
      <c r="T450" s="68"/>
      <c r="U450" s="45"/>
      <c r="V450" s="45"/>
      <c r="W450" s="45"/>
      <c r="X450" s="45"/>
      <c r="Y450" s="45"/>
      <c r="Z450" s="45"/>
      <c r="AA450" s="45"/>
    </row>
    <row r="451" spans="1:27" ht="13">
      <c r="A451" s="54">
        <v>2023</v>
      </c>
      <c r="B451" s="490">
        <v>45230</v>
      </c>
      <c r="C451" s="354" t="s">
        <v>481</v>
      </c>
      <c r="D451" s="354" t="s">
        <v>484</v>
      </c>
      <c r="E451" s="354" t="s">
        <v>644</v>
      </c>
      <c r="F451" s="354" t="s">
        <v>488</v>
      </c>
      <c r="G451" s="354"/>
      <c r="H451" s="355"/>
      <c r="I451" s="355"/>
      <c r="J451" s="355">
        <v>60587</v>
      </c>
      <c r="K451" s="355">
        <v>60587</v>
      </c>
      <c r="L451" s="355"/>
      <c r="M451" s="354"/>
      <c r="N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 spans="1:27" ht="13">
      <c r="A452" s="54">
        <v>2023</v>
      </c>
      <c r="B452" s="490">
        <v>45230</v>
      </c>
      <c r="C452" s="354" t="s">
        <v>481</v>
      </c>
      <c r="D452" s="354" t="s">
        <v>484</v>
      </c>
      <c r="E452" s="354" t="s">
        <v>632</v>
      </c>
      <c r="F452" s="354" t="s">
        <v>488</v>
      </c>
      <c r="G452" s="354"/>
      <c r="H452" s="355"/>
      <c r="I452" s="355"/>
      <c r="J452" s="355">
        <v>105000</v>
      </c>
      <c r="K452" s="355">
        <v>105000</v>
      </c>
      <c r="L452" s="355"/>
      <c r="M452" s="354"/>
      <c r="N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 spans="1:27" ht="13">
      <c r="A453" s="54">
        <v>2023</v>
      </c>
      <c r="B453" s="490">
        <v>45230</v>
      </c>
      <c r="C453" s="354" t="s">
        <v>481</v>
      </c>
      <c r="D453" s="354" t="s">
        <v>491</v>
      </c>
      <c r="E453" s="354" t="s">
        <v>638</v>
      </c>
      <c r="F453" s="354" t="s">
        <v>576</v>
      </c>
      <c r="G453" s="355"/>
      <c r="H453" s="355">
        <v>206.74</v>
      </c>
      <c r="I453" s="355">
        <v>206.74</v>
      </c>
      <c r="J453" s="355"/>
      <c r="K453" s="355"/>
      <c r="L453" s="355"/>
      <c r="M453" s="354"/>
      <c r="N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 spans="1:27" ht="13">
      <c r="A454" s="54">
        <v>2023</v>
      </c>
      <c r="B454" s="490">
        <v>45230</v>
      </c>
      <c r="C454" s="354" t="s">
        <v>481</v>
      </c>
      <c r="D454" s="354" t="s">
        <v>491</v>
      </c>
      <c r="E454" s="354" t="s">
        <v>548</v>
      </c>
      <c r="F454" s="354" t="s">
        <v>549</v>
      </c>
      <c r="G454" s="355"/>
      <c r="H454" s="355">
        <v>49.2</v>
      </c>
      <c r="I454" s="355">
        <v>49.2</v>
      </c>
      <c r="J454" s="355"/>
      <c r="K454" s="355"/>
      <c r="L454" s="355"/>
      <c r="M454" s="354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 spans="1:27" ht="13">
      <c r="A455" s="54">
        <v>2023</v>
      </c>
      <c r="B455" s="490">
        <v>45230</v>
      </c>
      <c r="C455" s="354" t="s">
        <v>481</v>
      </c>
      <c r="D455" s="354" t="s">
        <v>491</v>
      </c>
      <c r="E455" s="354" t="s">
        <v>601</v>
      </c>
      <c r="F455" s="354" t="s">
        <v>576</v>
      </c>
      <c r="G455" s="355"/>
      <c r="H455" s="355">
        <v>105.54</v>
      </c>
      <c r="I455" s="355">
        <v>105.54</v>
      </c>
      <c r="J455" s="355"/>
      <c r="K455" s="355"/>
      <c r="L455" s="355"/>
      <c r="M455" s="354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 spans="1:27" ht="13">
      <c r="A456" s="54">
        <v>2023</v>
      </c>
      <c r="B456" s="490">
        <v>45230</v>
      </c>
      <c r="C456" s="354" t="s">
        <v>481</v>
      </c>
      <c r="D456" s="354" t="s">
        <v>491</v>
      </c>
      <c r="E456" s="354" t="s">
        <v>498</v>
      </c>
      <c r="F456" s="354" t="s">
        <v>576</v>
      </c>
      <c r="G456" s="355"/>
      <c r="H456" s="355">
        <v>8.77</v>
      </c>
      <c r="I456" s="355">
        <v>8.77</v>
      </c>
      <c r="J456" s="355"/>
      <c r="K456" s="355"/>
      <c r="L456" s="355"/>
      <c r="M456" s="354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 spans="1:27" ht="13">
      <c r="A457" s="54">
        <v>2023</v>
      </c>
      <c r="B457" s="490">
        <v>45230</v>
      </c>
      <c r="C457" s="354" t="s">
        <v>481</v>
      </c>
      <c r="D457" s="354" t="s">
        <v>491</v>
      </c>
      <c r="E457" s="354" t="s">
        <v>592</v>
      </c>
      <c r="F457" s="354" t="s">
        <v>576</v>
      </c>
      <c r="G457" s="355"/>
      <c r="H457" s="355">
        <v>40</v>
      </c>
      <c r="I457" s="355">
        <v>40</v>
      </c>
      <c r="J457" s="355"/>
      <c r="K457" s="355"/>
      <c r="L457" s="355"/>
      <c r="M457" s="354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 spans="1:27" ht="13">
      <c r="A458" s="54">
        <v>2023</v>
      </c>
      <c r="B458" s="490">
        <v>45230</v>
      </c>
      <c r="C458" s="354" t="s">
        <v>481</v>
      </c>
      <c r="D458" s="354" t="s">
        <v>491</v>
      </c>
      <c r="E458" s="354" t="s">
        <v>602</v>
      </c>
      <c r="F458" s="354" t="s">
        <v>576</v>
      </c>
      <c r="G458" s="355"/>
      <c r="H458" s="355">
        <v>843.44</v>
      </c>
      <c r="I458" s="355">
        <v>843.44</v>
      </c>
      <c r="J458" s="355"/>
      <c r="K458" s="355"/>
      <c r="L458" s="355"/>
      <c r="M458" s="354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 spans="1:27" ht="13">
      <c r="A459" s="54">
        <v>2023</v>
      </c>
      <c r="B459" s="490">
        <v>45230</v>
      </c>
      <c r="C459" s="354" t="s">
        <v>481</v>
      </c>
      <c r="D459" s="354" t="s">
        <v>491</v>
      </c>
      <c r="E459" s="354" t="s">
        <v>532</v>
      </c>
      <c r="F459" s="354" t="s">
        <v>576</v>
      </c>
      <c r="G459" s="355"/>
      <c r="H459" s="355">
        <v>15</v>
      </c>
      <c r="I459" s="355">
        <v>15</v>
      </c>
      <c r="J459" s="355"/>
      <c r="K459" s="355"/>
      <c r="L459" s="355"/>
      <c r="M459" s="354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 spans="1:27" ht="13">
      <c r="A460" s="54">
        <v>2023</v>
      </c>
      <c r="B460" s="490">
        <v>45230</v>
      </c>
      <c r="C460" s="354" t="s">
        <v>481</v>
      </c>
      <c r="D460" s="354" t="s">
        <v>491</v>
      </c>
      <c r="E460" s="483" t="s">
        <v>591</v>
      </c>
      <c r="F460" s="481" t="s">
        <v>576</v>
      </c>
      <c r="G460" s="355"/>
      <c r="H460" s="355">
        <v>20</v>
      </c>
      <c r="I460" s="355">
        <v>20</v>
      </c>
      <c r="J460" s="355"/>
      <c r="K460" s="355"/>
      <c r="L460" s="355"/>
      <c r="M460" s="354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 spans="1:27" ht="13">
      <c r="A461" s="54">
        <v>2023</v>
      </c>
      <c r="B461" s="490">
        <v>45230</v>
      </c>
      <c r="C461" s="354" t="s">
        <v>481</v>
      </c>
      <c r="D461" s="354" t="s">
        <v>491</v>
      </c>
      <c r="E461" s="483" t="s">
        <v>639</v>
      </c>
      <c r="F461" s="481" t="s">
        <v>576</v>
      </c>
      <c r="G461" s="355"/>
      <c r="H461" s="355">
        <v>15</v>
      </c>
      <c r="I461" s="355">
        <v>15</v>
      </c>
      <c r="J461" s="355"/>
      <c r="K461" s="355"/>
      <c r="L461" s="355"/>
      <c r="M461" s="354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 spans="1:27" ht="13">
      <c r="A462" s="54">
        <v>2023</v>
      </c>
      <c r="B462" s="490">
        <v>45230</v>
      </c>
      <c r="C462" s="354" t="s">
        <v>481</v>
      </c>
      <c r="D462" s="354" t="s">
        <v>491</v>
      </c>
      <c r="E462" s="483" t="s">
        <v>640</v>
      </c>
      <c r="F462" s="481" t="s">
        <v>576</v>
      </c>
      <c r="G462" s="355"/>
      <c r="H462" s="355">
        <v>6.49</v>
      </c>
      <c r="I462" s="355">
        <v>6.49</v>
      </c>
      <c r="J462" s="355"/>
      <c r="K462" s="355"/>
      <c r="L462" s="355"/>
      <c r="M462" s="354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 spans="1:27" ht="13">
      <c r="A463" s="54">
        <v>2023</v>
      </c>
      <c r="B463" s="490">
        <v>45230</v>
      </c>
      <c r="C463" s="354" t="s">
        <v>481</v>
      </c>
      <c r="D463" s="354" t="s">
        <v>491</v>
      </c>
      <c r="E463" s="483" t="s">
        <v>534</v>
      </c>
      <c r="F463" s="481" t="s">
        <v>576</v>
      </c>
      <c r="G463" s="354"/>
      <c r="H463" s="355">
        <v>15.99</v>
      </c>
      <c r="I463" s="355">
        <v>15.99</v>
      </c>
      <c r="J463" s="355"/>
      <c r="K463" s="355"/>
      <c r="L463" s="355"/>
      <c r="M463" s="354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 spans="1:27" ht="13">
      <c r="A464" s="54">
        <v>2023</v>
      </c>
      <c r="B464" s="490">
        <v>45230</v>
      </c>
      <c r="C464" s="354" t="s">
        <v>481</v>
      </c>
      <c r="D464" s="354" t="s">
        <v>491</v>
      </c>
      <c r="E464" s="483" t="s">
        <v>633</v>
      </c>
      <c r="F464" s="481" t="s">
        <v>576</v>
      </c>
      <c r="G464" s="354"/>
      <c r="H464" s="355">
        <v>45.36</v>
      </c>
      <c r="I464" s="355">
        <v>45.36</v>
      </c>
      <c r="J464" s="355"/>
      <c r="K464" s="355"/>
      <c r="L464" s="355"/>
      <c r="M464" s="354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 spans="1:27" ht="13">
      <c r="A465" s="54">
        <v>2023</v>
      </c>
      <c r="B465" s="490">
        <v>45230</v>
      </c>
      <c r="C465" s="354" t="s">
        <v>481</v>
      </c>
      <c r="D465" s="354" t="s">
        <v>491</v>
      </c>
      <c r="E465" s="493" t="s">
        <v>654</v>
      </c>
      <c r="F465" s="354" t="s">
        <v>576</v>
      </c>
      <c r="G465" s="354"/>
      <c r="H465" s="355">
        <v>20</v>
      </c>
      <c r="I465" s="355">
        <v>20</v>
      </c>
      <c r="J465" s="355"/>
      <c r="K465" s="355"/>
      <c r="L465" s="355"/>
      <c r="M465" s="354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 spans="1:27" ht="13">
      <c r="A466" s="54">
        <v>2023</v>
      </c>
      <c r="B466" s="472">
        <v>45231</v>
      </c>
      <c r="C466" s="473" t="s">
        <v>474</v>
      </c>
      <c r="D466" s="473" t="s">
        <v>551</v>
      </c>
      <c r="E466" s="473" t="s">
        <v>585</v>
      </c>
      <c r="F466" s="473" t="s">
        <v>586</v>
      </c>
      <c r="G466" s="473"/>
      <c r="H466" s="476">
        <v>992.96</v>
      </c>
      <c r="I466" s="476">
        <v>992.96</v>
      </c>
      <c r="J466" s="476"/>
      <c r="K466" s="476"/>
      <c r="L466" s="476"/>
      <c r="M466" s="476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 spans="1:27" ht="13">
      <c r="A467" s="54">
        <v>2023</v>
      </c>
      <c r="B467" s="472">
        <v>45233</v>
      </c>
      <c r="C467" s="473" t="s">
        <v>474</v>
      </c>
      <c r="D467" s="473" t="s">
        <v>551</v>
      </c>
      <c r="E467" s="473" t="s">
        <v>655</v>
      </c>
      <c r="F467" s="473" t="s">
        <v>555</v>
      </c>
      <c r="G467" s="473"/>
      <c r="H467" s="476">
        <v>136.02000000000001</v>
      </c>
      <c r="I467" s="476">
        <v>136.02000000000001</v>
      </c>
      <c r="J467" s="476"/>
      <c r="K467" s="476"/>
      <c r="L467" s="476"/>
      <c r="M467" s="476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 spans="1:27" ht="13">
      <c r="A468" s="54">
        <v>2023</v>
      </c>
      <c r="B468" s="472">
        <v>45233</v>
      </c>
      <c r="C468" s="473" t="s">
        <v>474</v>
      </c>
      <c r="D468" s="473" t="s">
        <v>551</v>
      </c>
      <c r="E468" s="473" t="s">
        <v>564</v>
      </c>
      <c r="F468" s="473" t="s">
        <v>656</v>
      </c>
      <c r="G468" s="473"/>
      <c r="H468" s="476"/>
      <c r="I468" s="476"/>
      <c r="J468" s="476">
        <v>3000</v>
      </c>
      <c r="K468" s="476">
        <v>3000</v>
      </c>
      <c r="L468" s="476"/>
      <c r="M468" s="476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 spans="1:27" ht="13">
      <c r="A469" s="54">
        <v>2023</v>
      </c>
      <c r="B469" s="472">
        <v>45235</v>
      </c>
      <c r="C469" s="473" t="s">
        <v>474</v>
      </c>
      <c r="D469" s="473" t="s">
        <v>551</v>
      </c>
      <c r="E469" s="473" t="s">
        <v>657</v>
      </c>
      <c r="F469" s="473" t="s">
        <v>594</v>
      </c>
      <c r="G469" s="473"/>
      <c r="H469" s="476">
        <v>477.33</v>
      </c>
      <c r="I469" s="476">
        <v>477.33</v>
      </c>
      <c r="J469" s="476"/>
      <c r="K469" s="476"/>
      <c r="L469" s="476"/>
      <c r="M469" s="476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 spans="1:27" ht="13">
      <c r="A470" s="54">
        <v>2023</v>
      </c>
      <c r="B470" s="472">
        <v>45236</v>
      </c>
      <c r="C470" s="473" t="s">
        <v>474</v>
      </c>
      <c r="D470" s="473" t="s">
        <v>551</v>
      </c>
      <c r="E470" s="473" t="s">
        <v>564</v>
      </c>
      <c r="F470" s="473" t="s">
        <v>658</v>
      </c>
      <c r="G470" s="473"/>
      <c r="H470" s="476">
        <f t="shared" ref="H470:I470" si="12">169.78+3</f>
        <v>172.78</v>
      </c>
      <c r="I470" s="476">
        <f t="shared" si="12"/>
        <v>172.78</v>
      </c>
      <c r="J470" s="476"/>
      <c r="K470" s="476"/>
      <c r="L470" s="476"/>
      <c r="M470" s="476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 spans="1:27" ht="13">
      <c r="A471" s="54">
        <v>2023</v>
      </c>
      <c r="B471" s="472">
        <v>45236</v>
      </c>
      <c r="C471" s="473" t="s">
        <v>474</v>
      </c>
      <c r="D471" s="473" t="s">
        <v>551</v>
      </c>
      <c r="E471" s="473" t="s">
        <v>493</v>
      </c>
      <c r="F471" s="473" t="s">
        <v>560</v>
      </c>
      <c r="G471" s="473"/>
      <c r="H471" s="476">
        <v>5.09</v>
      </c>
      <c r="I471" s="476">
        <v>5.09</v>
      </c>
      <c r="J471" s="476"/>
      <c r="K471" s="476"/>
      <c r="L471" s="476"/>
      <c r="M471" s="476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 spans="1:27" ht="13">
      <c r="A472" s="54">
        <v>2023</v>
      </c>
      <c r="B472" s="472">
        <v>45236</v>
      </c>
      <c r="C472" s="473" t="s">
        <v>474</v>
      </c>
      <c r="D472" s="473" t="s">
        <v>551</v>
      </c>
      <c r="E472" s="473" t="s">
        <v>493</v>
      </c>
      <c r="F472" s="473" t="s">
        <v>560</v>
      </c>
      <c r="G472" s="473"/>
      <c r="H472" s="476">
        <v>13.74</v>
      </c>
      <c r="I472" s="476">
        <v>13.74</v>
      </c>
      <c r="J472" s="476"/>
      <c r="K472" s="476"/>
      <c r="L472" s="476"/>
      <c r="M472" s="476"/>
      <c r="N472" s="45"/>
      <c r="O472" s="469" t="s">
        <v>457</v>
      </c>
      <c r="P472" s="470"/>
      <c r="Q472" s="45"/>
      <c r="R472" s="45"/>
      <c r="S472" s="491" t="s">
        <v>583</v>
      </c>
      <c r="T472" s="492"/>
      <c r="U472" s="45"/>
      <c r="V472" s="45"/>
      <c r="W472" s="45"/>
      <c r="X472" s="45"/>
      <c r="Y472" s="45"/>
      <c r="Z472" s="45"/>
      <c r="AA472" s="45"/>
    </row>
    <row r="473" spans="1:27" ht="13">
      <c r="A473" s="54">
        <v>2023</v>
      </c>
      <c r="B473" s="472">
        <v>45236</v>
      </c>
      <c r="C473" s="473" t="s">
        <v>474</v>
      </c>
      <c r="D473" s="473" t="s">
        <v>551</v>
      </c>
      <c r="E473" s="473" t="s">
        <v>493</v>
      </c>
      <c r="F473" s="473" t="s">
        <v>560</v>
      </c>
      <c r="G473" s="473"/>
      <c r="H473" s="476">
        <v>81.78</v>
      </c>
      <c r="I473" s="476">
        <v>81.78</v>
      </c>
      <c r="J473" s="476"/>
      <c r="K473" s="476"/>
      <c r="L473" s="476"/>
      <c r="M473" s="476"/>
      <c r="N473" s="45"/>
      <c r="O473" s="470">
        <f>SUM(Facturacion!I76:I78)</f>
        <v>116293.7028</v>
      </c>
      <c r="P473" s="470"/>
      <c r="Q473" s="45"/>
      <c r="R473" s="45"/>
      <c r="S473" s="491" t="s">
        <v>411</v>
      </c>
      <c r="T473" s="470">
        <f>SUM(K466:K518)</f>
        <v>215697.28067999997</v>
      </c>
      <c r="U473" s="45"/>
      <c r="V473" s="45"/>
      <c r="W473" s="45"/>
      <c r="X473" s="45"/>
      <c r="Y473" s="45"/>
      <c r="Z473" s="45"/>
      <c r="AA473" s="45"/>
    </row>
    <row r="474" spans="1:27" ht="13">
      <c r="A474" s="54">
        <v>2023</v>
      </c>
      <c r="B474" s="472">
        <v>45236</v>
      </c>
      <c r="C474" s="473" t="s">
        <v>474</v>
      </c>
      <c r="D474" s="473" t="s">
        <v>551</v>
      </c>
      <c r="E474" s="473" t="s">
        <v>564</v>
      </c>
      <c r="F474" s="473" t="s">
        <v>658</v>
      </c>
      <c r="G474" s="473"/>
      <c r="H474" s="476">
        <f t="shared" ref="H474:I474" si="13">169.78+3</f>
        <v>172.78</v>
      </c>
      <c r="I474" s="476">
        <f t="shared" si="13"/>
        <v>172.78</v>
      </c>
      <c r="J474" s="476"/>
      <c r="K474" s="476"/>
      <c r="L474" s="476"/>
      <c r="M474" s="476"/>
      <c r="N474" s="45"/>
      <c r="O474" s="469" t="s">
        <v>461</v>
      </c>
      <c r="P474" s="469" t="s">
        <v>462</v>
      </c>
      <c r="Q474" s="45"/>
      <c r="R474" s="45"/>
      <c r="S474" s="469" t="s">
        <v>584</v>
      </c>
      <c r="T474" s="470">
        <f>SUM(I466:I518)</f>
        <v>9629.83</v>
      </c>
      <c r="U474" s="45"/>
      <c r="V474" s="45"/>
      <c r="W474" s="45"/>
      <c r="X474" s="45"/>
      <c r="Y474" s="45"/>
      <c r="Z474" s="45"/>
      <c r="AA474" s="45"/>
    </row>
    <row r="475" spans="1:27" ht="13">
      <c r="A475" s="54">
        <v>2023</v>
      </c>
      <c r="B475" s="494">
        <v>45239</v>
      </c>
      <c r="C475" s="473" t="s">
        <v>474</v>
      </c>
      <c r="D475" s="473" t="s">
        <v>551</v>
      </c>
      <c r="E475" s="473" t="s">
        <v>493</v>
      </c>
      <c r="F475" s="473" t="s">
        <v>560</v>
      </c>
      <c r="G475" s="473"/>
      <c r="H475" s="476">
        <v>86.19</v>
      </c>
      <c r="I475" s="476">
        <v>86.19</v>
      </c>
      <c r="J475" s="476"/>
      <c r="K475" s="476"/>
      <c r="L475" s="476"/>
      <c r="M475" s="476"/>
      <c r="N475" s="45"/>
      <c r="O475" s="470">
        <f>SUM(L466:L504)-P431</f>
        <v>273349.55212000001</v>
      </c>
      <c r="P475" s="470">
        <f>O473-O475</f>
        <v>-157055.84932000001</v>
      </c>
      <c r="Q475" s="45"/>
      <c r="R475" s="45"/>
      <c r="S475" s="59"/>
      <c r="T475" s="45"/>
      <c r="U475" s="45"/>
      <c r="V475" s="45"/>
      <c r="W475" s="45"/>
      <c r="X475" s="45"/>
      <c r="Y475" s="45"/>
      <c r="Z475" s="45"/>
      <c r="AA475" s="45"/>
    </row>
    <row r="476" spans="1:27" ht="13">
      <c r="A476" s="54">
        <v>2023</v>
      </c>
      <c r="B476" s="494">
        <v>45240</v>
      </c>
      <c r="C476" s="473" t="s">
        <v>474</v>
      </c>
      <c r="D476" s="473" t="s">
        <v>551</v>
      </c>
      <c r="E476" s="473" t="s">
        <v>564</v>
      </c>
      <c r="F476" s="473" t="s">
        <v>658</v>
      </c>
      <c r="G476" s="473"/>
      <c r="H476" s="476">
        <f t="shared" ref="H476:I476" si="14">114.01+3</f>
        <v>117.01</v>
      </c>
      <c r="I476" s="476">
        <f t="shared" si="14"/>
        <v>117.01</v>
      </c>
      <c r="J476" s="476"/>
      <c r="K476" s="476"/>
      <c r="L476" s="476"/>
      <c r="M476" s="476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 spans="1:27" ht="13">
      <c r="A477" s="54">
        <v>2023</v>
      </c>
      <c r="B477" s="494">
        <v>45240</v>
      </c>
      <c r="C477" s="473" t="s">
        <v>474</v>
      </c>
      <c r="D477" s="473" t="s">
        <v>551</v>
      </c>
      <c r="E477" s="473" t="s">
        <v>493</v>
      </c>
      <c r="F477" s="473" t="s">
        <v>560</v>
      </c>
      <c r="G477" s="473"/>
      <c r="H477" s="476">
        <v>13.82</v>
      </c>
      <c r="I477" s="476">
        <v>13.82</v>
      </c>
      <c r="J477" s="476"/>
      <c r="K477" s="476"/>
      <c r="L477" s="476"/>
      <c r="M477" s="476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 spans="1:27" ht="13">
      <c r="A478" s="54">
        <v>2023</v>
      </c>
      <c r="B478" s="494">
        <v>45241</v>
      </c>
      <c r="C478" s="473" t="s">
        <v>474</v>
      </c>
      <c r="D478" s="473" t="s">
        <v>551</v>
      </c>
      <c r="E478" s="473" t="s">
        <v>564</v>
      </c>
      <c r="F478" s="473" t="s">
        <v>567</v>
      </c>
      <c r="G478" s="473"/>
      <c r="H478" s="476">
        <v>2.13</v>
      </c>
      <c r="I478" s="476">
        <v>2.13</v>
      </c>
      <c r="J478" s="476"/>
      <c r="K478" s="476"/>
      <c r="L478" s="476"/>
      <c r="M478" s="476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 spans="1:27" ht="13">
      <c r="A479" s="54">
        <v>2023</v>
      </c>
      <c r="B479" s="494">
        <v>45241</v>
      </c>
      <c r="C479" s="473" t="s">
        <v>474</v>
      </c>
      <c r="D479" s="473" t="s">
        <v>551</v>
      </c>
      <c r="E479" s="473" t="s">
        <v>657</v>
      </c>
      <c r="F479" s="473" t="s">
        <v>560</v>
      </c>
      <c r="G479" s="473"/>
      <c r="H479" s="476">
        <v>49.64</v>
      </c>
      <c r="I479" s="476">
        <v>49.64</v>
      </c>
      <c r="J479" s="476"/>
      <c r="K479" s="476"/>
      <c r="L479" s="476"/>
      <c r="M479" s="476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 spans="1:27" ht="13">
      <c r="A480" s="54">
        <v>2023</v>
      </c>
      <c r="B480" s="494">
        <v>45241</v>
      </c>
      <c r="C480" s="473" t="s">
        <v>474</v>
      </c>
      <c r="D480" s="473" t="s">
        <v>551</v>
      </c>
      <c r="E480" s="473" t="s">
        <v>493</v>
      </c>
      <c r="F480" s="473" t="s">
        <v>659</v>
      </c>
      <c r="G480" s="473"/>
      <c r="H480" s="476">
        <v>4.74</v>
      </c>
      <c r="I480" s="476">
        <v>4.74</v>
      </c>
      <c r="J480" s="476"/>
      <c r="K480" s="476"/>
      <c r="L480" s="476"/>
      <c r="M480" s="476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 spans="1:27" ht="13">
      <c r="A481" s="54">
        <v>2023</v>
      </c>
      <c r="B481" s="494">
        <v>45241</v>
      </c>
      <c r="C481" s="473" t="s">
        <v>474</v>
      </c>
      <c r="D481" s="473" t="s">
        <v>551</v>
      </c>
      <c r="E481" s="473" t="s">
        <v>493</v>
      </c>
      <c r="F481" s="473" t="s">
        <v>560</v>
      </c>
      <c r="G481" s="473"/>
      <c r="H481" s="476">
        <v>15.09</v>
      </c>
      <c r="I481" s="476">
        <v>15.09</v>
      </c>
      <c r="J481" s="476"/>
      <c r="K481" s="476"/>
      <c r="L481" s="476"/>
      <c r="M481" s="476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 spans="1:27" ht="13">
      <c r="A482" s="54">
        <v>2023</v>
      </c>
      <c r="B482" s="494">
        <v>45244</v>
      </c>
      <c r="C482" s="473" t="s">
        <v>481</v>
      </c>
      <c r="D482" s="473" t="s">
        <v>493</v>
      </c>
      <c r="E482" s="473" t="s">
        <v>479</v>
      </c>
      <c r="F482" s="473" t="s">
        <v>480</v>
      </c>
      <c r="G482" s="476"/>
      <c r="H482" s="476">
        <v>25</v>
      </c>
      <c r="I482" s="476">
        <v>25</v>
      </c>
      <c r="J482" s="476"/>
      <c r="K482" s="476"/>
      <c r="L482" s="476"/>
      <c r="M482" s="476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 spans="1:27" ht="13">
      <c r="A483" s="54">
        <v>2023</v>
      </c>
      <c r="B483" s="494">
        <v>45245</v>
      </c>
      <c r="C483" s="473" t="s">
        <v>481</v>
      </c>
      <c r="D483" s="473" t="s">
        <v>493</v>
      </c>
      <c r="E483" s="473" t="s">
        <v>479</v>
      </c>
      <c r="F483" s="473" t="s">
        <v>660</v>
      </c>
      <c r="G483" s="476"/>
      <c r="H483" s="476"/>
      <c r="I483" s="476"/>
      <c r="J483" s="476">
        <v>1264</v>
      </c>
      <c r="K483" s="476">
        <v>1264</v>
      </c>
      <c r="L483" s="476"/>
      <c r="M483" s="476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 spans="1:27" ht="13">
      <c r="A484" s="54">
        <v>2023</v>
      </c>
      <c r="B484" s="494">
        <v>45248</v>
      </c>
      <c r="C484" s="473" t="s">
        <v>481</v>
      </c>
      <c r="D484" s="473" t="s">
        <v>494</v>
      </c>
      <c r="E484" s="473" t="s">
        <v>502</v>
      </c>
      <c r="F484" s="473" t="s">
        <v>543</v>
      </c>
      <c r="G484" s="476"/>
      <c r="H484" s="476"/>
      <c r="I484" s="476"/>
      <c r="J484" s="476">
        <v>28369</v>
      </c>
      <c r="K484" s="476">
        <v>28369</v>
      </c>
      <c r="L484" s="476"/>
      <c r="M484" s="476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 spans="1:27" ht="13">
      <c r="A485" s="54">
        <v>2023</v>
      </c>
      <c r="B485" s="494">
        <v>45248</v>
      </c>
      <c r="C485" s="473" t="s">
        <v>481</v>
      </c>
      <c r="D485" s="473" t="s">
        <v>494</v>
      </c>
      <c r="E485" s="473" t="s">
        <v>502</v>
      </c>
      <c r="F485" s="473" t="s">
        <v>522</v>
      </c>
      <c r="G485" s="476"/>
      <c r="H485" s="476"/>
      <c r="I485" s="476"/>
      <c r="J485" s="476">
        <v>163000</v>
      </c>
      <c r="K485" s="476">
        <v>163000</v>
      </c>
      <c r="L485" s="476"/>
      <c r="M485" s="476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 spans="1:27" ht="13">
      <c r="A486" s="54">
        <v>2023</v>
      </c>
      <c r="B486" s="494">
        <v>45248</v>
      </c>
      <c r="C486" s="473" t="s">
        <v>481</v>
      </c>
      <c r="D486" s="473" t="s">
        <v>494</v>
      </c>
      <c r="E486" s="473" t="s">
        <v>512</v>
      </c>
      <c r="F486" s="473" t="s">
        <v>528</v>
      </c>
      <c r="G486" s="476"/>
      <c r="H486" s="476"/>
      <c r="I486" s="476"/>
      <c r="J486" s="476">
        <f>P475</f>
        <v>-157055.84932000001</v>
      </c>
      <c r="K486" s="476">
        <f>P475</f>
        <v>-157055.84932000001</v>
      </c>
      <c r="L486" s="495"/>
      <c r="M486" s="476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 spans="1:27" ht="13">
      <c r="A487" s="54">
        <v>2023</v>
      </c>
      <c r="B487" s="494">
        <v>45248</v>
      </c>
      <c r="C487" s="473" t="s">
        <v>481</v>
      </c>
      <c r="D487" s="473" t="s">
        <v>494</v>
      </c>
      <c r="E487" s="473" t="s">
        <v>512</v>
      </c>
      <c r="F487" s="473" t="s">
        <v>582</v>
      </c>
      <c r="G487" s="476"/>
      <c r="H487" s="476"/>
      <c r="I487" s="476"/>
      <c r="J487" s="476">
        <v>0</v>
      </c>
      <c r="K487" s="476">
        <v>0</v>
      </c>
      <c r="L487" s="476"/>
      <c r="M487" s="476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 spans="1:27" ht="13">
      <c r="A488" s="54">
        <v>2023</v>
      </c>
      <c r="B488" s="494">
        <v>45248</v>
      </c>
      <c r="C488" s="473" t="s">
        <v>481</v>
      </c>
      <c r="D488" s="473" t="s">
        <v>494</v>
      </c>
      <c r="E488" s="473" t="s">
        <v>512</v>
      </c>
      <c r="F488" s="473" t="s">
        <v>574</v>
      </c>
      <c r="G488" s="476"/>
      <c r="H488" s="476"/>
      <c r="I488" s="476"/>
      <c r="J488" s="476">
        <v>1389</v>
      </c>
      <c r="K488" s="476">
        <v>1389</v>
      </c>
      <c r="L488" s="476"/>
      <c r="M488" s="476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 spans="1:27" ht="13">
      <c r="A489" s="54">
        <v>2023</v>
      </c>
      <c r="B489" s="494">
        <v>45248</v>
      </c>
      <c r="C489" s="473" t="s">
        <v>481</v>
      </c>
      <c r="D489" s="473" t="s">
        <v>494</v>
      </c>
      <c r="E489" s="473" t="s">
        <v>521</v>
      </c>
      <c r="F489" s="473" t="s">
        <v>544</v>
      </c>
      <c r="G489" s="476"/>
      <c r="H489" s="476"/>
      <c r="I489" s="476"/>
      <c r="J489" s="476">
        <v>2687</v>
      </c>
      <c r="K489" s="476">
        <f>J489-L489</f>
        <v>2202.38</v>
      </c>
      <c r="L489" s="476">
        <v>484.62</v>
      </c>
      <c r="M489" s="476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 spans="1:27" ht="13">
      <c r="A490" s="54">
        <v>2023</v>
      </c>
      <c r="B490" s="494">
        <v>45249</v>
      </c>
      <c r="C490" s="473" t="s">
        <v>481</v>
      </c>
      <c r="D490" s="473" t="s">
        <v>493</v>
      </c>
      <c r="E490" s="473" t="s">
        <v>63</v>
      </c>
      <c r="F490" s="473" t="s">
        <v>480</v>
      </c>
      <c r="G490" s="476"/>
      <c r="H490" s="476"/>
      <c r="I490" s="476"/>
      <c r="J490" s="476">
        <v>1.9</v>
      </c>
      <c r="K490" s="476">
        <v>1.9</v>
      </c>
      <c r="L490" s="476"/>
      <c r="M490" s="476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 spans="1:27" ht="13">
      <c r="A491" s="54">
        <v>2023</v>
      </c>
      <c r="B491" s="494">
        <v>45257</v>
      </c>
      <c r="C491" s="473" t="s">
        <v>481</v>
      </c>
      <c r="D491" s="473" t="s">
        <v>493</v>
      </c>
      <c r="E491" s="473" t="s">
        <v>479</v>
      </c>
      <c r="F491" s="473" t="s">
        <v>661</v>
      </c>
      <c r="G491" s="476"/>
      <c r="H491" s="476"/>
      <c r="I491" s="476"/>
      <c r="J491" s="476">
        <v>2075.02</v>
      </c>
      <c r="K491" s="476">
        <f>J491-L491</f>
        <v>1700.84</v>
      </c>
      <c r="L491" s="476">
        <v>374.18</v>
      </c>
      <c r="M491" s="476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 spans="1:27" ht="13">
      <c r="A492" s="54">
        <v>2023</v>
      </c>
      <c r="B492" s="494">
        <v>45259</v>
      </c>
      <c r="C492" s="473" t="s">
        <v>481</v>
      </c>
      <c r="D492" s="473" t="s">
        <v>493</v>
      </c>
      <c r="E492" s="473" t="s">
        <v>63</v>
      </c>
      <c r="F492" s="473" t="s">
        <v>480</v>
      </c>
      <c r="G492" s="476"/>
      <c r="H492" s="476">
        <v>1.9</v>
      </c>
      <c r="I492" s="476">
        <v>1.9</v>
      </c>
      <c r="J492" s="476"/>
      <c r="K492" s="476"/>
      <c r="L492" s="476"/>
      <c r="M492" s="476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 spans="1:27" ht="13">
      <c r="A493" s="54">
        <v>2023</v>
      </c>
      <c r="B493" s="494">
        <v>45260</v>
      </c>
      <c r="C493" s="473" t="s">
        <v>474</v>
      </c>
      <c r="D493" s="473" t="s">
        <v>482</v>
      </c>
      <c r="E493" s="473" t="s">
        <v>483</v>
      </c>
      <c r="F493" s="473" t="s">
        <v>459</v>
      </c>
      <c r="G493" s="476"/>
      <c r="H493" s="476">
        <v>1056</v>
      </c>
      <c r="I493" s="476">
        <v>1056</v>
      </c>
      <c r="J493" s="476"/>
      <c r="K493" s="476"/>
      <c r="L493" s="476"/>
      <c r="M493" s="476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 spans="1:27" ht="13">
      <c r="A494" s="54">
        <v>2023</v>
      </c>
      <c r="B494" s="494">
        <v>45260</v>
      </c>
      <c r="C494" s="473" t="s">
        <v>474</v>
      </c>
      <c r="D494" s="473" t="s">
        <v>482</v>
      </c>
      <c r="E494" s="473" t="s">
        <v>535</v>
      </c>
      <c r="F494" s="473" t="s">
        <v>459</v>
      </c>
      <c r="G494" s="476"/>
      <c r="H494" s="476">
        <v>1056</v>
      </c>
      <c r="I494" s="476">
        <v>1056</v>
      </c>
      <c r="J494" s="476"/>
      <c r="K494" s="476"/>
      <c r="L494" s="476"/>
      <c r="M494" s="476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 spans="1:27" ht="13">
      <c r="A495" s="54">
        <v>2023</v>
      </c>
      <c r="B495" s="494">
        <v>45260</v>
      </c>
      <c r="C495" s="473" t="s">
        <v>474</v>
      </c>
      <c r="D495" s="473" t="s">
        <v>482</v>
      </c>
      <c r="E495" s="473" t="s">
        <v>541</v>
      </c>
      <c r="F495" s="473" t="s">
        <v>459</v>
      </c>
      <c r="G495" s="476"/>
      <c r="H495" s="476">
        <v>1056</v>
      </c>
      <c r="I495" s="476">
        <v>1056</v>
      </c>
      <c r="J495" s="476"/>
      <c r="K495" s="476"/>
      <c r="L495" s="476"/>
      <c r="M495" s="476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 spans="1:27" ht="13">
      <c r="A496" s="54">
        <v>2023</v>
      </c>
      <c r="B496" s="494">
        <v>45260</v>
      </c>
      <c r="C496" s="473" t="s">
        <v>474</v>
      </c>
      <c r="D496" s="473" t="s">
        <v>482</v>
      </c>
      <c r="E496" s="473" t="s">
        <v>537</v>
      </c>
      <c r="F496" s="473" t="s">
        <v>459</v>
      </c>
      <c r="G496" s="476"/>
      <c r="H496" s="476">
        <v>792</v>
      </c>
      <c r="I496" s="476">
        <v>792</v>
      </c>
      <c r="J496" s="476"/>
      <c r="K496" s="476"/>
      <c r="L496" s="476"/>
      <c r="M496" s="476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 spans="1:27" ht="13">
      <c r="A497" s="54">
        <v>2023</v>
      </c>
      <c r="B497" s="494">
        <v>45260</v>
      </c>
      <c r="C497" s="473" t="s">
        <v>474</v>
      </c>
      <c r="D497" s="473" t="s">
        <v>554</v>
      </c>
      <c r="E497" s="473" t="s">
        <v>540</v>
      </c>
      <c r="F497" s="473" t="s">
        <v>459</v>
      </c>
      <c r="G497" s="476"/>
      <c r="H497" s="476">
        <v>1056</v>
      </c>
      <c r="I497" s="476">
        <v>1056</v>
      </c>
      <c r="J497" s="476"/>
      <c r="K497" s="476"/>
      <c r="L497" s="476"/>
      <c r="M497" s="476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 spans="1:27" ht="13">
      <c r="A498" s="54">
        <v>2023</v>
      </c>
      <c r="B498" s="494">
        <v>45260</v>
      </c>
      <c r="C498" s="473" t="s">
        <v>474</v>
      </c>
      <c r="D498" s="473" t="s">
        <v>493</v>
      </c>
      <c r="E498" s="473" t="s">
        <v>648</v>
      </c>
      <c r="F498" s="473" t="s">
        <v>662</v>
      </c>
      <c r="G498" s="476"/>
      <c r="H498" s="476">
        <v>40</v>
      </c>
      <c r="I498" s="476">
        <v>40</v>
      </c>
      <c r="J498" s="476"/>
      <c r="K498" s="476"/>
      <c r="L498" s="476"/>
      <c r="M498" s="476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 spans="1:27" ht="13">
      <c r="A499" s="54">
        <v>2023</v>
      </c>
      <c r="B499" s="494">
        <v>45260</v>
      </c>
      <c r="C499" s="473" t="s">
        <v>474</v>
      </c>
      <c r="D499" s="473" t="s">
        <v>490</v>
      </c>
      <c r="E499" s="473" t="s">
        <v>663</v>
      </c>
      <c r="F499" s="473" t="s">
        <v>558</v>
      </c>
      <c r="G499" s="476"/>
      <c r="H499" s="476">
        <v>59</v>
      </c>
      <c r="I499" s="476">
        <v>59</v>
      </c>
      <c r="J499" s="476"/>
      <c r="K499" s="476"/>
      <c r="L499" s="476"/>
      <c r="M499" s="476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 spans="1:27" ht="13">
      <c r="A500" s="54">
        <v>2023</v>
      </c>
      <c r="B500" s="494">
        <v>45260</v>
      </c>
      <c r="C500" s="473" t="s">
        <v>474</v>
      </c>
      <c r="D500" s="473" t="s">
        <v>478</v>
      </c>
      <c r="E500" s="473" t="s">
        <v>479</v>
      </c>
      <c r="F500" s="473" t="s">
        <v>547</v>
      </c>
      <c r="G500" s="476"/>
      <c r="H500" s="476">
        <f t="shared" ref="H500:I500" si="15">(20*5)+(40*5)</f>
        <v>300</v>
      </c>
      <c r="I500" s="476">
        <f t="shared" si="15"/>
        <v>300</v>
      </c>
      <c r="J500" s="476"/>
      <c r="K500" s="476"/>
      <c r="L500" s="476"/>
      <c r="M500" s="476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 spans="1:27" ht="13">
      <c r="A501" s="54">
        <v>2023</v>
      </c>
      <c r="B501" s="494">
        <v>45260</v>
      </c>
      <c r="C501" s="473" t="s">
        <v>481</v>
      </c>
      <c r="D501" s="473" t="s">
        <v>484</v>
      </c>
      <c r="E501" s="473" t="s">
        <v>644</v>
      </c>
      <c r="F501" s="473" t="s">
        <v>488</v>
      </c>
      <c r="G501" s="473"/>
      <c r="H501" s="476"/>
      <c r="I501" s="476"/>
      <c r="J501" s="476">
        <v>60587</v>
      </c>
      <c r="K501" s="476">
        <v>60587</v>
      </c>
      <c r="L501" s="476"/>
      <c r="M501" s="476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 spans="1:27" ht="13">
      <c r="A502" s="54">
        <v>2023</v>
      </c>
      <c r="B502" s="494">
        <v>45260</v>
      </c>
      <c r="C502" s="473" t="s">
        <v>481</v>
      </c>
      <c r="D502" s="473" t="s">
        <v>484</v>
      </c>
      <c r="E502" s="473" t="s">
        <v>632</v>
      </c>
      <c r="F502" s="473" t="s">
        <v>488</v>
      </c>
      <c r="G502" s="473"/>
      <c r="H502" s="476"/>
      <c r="I502" s="476"/>
      <c r="J502" s="476">
        <v>105000</v>
      </c>
      <c r="K502" s="476">
        <v>105000</v>
      </c>
      <c r="L502" s="476"/>
      <c r="M502" s="476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 spans="1:27" ht="13">
      <c r="A503" s="54">
        <v>2023</v>
      </c>
      <c r="B503" s="494">
        <v>45260</v>
      </c>
      <c r="C503" s="473" t="s">
        <v>481</v>
      </c>
      <c r="D503" s="473" t="s">
        <v>493</v>
      </c>
      <c r="E503" s="473" t="s">
        <v>63</v>
      </c>
      <c r="F503" s="473" t="s">
        <v>539</v>
      </c>
      <c r="G503" s="473"/>
      <c r="H503" s="476"/>
      <c r="I503" s="476"/>
      <c r="J503" s="476">
        <v>789.86</v>
      </c>
      <c r="K503" s="476">
        <v>789.86</v>
      </c>
      <c r="L503" s="476"/>
      <c r="M503" s="476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 spans="1:27" ht="13">
      <c r="A504" s="54">
        <v>2023</v>
      </c>
      <c r="B504" s="494">
        <v>45260</v>
      </c>
      <c r="C504" s="473" t="s">
        <v>481</v>
      </c>
      <c r="D504" s="473" t="s">
        <v>489</v>
      </c>
      <c r="E504" s="473" t="s">
        <v>463</v>
      </c>
      <c r="F504" s="473" t="s">
        <v>464</v>
      </c>
      <c r="G504" s="476"/>
      <c r="H504" s="476"/>
      <c r="I504" s="476"/>
      <c r="J504" s="476">
        <v>6600</v>
      </c>
      <c r="K504" s="476">
        <f>J504-L504</f>
        <v>5409.84</v>
      </c>
      <c r="L504" s="476">
        <v>1190.1600000000001</v>
      </c>
      <c r="M504" s="473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 spans="1:27" ht="13">
      <c r="A505" s="54">
        <v>2023</v>
      </c>
      <c r="B505" s="494">
        <v>45260</v>
      </c>
      <c r="C505" s="473" t="s">
        <v>481</v>
      </c>
      <c r="D505" s="473" t="s">
        <v>491</v>
      </c>
      <c r="E505" s="473" t="s">
        <v>633</v>
      </c>
      <c r="F505" s="473" t="s">
        <v>576</v>
      </c>
      <c r="G505" s="476"/>
      <c r="H505" s="476">
        <v>45.36</v>
      </c>
      <c r="I505" s="476">
        <v>45.36</v>
      </c>
      <c r="J505" s="476"/>
      <c r="K505" s="476"/>
      <c r="L505" s="476"/>
      <c r="M505" s="473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 spans="1:27" ht="13">
      <c r="A506" s="54">
        <v>2023</v>
      </c>
      <c r="B506" s="494">
        <v>45260</v>
      </c>
      <c r="C506" s="473" t="s">
        <v>481</v>
      </c>
      <c r="D506" s="473" t="s">
        <v>491</v>
      </c>
      <c r="E506" s="473" t="s">
        <v>638</v>
      </c>
      <c r="F506" s="473" t="s">
        <v>576</v>
      </c>
      <c r="G506" s="476"/>
      <c r="H506" s="476">
        <v>229.88</v>
      </c>
      <c r="I506" s="476">
        <v>229.88</v>
      </c>
      <c r="J506" s="476"/>
      <c r="K506" s="476"/>
      <c r="L506" s="476"/>
      <c r="M506" s="473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 spans="1:27" ht="13">
      <c r="A507" s="54">
        <v>2023</v>
      </c>
      <c r="B507" s="494">
        <v>45260</v>
      </c>
      <c r="C507" s="473" t="s">
        <v>481</v>
      </c>
      <c r="D507" s="473" t="s">
        <v>491</v>
      </c>
      <c r="E507" s="473" t="s">
        <v>601</v>
      </c>
      <c r="F507" s="473" t="s">
        <v>576</v>
      </c>
      <c r="G507" s="476"/>
      <c r="H507" s="476">
        <v>127.5</v>
      </c>
      <c r="I507" s="476">
        <v>127.5</v>
      </c>
      <c r="J507" s="476"/>
      <c r="K507" s="476"/>
      <c r="L507" s="476"/>
      <c r="M507" s="473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 spans="1:27" ht="13">
      <c r="A508" s="54">
        <v>2023</v>
      </c>
      <c r="B508" s="494">
        <v>45260</v>
      </c>
      <c r="C508" s="473" t="s">
        <v>481</v>
      </c>
      <c r="D508" s="473" t="s">
        <v>491</v>
      </c>
      <c r="E508" s="473" t="s">
        <v>646</v>
      </c>
      <c r="F508" s="473" t="s">
        <v>576</v>
      </c>
      <c r="G508" s="476"/>
      <c r="H508" s="476">
        <v>21.99</v>
      </c>
      <c r="I508" s="476">
        <v>21.99</v>
      </c>
      <c r="J508" s="476"/>
      <c r="K508" s="476"/>
      <c r="L508" s="476"/>
      <c r="M508" s="473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 spans="1:27" ht="13">
      <c r="A509" s="54">
        <v>2023</v>
      </c>
      <c r="B509" s="494">
        <v>45260</v>
      </c>
      <c r="C509" s="473" t="s">
        <v>481</v>
      </c>
      <c r="D509" s="473" t="s">
        <v>491</v>
      </c>
      <c r="E509" s="473" t="s">
        <v>602</v>
      </c>
      <c r="F509" s="473" t="s">
        <v>576</v>
      </c>
      <c r="G509" s="476"/>
      <c r="H509" s="476">
        <v>1066.43</v>
      </c>
      <c r="I509" s="476">
        <v>1066.43</v>
      </c>
      <c r="J509" s="476"/>
      <c r="K509" s="476"/>
      <c r="L509" s="476"/>
      <c r="M509" s="473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 spans="1:27" ht="13">
      <c r="A510" s="54">
        <v>2023</v>
      </c>
      <c r="B510" s="494">
        <v>45260</v>
      </c>
      <c r="C510" s="473" t="s">
        <v>481</v>
      </c>
      <c r="D510" s="473" t="s">
        <v>491</v>
      </c>
      <c r="E510" s="473" t="s">
        <v>498</v>
      </c>
      <c r="F510" s="473" t="s">
        <v>576</v>
      </c>
      <c r="G510" s="476"/>
      <c r="H510" s="476">
        <v>8.76</v>
      </c>
      <c r="I510" s="476">
        <v>8.76</v>
      </c>
      <c r="J510" s="476"/>
      <c r="K510" s="476"/>
      <c r="L510" s="476"/>
      <c r="M510" s="473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 spans="1:27" ht="13">
      <c r="A511" s="54">
        <v>2023</v>
      </c>
      <c r="B511" s="494">
        <v>45260</v>
      </c>
      <c r="C511" s="473" t="s">
        <v>481</v>
      </c>
      <c r="D511" s="473" t="s">
        <v>491</v>
      </c>
      <c r="E511" s="473" t="s">
        <v>591</v>
      </c>
      <c r="F511" s="473" t="s">
        <v>576</v>
      </c>
      <c r="G511" s="476"/>
      <c r="H511" s="476">
        <v>20</v>
      </c>
      <c r="I511" s="476">
        <v>20</v>
      </c>
      <c r="J511" s="476"/>
      <c r="K511" s="476"/>
      <c r="L511" s="476"/>
      <c r="M511" s="473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 spans="1:27" ht="13">
      <c r="A512" s="54">
        <v>2023</v>
      </c>
      <c r="B512" s="494">
        <v>45260</v>
      </c>
      <c r="C512" s="473" t="s">
        <v>481</v>
      </c>
      <c r="D512" s="473" t="s">
        <v>491</v>
      </c>
      <c r="E512" s="473" t="s">
        <v>639</v>
      </c>
      <c r="F512" s="473" t="s">
        <v>576</v>
      </c>
      <c r="G512" s="476"/>
      <c r="H512" s="476">
        <v>15</v>
      </c>
      <c r="I512" s="476">
        <v>15</v>
      </c>
      <c r="J512" s="476"/>
      <c r="K512" s="476"/>
      <c r="L512" s="476"/>
      <c r="M512" s="473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 spans="1:27" ht="13">
      <c r="A513" s="54">
        <v>2023</v>
      </c>
      <c r="B513" s="494">
        <v>45260</v>
      </c>
      <c r="C513" s="473" t="s">
        <v>481</v>
      </c>
      <c r="D513" s="473" t="s">
        <v>491</v>
      </c>
      <c r="E513" s="473" t="s">
        <v>592</v>
      </c>
      <c r="F513" s="473" t="s">
        <v>576</v>
      </c>
      <c r="G513" s="476"/>
      <c r="H513" s="476">
        <v>40</v>
      </c>
      <c r="I513" s="476">
        <v>40</v>
      </c>
      <c r="J513" s="476"/>
      <c r="K513" s="476"/>
      <c r="L513" s="476"/>
      <c r="M513" s="473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 spans="1:27" ht="13">
      <c r="A514" s="54">
        <v>2023</v>
      </c>
      <c r="B514" s="494">
        <v>45260</v>
      </c>
      <c r="C514" s="473" t="s">
        <v>481</v>
      </c>
      <c r="D514" s="473" t="s">
        <v>491</v>
      </c>
      <c r="E514" s="473" t="s">
        <v>532</v>
      </c>
      <c r="F514" s="473" t="s">
        <v>576</v>
      </c>
      <c r="G514" s="476"/>
      <c r="H514" s="476">
        <v>15</v>
      </c>
      <c r="I514" s="476">
        <v>15</v>
      </c>
      <c r="J514" s="476"/>
      <c r="K514" s="476"/>
      <c r="L514" s="476"/>
      <c r="M514" s="473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 spans="1:27" ht="13">
      <c r="A515" s="54">
        <v>2023</v>
      </c>
      <c r="B515" s="494">
        <v>45260</v>
      </c>
      <c r="C515" s="473" t="s">
        <v>481</v>
      </c>
      <c r="D515" s="473" t="s">
        <v>491</v>
      </c>
      <c r="E515" s="496" t="s">
        <v>654</v>
      </c>
      <c r="F515" s="473" t="s">
        <v>576</v>
      </c>
      <c r="G515" s="476"/>
      <c r="H515" s="476">
        <v>40.92</v>
      </c>
      <c r="I515" s="476">
        <v>40.92</v>
      </c>
      <c r="J515" s="476"/>
      <c r="K515" s="476"/>
      <c r="L515" s="476"/>
      <c r="M515" s="473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 spans="1:27" ht="13">
      <c r="A516" s="54">
        <v>2023</v>
      </c>
      <c r="B516" s="494">
        <v>45260</v>
      </c>
      <c r="C516" s="473" t="s">
        <v>481</v>
      </c>
      <c r="D516" s="473" t="s">
        <v>491</v>
      </c>
      <c r="E516" s="473" t="s">
        <v>534</v>
      </c>
      <c r="F516" s="473" t="s">
        <v>576</v>
      </c>
      <c r="G516" s="476"/>
      <c r="H516" s="476">
        <v>15.99</v>
      </c>
      <c r="I516" s="476">
        <v>15.99</v>
      </c>
      <c r="J516" s="476"/>
      <c r="K516" s="476"/>
      <c r="L516" s="476"/>
      <c r="M516" s="473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 spans="1:27" ht="13">
      <c r="A517" s="54">
        <v>2023</v>
      </c>
      <c r="B517" s="424">
        <v>45261</v>
      </c>
      <c r="C517" s="425" t="s">
        <v>481</v>
      </c>
      <c r="D517" s="425" t="s">
        <v>493</v>
      </c>
      <c r="E517" s="425" t="s">
        <v>63</v>
      </c>
      <c r="F517" s="425" t="s">
        <v>480</v>
      </c>
      <c r="G517" s="425"/>
      <c r="H517" s="426"/>
      <c r="I517" s="426"/>
      <c r="J517" s="426">
        <v>39.31</v>
      </c>
      <c r="K517" s="426">
        <v>39.31</v>
      </c>
      <c r="L517" s="426"/>
      <c r="M517" s="426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 spans="1:27" ht="13">
      <c r="A518" s="54">
        <v>2023</v>
      </c>
      <c r="B518" s="424">
        <v>45261</v>
      </c>
      <c r="C518" s="425" t="s">
        <v>474</v>
      </c>
      <c r="D518" s="425" t="s">
        <v>478</v>
      </c>
      <c r="E518" s="425" t="s">
        <v>479</v>
      </c>
      <c r="F518" s="425" t="s">
        <v>480</v>
      </c>
      <c r="G518" s="425"/>
      <c r="H518" s="426">
        <v>200</v>
      </c>
      <c r="I518" s="426">
        <v>200</v>
      </c>
      <c r="J518" s="426"/>
      <c r="K518" s="426"/>
      <c r="L518" s="426"/>
      <c r="M518" s="426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 spans="1:27" ht="13">
      <c r="A519" s="54">
        <v>2023</v>
      </c>
      <c r="B519" s="424">
        <v>45268</v>
      </c>
      <c r="C519" s="425" t="s">
        <v>481</v>
      </c>
      <c r="D519" s="425" t="s">
        <v>484</v>
      </c>
      <c r="E519" s="425" t="s">
        <v>632</v>
      </c>
      <c r="F519" s="425" t="s">
        <v>664</v>
      </c>
      <c r="G519" s="425"/>
      <c r="H519" s="426"/>
      <c r="I519" s="426"/>
      <c r="J519" s="426">
        <v>371852</v>
      </c>
      <c r="K519" s="426">
        <v>371852</v>
      </c>
      <c r="L519" s="426"/>
      <c r="M519" s="426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 spans="1:27" ht="13">
      <c r="A520" s="54">
        <v>2023</v>
      </c>
      <c r="B520" s="424">
        <v>45267</v>
      </c>
      <c r="C520" s="425" t="s">
        <v>481</v>
      </c>
      <c r="D520" s="425" t="s">
        <v>493</v>
      </c>
      <c r="E520" s="425" t="s">
        <v>479</v>
      </c>
      <c r="F520" s="425" t="s">
        <v>480</v>
      </c>
      <c r="G520" s="425"/>
      <c r="H520" s="426">
        <v>1.9</v>
      </c>
      <c r="I520" s="426">
        <v>1.9</v>
      </c>
      <c r="J520" s="426"/>
      <c r="K520" s="426"/>
      <c r="L520" s="426"/>
      <c r="M520" s="426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 spans="1:27" ht="13">
      <c r="A521" s="54">
        <v>2023</v>
      </c>
      <c r="B521" s="424">
        <v>45268</v>
      </c>
      <c r="C521" s="425" t="s">
        <v>481</v>
      </c>
      <c r="D521" s="425" t="s">
        <v>484</v>
      </c>
      <c r="E521" s="425" t="s">
        <v>644</v>
      </c>
      <c r="F521" s="425" t="s">
        <v>665</v>
      </c>
      <c r="G521" s="425"/>
      <c r="H521" s="426"/>
      <c r="I521" s="426"/>
      <c r="J521" s="426">
        <v>16380</v>
      </c>
      <c r="K521" s="426">
        <v>16380</v>
      </c>
      <c r="L521" s="426"/>
      <c r="M521" s="426"/>
      <c r="N521" s="45"/>
      <c r="O521" s="469" t="s">
        <v>457</v>
      </c>
      <c r="P521" s="470"/>
      <c r="Q521" s="45"/>
      <c r="R521" s="45"/>
      <c r="S521" s="491" t="s">
        <v>583</v>
      </c>
      <c r="T521" s="492"/>
      <c r="U521" s="45"/>
      <c r="V521" s="45"/>
      <c r="W521" s="45"/>
      <c r="X521" s="45"/>
      <c r="Y521" s="45"/>
      <c r="Z521" s="45"/>
      <c r="AA521" s="45"/>
    </row>
    <row r="522" spans="1:27" ht="13">
      <c r="A522" s="54">
        <v>2023</v>
      </c>
      <c r="B522" s="424">
        <v>45268</v>
      </c>
      <c r="C522" s="425" t="s">
        <v>481</v>
      </c>
      <c r="D522" s="425" t="s">
        <v>493</v>
      </c>
      <c r="E522" s="425" t="s">
        <v>63</v>
      </c>
      <c r="F522" s="425" t="s">
        <v>480</v>
      </c>
      <c r="G522" s="425"/>
      <c r="H522" s="426"/>
      <c r="I522" s="426"/>
      <c r="J522" s="426">
        <v>39.06</v>
      </c>
      <c r="K522" s="426">
        <v>39.06</v>
      </c>
      <c r="L522" s="426"/>
      <c r="M522" s="426"/>
      <c r="N522" s="45"/>
      <c r="O522" s="470">
        <f>SUM(Facturacion!I79:I82)</f>
        <v>169137.38819999999</v>
      </c>
      <c r="P522" s="470"/>
      <c r="Q522" s="45"/>
      <c r="R522" s="45"/>
      <c r="S522" s="491" t="s">
        <v>411</v>
      </c>
      <c r="T522" s="470">
        <f>SUM(K519:K553)</f>
        <v>585177.29999999993</v>
      </c>
      <c r="U522" s="45"/>
      <c r="V522" s="45"/>
      <c r="W522" s="45"/>
      <c r="X522" s="45"/>
      <c r="Y522" s="45"/>
      <c r="Z522" s="45"/>
      <c r="AA522" s="45"/>
    </row>
    <row r="523" spans="1:27" ht="13">
      <c r="A523" s="54">
        <v>2023</v>
      </c>
      <c r="B523" s="497">
        <v>45271</v>
      </c>
      <c r="C523" s="425" t="s">
        <v>481</v>
      </c>
      <c r="D523" s="425" t="s">
        <v>493</v>
      </c>
      <c r="E523" s="425" t="s">
        <v>63</v>
      </c>
      <c r="F523" s="425" t="s">
        <v>480</v>
      </c>
      <c r="G523" s="425"/>
      <c r="H523" s="426"/>
      <c r="I523" s="426"/>
      <c r="J523" s="426">
        <v>76.02</v>
      </c>
      <c r="K523" s="426">
        <v>76.02</v>
      </c>
      <c r="L523" s="426"/>
      <c r="M523" s="426"/>
      <c r="N523" s="45"/>
      <c r="O523" s="469" t="s">
        <v>461</v>
      </c>
      <c r="P523" s="469" t="s">
        <v>462</v>
      </c>
      <c r="Q523" s="45"/>
      <c r="R523" s="45"/>
      <c r="S523" s="469" t="s">
        <v>584</v>
      </c>
      <c r="T523" s="470">
        <f>SUM(I519:I553)</f>
        <v>7186.12</v>
      </c>
      <c r="U523" s="45"/>
      <c r="V523" s="45"/>
      <c r="W523" s="45"/>
      <c r="X523" s="45"/>
      <c r="Y523" s="45"/>
      <c r="Z523" s="45"/>
      <c r="AA523" s="45"/>
    </row>
    <row r="524" spans="1:27" ht="13">
      <c r="A524" s="54">
        <v>2023</v>
      </c>
      <c r="B524" s="497">
        <v>45272</v>
      </c>
      <c r="C524" s="425" t="s">
        <v>481</v>
      </c>
      <c r="D524" s="425" t="s">
        <v>493</v>
      </c>
      <c r="E524" s="425" t="s">
        <v>63</v>
      </c>
      <c r="F524" s="425" t="s">
        <v>480</v>
      </c>
      <c r="G524" s="425"/>
      <c r="H524" s="426">
        <v>1.9</v>
      </c>
      <c r="I524" s="426">
        <v>1.9</v>
      </c>
      <c r="J524" s="426"/>
      <c r="K524" s="426"/>
      <c r="L524" s="426"/>
      <c r="M524" s="426"/>
      <c r="N524" s="45"/>
      <c r="O524" s="470">
        <f>SUM(L519:L553)-P475</f>
        <v>158730.62932000001</v>
      </c>
      <c r="P524" s="470">
        <f>O522-O524</f>
        <v>10406.758879999979</v>
      </c>
      <c r="Q524" s="45"/>
      <c r="R524" s="45"/>
      <c r="S524" s="491"/>
      <c r="T524" s="492"/>
      <c r="U524" s="45"/>
      <c r="V524" s="45"/>
      <c r="W524" s="45"/>
      <c r="X524" s="45"/>
      <c r="Y524" s="45"/>
      <c r="Z524" s="45"/>
      <c r="AA524" s="45"/>
    </row>
    <row r="525" spans="1:27" ht="13">
      <c r="A525" s="54">
        <v>2023</v>
      </c>
      <c r="B525" s="497">
        <v>45275</v>
      </c>
      <c r="C525" s="425" t="s">
        <v>481</v>
      </c>
      <c r="D525" s="425" t="s">
        <v>493</v>
      </c>
      <c r="E525" s="425" t="s">
        <v>479</v>
      </c>
      <c r="F525" s="425" t="s">
        <v>514</v>
      </c>
      <c r="G525" s="425"/>
      <c r="H525" s="426">
        <v>1.9</v>
      </c>
      <c r="I525" s="426">
        <v>1.9</v>
      </c>
      <c r="J525" s="426">
        <v>1264</v>
      </c>
      <c r="K525" s="426">
        <v>1264</v>
      </c>
      <c r="L525" s="426"/>
      <c r="M525" s="426"/>
      <c r="N525" s="45"/>
      <c r="O525" s="68"/>
      <c r="P525" s="68"/>
      <c r="Q525" s="45"/>
      <c r="R525" s="45"/>
      <c r="S525" s="49"/>
      <c r="T525" s="45"/>
      <c r="U525" s="45"/>
      <c r="V525" s="45"/>
      <c r="W525" s="45"/>
      <c r="X525" s="45"/>
      <c r="Y525" s="45"/>
      <c r="Z525" s="45"/>
      <c r="AA525" s="45"/>
    </row>
    <row r="526" spans="1:27" ht="13">
      <c r="A526" s="54">
        <v>2023</v>
      </c>
      <c r="B526" s="497">
        <v>45279</v>
      </c>
      <c r="C526" s="425" t="s">
        <v>481</v>
      </c>
      <c r="D526" s="425" t="s">
        <v>494</v>
      </c>
      <c r="E526" s="425" t="s">
        <v>521</v>
      </c>
      <c r="F526" s="425" t="s">
        <v>544</v>
      </c>
      <c r="G526" s="425"/>
      <c r="H526" s="426"/>
      <c r="I526" s="426"/>
      <c r="J526" s="426">
        <v>2687</v>
      </c>
      <c r="K526" s="426">
        <f>J526-L526</f>
        <v>2202.38</v>
      </c>
      <c r="L526" s="426">
        <v>484.62</v>
      </c>
      <c r="M526" s="426"/>
      <c r="N526" s="45"/>
      <c r="O526" s="68"/>
      <c r="P526" s="68"/>
      <c r="Q526" s="45"/>
      <c r="R526" s="45"/>
      <c r="S526" s="49"/>
      <c r="T526" s="45"/>
      <c r="U526" s="45"/>
      <c r="V526" s="45"/>
      <c r="W526" s="45"/>
      <c r="X526" s="45"/>
      <c r="Y526" s="45"/>
      <c r="Z526" s="45"/>
      <c r="AA526" s="45"/>
    </row>
    <row r="527" spans="1:27" ht="13">
      <c r="A527" s="54">
        <v>2023</v>
      </c>
      <c r="B527" s="497">
        <v>45286</v>
      </c>
      <c r="C527" s="425" t="s">
        <v>481</v>
      </c>
      <c r="D527" s="425" t="s">
        <v>493</v>
      </c>
      <c r="E527" s="425" t="s">
        <v>63</v>
      </c>
      <c r="F527" s="425" t="s">
        <v>514</v>
      </c>
      <c r="G527" s="425"/>
      <c r="H527" s="426">
        <f t="shared" ref="H527:I527" si="16">1.9+73.09</f>
        <v>74.990000000000009</v>
      </c>
      <c r="I527" s="426">
        <f t="shared" si="16"/>
        <v>74.990000000000009</v>
      </c>
      <c r="J527" s="426">
        <v>1720</v>
      </c>
      <c r="K527" s="426">
        <v>1720</v>
      </c>
      <c r="L527" s="426"/>
      <c r="M527" s="426"/>
      <c r="N527" s="45"/>
      <c r="O527" s="68"/>
      <c r="P527" s="68"/>
      <c r="Q527" s="45"/>
      <c r="R527" s="45"/>
      <c r="S527" s="49"/>
      <c r="T527" s="45"/>
      <c r="U527" s="45"/>
      <c r="V527" s="45"/>
      <c r="W527" s="45"/>
      <c r="X527" s="45"/>
      <c r="Y527" s="45"/>
      <c r="Z527" s="45"/>
      <c r="AA527" s="45"/>
    </row>
    <row r="528" spans="1:27" ht="13">
      <c r="A528" s="54">
        <v>2023</v>
      </c>
      <c r="B528" s="497">
        <v>45289</v>
      </c>
      <c r="C528" s="425" t="s">
        <v>481</v>
      </c>
      <c r="D528" s="425" t="s">
        <v>494</v>
      </c>
      <c r="E528" s="425" t="s">
        <v>502</v>
      </c>
      <c r="F528" s="425" t="s">
        <v>522</v>
      </c>
      <c r="G528" s="425"/>
      <c r="H528" s="426"/>
      <c r="I528" s="426"/>
      <c r="J528" s="426">
        <v>110418</v>
      </c>
      <c r="K528" s="426">
        <v>110418</v>
      </c>
      <c r="L528" s="426"/>
      <c r="M528" s="426"/>
      <c r="N528" s="45"/>
      <c r="O528" s="68"/>
      <c r="P528" s="68"/>
      <c r="Q528" s="45"/>
      <c r="R528" s="45"/>
      <c r="U528" s="45"/>
      <c r="V528" s="45"/>
      <c r="W528" s="45"/>
      <c r="X528" s="45"/>
      <c r="Y528" s="45"/>
      <c r="Z528" s="45"/>
      <c r="AA528" s="45"/>
    </row>
    <row r="529" spans="1:27" ht="13">
      <c r="A529" s="54">
        <v>2023</v>
      </c>
      <c r="B529" s="497">
        <v>45289</v>
      </c>
      <c r="C529" s="425" t="s">
        <v>474</v>
      </c>
      <c r="D529" s="425" t="s">
        <v>482</v>
      </c>
      <c r="E529" s="425" t="s">
        <v>483</v>
      </c>
      <c r="F529" s="425" t="s">
        <v>459</v>
      </c>
      <c r="G529" s="426"/>
      <c r="H529" s="426">
        <v>1056</v>
      </c>
      <c r="I529" s="426">
        <v>1056</v>
      </c>
      <c r="J529" s="426"/>
      <c r="K529" s="426"/>
      <c r="L529" s="426"/>
      <c r="M529" s="426"/>
      <c r="N529" s="45"/>
      <c r="O529" s="59"/>
      <c r="P529" s="59"/>
      <c r="Q529" s="45"/>
      <c r="R529" s="45"/>
      <c r="S529" s="59"/>
      <c r="T529" s="45"/>
      <c r="U529" s="45"/>
      <c r="V529" s="45"/>
      <c r="W529" s="45"/>
      <c r="X529" s="45"/>
      <c r="Y529" s="45"/>
      <c r="Z529" s="45"/>
      <c r="AA529" s="45"/>
    </row>
    <row r="530" spans="1:27" ht="13">
      <c r="A530" s="54">
        <v>2023</v>
      </c>
      <c r="B530" s="497">
        <v>45289</v>
      </c>
      <c r="C530" s="425" t="s">
        <v>474</v>
      </c>
      <c r="D530" s="425" t="s">
        <v>482</v>
      </c>
      <c r="E530" s="425" t="s">
        <v>535</v>
      </c>
      <c r="F530" s="425" t="s">
        <v>459</v>
      </c>
      <c r="G530" s="426"/>
      <c r="H530" s="426">
        <v>1056</v>
      </c>
      <c r="I530" s="426">
        <v>1056</v>
      </c>
      <c r="J530" s="426"/>
      <c r="K530" s="426"/>
      <c r="L530" s="426"/>
      <c r="M530" s="426"/>
      <c r="N530" s="45"/>
      <c r="O530" s="68"/>
      <c r="P530" s="68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 spans="1:27" ht="13">
      <c r="A531" s="54">
        <v>2023</v>
      </c>
      <c r="B531" s="497">
        <v>45289</v>
      </c>
      <c r="C531" s="425" t="s">
        <v>474</v>
      </c>
      <c r="D531" s="425" t="s">
        <v>482</v>
      </c>
      <c r="E531" s="425" t="s">
        <v>541</v>
      </c>
      <c r="F531" s="425" t="s">
        <v>459</v>
      </c>
      <c r="G531" s="426"/>
      <c r="H531" s="426">
        <v>1056</v>
      </c>
      <c r="I531" s="426">
        <v>1056</v>
      </c>
      <c r="J531" s="426"/>
      <c r="K531" s="426"/>
      <c r="L531" s="426"/>
      <c r="M531" s="426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 spans="1:27" ht="13">
      <c r="A532" s="54">
        <v>2023</v>
      </c>
      <c r="B532" s="497">
        <v>45289</v>
      </c>
      <c r="C532" s="425" t="s">
        <v>474</v>
      </c>
      <c r="D532" s="425" t="s">
        <v>482</v>
      </c>
      <c r="E532" s="425" t="s">
        <v>537</v>
      </c>
      <c r="F532" s="425" t="s">
        <v>459</v>
      </c>
      <c r="G532" s="426"/>
      <c r="H532" s="426">
        <v>792</v>
      </c>
      <c r="I532" s="426">
        <v>792</v>
      </c>
      <c r="J532" s="426"/>
      <c r="K532" s="426"/>
      <c r="L532" s="426"/>
      <c r="M532" s="426"/>
      <c r="N532" s="45"/>
      <c r="O532" s="59"/>
      <c r="P532" s="68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 spans="1:27" ht="13">
      <c r="A533" s="54">
        <v>2023</v>
      </c>
      <c r="B533" s="497">
        <v>45289</v>
      </c>
      <c r="C533" s="425" t="s">
        <v>474</v>
      </c>
      <c r="D533" s="425" t="s">
        <v>554</v>
      </c>
      <c r="E533" s="425" t="s">
        <v>540</v>
      </c>
      <c r="F533" s="425" t="s">
        <v>459</v>
      </c>
      <c r="G533" s="426"/>
      <c r="H533" s="426">
        <v>1056</v>
      </c>
      <c r="I533" s="426">
        <v>1056</v>
      </c>
      <c r="J533" s="426"/>
      <c r="K533" s="426"/>
      <c r="L533" s="426"/>
      <c r="M533" s="426"/>
      <c r="N533" s="45"/>
      <c r="O533" s="68"/>
      <c r="P533" s="68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 spans="1:27" ht="13">
      <c r="A534" s="54">
        <v>2023</v>
      </c>
      <c r="B534" s="497">
        <v>45289</v>
      </c>
      <c r="C534" s="425" t="s">
        <v>474</v>
      </c>
      <c r="D534" s="425" t="s">
        <v>493</v>
      </c>
      <c r="E534" s="425" t="s">
        <v>648</v>
      </c>
      <c r="F534" s="425" t="s">
        <v>662</v>
      </c>
      <c r="G534" s="426"/>
      <c r="H534" s="426">
        <v>30</v>
      </c>
      <c r="I534" s="426">
        <v>30</v>
      </c>
      <c r="J534" s="426"/>
      <c r="K534" s="426"/>
      <c r="L534" s="426"/>
      <c r="M534" s="426"/>
      <c r="N534" s="45"/>
      <c r="O534" s="59"/>
      <c r="P534" s="59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 spans="1:27" ht="13">
      <c r="A535" s="54">
        <v>2023</v>
      </c>
      <c r="B535" s="497">
        <v>45289</v>
      </c>
      <c r="C535" s="425" t="s">
        <v>474</v>
      </c>
      <c r="D535" s="425" t="s">
        <v>490</v>
      </c>
      <c r="E535" s="425" t="s">
        <v>663</v>
      </c>
      <c r="F535" s="425" t="s">
        <v>558</v>
      </c>
      <c r="G535" s="426"/>
      <c r="H535" s="426">
        <v>62</v>
      </c>
      <c r="I535" s="426">
        <v>62</v>
      </c>
      <c r="J535" s="426"/>
      <c r="K535" s="426"/>
      <c r="L535" s="426"/>
      <c r="M535" s="426"/>
      <c r="N535" s="45"/>
      <c r="O535" s="68"/>
      <c r="P535" s="68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 spans="1:27" ht="13">
      <c r="A536" s="54">
        <v>2023</v>
      </c>
      <c r="B536" s="497">
        <v>45289</v>
      </c>
      <c r="C536" s="425" t="s">
        <v>481</v>
      </c>
      <c r="D536" s="425" t="s">
        <v>484</v>
      </c>
      <c r="E536" s="425" t="s">
        <v>644</v>
      </c>
      <c r="F536" s="425" t="s">
        <v>488</v>
      </c>
      <c r="G536" s="425"/>
      <c r="H536" s="426"/>
      <c r="I536" s="426"/>
      <c r="J536" s="426">
        <v>64020</v>
      </c>
      <c r="K536" s="426">
        <v>64020</v>
      </c>
      <c r="L536" s="426"/>
      <c r="M536" s="426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 spans="1:27" ht="13">
      <c r="A537" s="54">
        <v>2023</v>
      </c>
      <c r="B537" s="497">
        <v>45289</v>
      </c>
      <c r="C537" s="425" t="s">
        <v>481</v>
      </c>
      <c r="D537" s="425" t="s">
        <v>494</v>
      </c>
      <c r="E537" s="425" t="s">
        <v>512</v>
      </c>
      <c r="F537" s="425" t="s">
        <v>528</v>
      </c>
      <c r="G537" s="425"/>
      <c r="H537" s="426"/>
      <c r="I537" s="426"/>
      <c r="J537" s="426">
        <v>10407</v>
      </c>
      <c r="K537" s="426">
        <v>10407</v>
      </c>
      <c r="L537" s="426"/>
      <c r="M537" s="426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 spans="1:27" ht="13">
      <c r="A538" s="54">
        <v>2023</v>
      </c>
      <c r="B538" s="497">
        <v>45289</v>
      </c>
      <c r="C538" s="425" t="s">
        <v>481</v>
      </c>
      <c r="D538" s="425" t="s">
        <v>494</v>
      </c>
      <c r="E538" s="425" t="s">
        <v>512</v>
      </c>
      <c r="F538" s="425" t="s">
        <v>574</v>
      </c>
      <c r="G538" s="425"/>
      <c r="H538" s="426"/>
      <c r="I538" s="426"/>
      <c r="J538" s="426">
        <v>1389</v>
      </c>
      <c r="K538" s="426">
        <v>1389</v>
      </c>
      <c r="L538" s="426"/>
      <c r="M538" s="426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 spans="1:27" ht="13">
      <c r="A539" s="54">
        <v>2023</v>
      </c>
      <c r="B539" s="497">
        <v>45291</v>
      </c>
      <c r="C539" s="425" t="s">
        <v>481</v>
      </c>
      <c r="D539" s="425" t="s">
        <v>489</v>
      </c>
      <c r="E539" s="425" t="s">
        <v>463</v>
      </c>
      <c r="F539" s="425" t="s">
        <v>464</v>
      </c>
      <c r="G539" s="426"/>
      <c r="H539" s="426"/>
      <c r="I539" s="426"/>
      <c r="J539" s="426">
        <v>6600</v>
      </c>
      <c r="K539" s="426">
        <f>J539-L539</f>
        <v>5409.84</v>
      </c>
      <c r="L539" s="426">
        <v>1190.1600000000001</v>
      </c>
      <c r="M539" s="426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 spans="1:27" ht="13">
      <c r="A540" s="54">
        <v>2023</v>
      </c>
      <c r="B540" s="497">
        <v>45291</v>
      </c>
      <c r="C540" s="425" t="s">
        <v>481</v>
      </c>
      <c r="D540" s="425" t="s">
        <v>491</v>
      </c>
      <c r="E540" s="425" t="s">
        <v>633</v>
      </c>
      <c r="F540" s="425" t="s">
        <v>576</v>
      </c>
      <c r="G540" s="425"/>
      <c r="H540" s="426">
        <v>45.36</v>
      </c>
      <c r="I540" s="426">
        <v>45.36</v>
      </c>
      <c r="J540" s="426"/>
      <c r="K540" s="426"/>
      <c r="L540" s="426"/>
      <c r="M540" s="426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 spans="1:27" ht="13">
      <c r="A541" s="54">
        <v>2023</v>
      </c>
      <c r="B541" s="497">
        <v>45291</v>
      </c>
      <c r="C541" s="425" t="s">
        <v>481</v>
      </c>
      <c r="D541" s="425" t="s">
        <v>491</v>
      </c>
      <c r="E541" s="425" t="s">
        <v>638</v>
      </c>
      <c r="F541" s="425" t="s">
        <v>576</v>
      </c>
      <c r="G541" s="425"/>
      <c r="H541" s="426">
        <v>247.39</v>
      </c>
      <c r="I541" s="426">
        <v>247.39</v>
      </c>
      <c r="J541" s="426"/>
      <c r="K541" s="426"/>
      <c r="L541" s="426"/>
      <c r="M541" s="426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 spans="1:27" ht="13">
      <c r="A542" s="54">
        <v>2023</v>
      </c>
      <c r="B542" s="497">
        <v>45291</v>
      </c>
      <c r="C542" s="425" t="s">
        <v>481</v>
      </c>
      <c r="D542" s="425" t="s">
        <v>491</v>
      </c>
      <c r="E542" s="425" t="s">
        <v>601</v>
      </c>
      <c r="F542" s="425" t="s">
        <v>576</v>
      </c>
      <c r="G542" s="425"/>
      <c r="H542" s="426">
        <v>129.47999999999999</v>
      </c>
      <c r="I542" s="426">
        <v>129.47999999999999</v>
      </c>
      <c r="J542" s="426"/>
      <c r="K542" s="426"/>
      <c r="L542" s="426"/>
      <c r="M542" s="426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 spans="1:27" ht="13">
      <c r="A543" s="54">
        <v>2023</v>
      </c>
      <c r="B543" s="497">
        <v>45291</v>
      </c>
      <c r="C543" s="425" t="s">
        <v>481</v>
      </c>
      <c r="D543" s="425" t="s">
        <v>491</v>
      </c>
      <c r="E543" s="425" t="s">
        <v>602</v>
      </c>
      <c r="F543" s="425" t="s">
        <v>576</v>
      </c>
      <c r="G543" s="425"/>
      <c r="H543" s="426">
        <v>1347.02</v>
      </c>
      <c r="I543" s="426">
        <v>1347.02</v>
      </c>
      <c r="J543" s="426"/>
      <c r="K543" s="426"/>
      <c r="L543" s="426"/>
      <c r="M543" s="426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 spans="1:27" ht="13">
      <c r="A544" s="54">
        <v>2023</v>
      </c>
      <c r="B544" s="497">
        <v>45291</v>
      </c>
      <c r="C544" s="425" t="s">
        <v>481</v>
      </c>
      <c r="D544" s="425" t="s">
        <v>491</v>
      </c>
      <c r="E544" s="498" t="s">
        <v>654</v>
      </c>
      <c r="F544" s="425" t="s">
        <v>576</v>
      </c>
      <c r="G544" s="425"/>
      <c r="H544" s="426">
        <v>27.38</v>
      </c>
      <c r="I544" s="426">
        <v>27.38</v>
      </c>
      <c r="J544" s="426"/>
      <c r="K544" s="426"/>
      <c r="L544" s="426"/>
      <c r="M544" s="426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 spans="1:27" ht="13">
      <c r="A545" s="54">
        <v>2023</v>
      </c>
      <c r="B545" s="497">
        <v>45291</v>
      </c>
      <c r="C545" s="425" t="s">
        <v>481</v>
      </c>
      <c r="D545" s="425" t="s">
        <v>491</v>
      </c>
      <c r="E545" s="425" t="s">
        <v>498</v>
      </c>
      <c r="F545" s="425" t="s">
        <v>576</v>
      </c>
      <c r="G545" s="425"/>
      <c r="H545" s="426">
        <v>8.8800000000000008</v>
      </c>
      <c r="I545" s="426">
        <v>8.8800000000000008</v>
      </c>
      <c r="J545" s="426"/>
      <c r="K545" s="426"/>
      <c r="L545" s="426"/>
      <c r="M545" s="42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 spans="1:27" ht="13">
      <c r="A546" s="54">
        <v>2023</v>
      </c>
      <c r="B546" s="497">
        <v>45291</v>
      </c>
      <c r="C546" s="425" t="s">
        <v>481</v>
      </c>
      <c r="D546" s="425" t="s">
        <v>491</v>
      </c>
      <c r="E546" s="425" t="s">
        <v>591</v>
      </c>
      <c r="F546" s="425" t="s">
        <v>576</v>
      </c>
      <c r="G546" s="425"/>
      <c r="H546" s="426">
        <v>20</v>
      </c>
      <c r="I546" s="426">
        <v>20</v>
      </c>
      <c r="J546" s="426"/>
      <c r="K546" s="426"/>
      <c r="L546" s="426"/>
      <c r="M546" s="42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 spans="1:27" ht="13">
      <c r="A547" s="54">
        <v>2023</v>
      </c>
      <c r="B547" s="497">
        <v>45291</v>
      </c>
      <c r="C547" s="425" t="s">
        <v>481</v>
      </c>
      <c r="D547" s="425" t="s">
        <v>491</v>
      </c>
      <c r="E547" s="425" t="s">
        <v>639</v>
      </c>
      <c r="F547" s="425" t="s">
        <v>576</v>
      </c>
      <c r="G547" s="425"/>
      <c r="H547" s="426">
        <v>45</v>
      </c>
      <c r="I547" s="426">
        <v>45</v>
      </c>
      <c r="J547" s="426"/>
      <c r="K547" s="426"/>
      <c r="L547" s="426"/>
      <c r="M547" s="42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 spans="1:27" ht="13">
      <c r="A548" s="54">
        <v>2023</v>
      </c>
      <c r="B548" s="497">
        <v>45291</v>
      </c>
      <c r="C548" s="425" t="s">
        <v>481</v>
      </c>
      <c r="D548" s="425" t="s">
        <v>491</v>
      </c>
      <c r="E548" s="425" t="s">
        <v>592</v>
      </c>
      <c r="F548" s="425" t="s">
        <v>576</v>
      </c>
      <c r="G548" s="425"/>
      <c r="H548" s="426">
        <v>40</v>
      </c>
      <c r="I548" s="426">
        <v>40</v>
      </c>
      <c r="J548" s="426"/>
      <c r="K548" s="426"/>
      <c r="L548" s="426"/>
      <c r="M548" s="42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 spans="1:27" ht="13">
      <c r="A549" s="54">
        <v>2023</v>
      </c>
      <c r="B549" s="497">
        <v>45291</v>
      </c>
      <c r="C549" s="425" t="s">
        <v>481</v>
      </c>
      <c r="D549" s="425" t="s">
        <v>491</v>
      </c>
      <c r="E549" s="425" t="s">
        <v>532</v>
      </c>
      <c r="F549" s="425" t="s">
        <v>576</v>
      </c>
      <c r="G549" s="425"/>
      <c r="H549" s="426">
        <v>15</v>
      </c>
      <c r="I549" s="426">
        <v>15</v>
      </c>
      <c r="J549" s="426"/>
      <c r="K549" s="426"/>
      <c r="L549" s="426"/>
      <c r="M549" s="42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 spans="1:27" ht="13">
      <c r="A550" s="54">
        <v>2023</v>
      </c>
      <c r="B550" s="497">
        <v>45291</v>
      </c>
      <c r="C550" s="425" t="s">
        <v>481</v>
      </c>
      <c r="D550" s="425" t="s">
        <v>491</v>
      </c>
      <c r="E550" s="499" t="s">
        <v>654</v>
      </c>
      <c r="F550" s="425" t="s">
        <v>576</v>
      </c>
      <c r="G550" s="425"/>
      <c r="H550" s="426">
        <v>40.82</v>
      </c>
      <c r="I550" s="426">
        <v>40.82</v>
      </c>
      <c r="J550" s="426"/>
      <c r="K550" s="426"/>
      <c r="L550" s="426"/>
      <c r="M550" s="42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 spans="1:27" ht="13">
      <c r="A551" s="54">
        <v>2023</v>
      </c>
      <c r="B551" s="497">
        <v>45291</v>
      </c>
      <c r="C551" s="425" t="s">
        <v>481</v>
      </c>
      <c r="D551" s="425" t="s">
        <v>491</v>
      </c>
      <c r="E551" s="499" t="s">
        <v>654</v>
      </c>
      <c r="F551" s="425" t="s">
        <v>576</v>
      </c>
      <c r="G551" s="425"/>
      <c r="H551" s="426">
        <v>40.82</v>
      </c>
      <c r="I551" s="426">
        <v>40.82</v>
      </c>
      <c r="J551" s="426"/>
      <c r="K551" s="426"/>
      <c r="L551" s="426"/>
      <c r="M551" s="42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 spans="1:27" ht="13">
      <c r="A552" s="54">
        <v>2023</v>
      </c>
      <c r="B552" s="497">
        <v>45291</v>
      </c>
      <c r="C552" s="425" t="s">
        <v>481</v>
      </c>
      <c r="D552" s="425" t="s">
        <v>491</v>
      </c>
      <c r="E552" s="499" t="s">
        <v>654</v>
      </c>
      <c r="F552" s="425" t="s">
        <v>576</v>
      </c>
      <c r="G552" s="425"/>
      <c r="H552" s="426">
        <v>-25.71</v>
      </c>
      <c r="I552" s="426">
        <v>-25.71</v>
      </c>
      <c r="J552" s="426"/>
      <c r="K552" s="426"/>
      <c r="L552" s="426"/>
      <c r="M552" s="42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 spans="1:27" ht="13">
      <c r="A553" s="54">
        <v>2023</v>
      </c>
      <c r="B553" s="500">
        <v>45291</v>
      </c>
      <c r="C553" s="436" t="s">
        <v>481</v>
      </c>
      <c r="D553" s="436" t="s">
        <v>491</v>
      </c>
      <c r="E553" s="436" t="s">
        <v>534</v>
      </c>
      <c r="F553" s="436" t="s">
        <v>576</v>
      </c>
      <c r="G553" s="436"/>
      <c r="H553" s="437">
        <v>15.99</v>
      </c>
      <c r="I553" s="437">
        <v>15.99</v>
      </c>
      <c r="J553" s="437"/>
      <c r="K553" s="437"/>
      <c r="L553" s="437"/>
      <c r="M553" s="436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 spans="1:27" ht="13">
      <c r="A554" s="501">
        <v>2024</v>
      </c>
      <c r="B554" s="502">
        <v>45293</v>
      </c>
      <c r="C554" s="503" t="s">
        <v>481</v>
      </c>
      <c r="D554" s="503" t="s">
        <v>493</v>
      </c>
      <c r="E554" s="503" t="s">
        <v>63</v>
      </c>
      <c r="F554" s="503" t="s">
        <v>480</v>
      </c>
      <c r="G554" s="504"/>
      <c r="H554" s="504"/>
      <c r="I554" s="504"/>
      <c r="J554" s="504">
        <v>74.97</v>
      </c>
      <c r="K554" s="504">
        <v>74.97</v>
      </c>
      <c r="L554" s="504"/>
      <c r="M554" s="503"/>
      <c r="N554" s="505"/>
      <c r="O554" s="505"/>
      <c r="P554" s="505"/>
      <c r="Q554" s="505"/>
      <c r="R554" s="505"/>
      <c r="S554" s="505"/>
      <c r="T554" s="505"/>
      <c r="U554" s="505"/>
      <c r="V554" s="505"/>
      <c r="W554" s="505"/>
      <c r="X554" s="505"/>
      <c r="Y554" s="505"/>
      <c r="Z554" s="505"/>
      <c r="AA554" s="505"/>
    </row>
    <row r="555" spans="1:27" ht="13">
      <c r="A555" s="54">
        <v>2024</v>
      </c>
      <c r="B555" s="472">
        <v>45300</v>
      </c>
      <c r="C555" s="473" t="s">
        <v>481</v>
      </c>
      <c r="D555" s="473" t="s">
        <v>489</v>
      </c>
      <c r="E555" s="473" t="s">
        <v>521</v>
      </c>
      <c r="F555" s="473" t="s">
        <v>579</v>
      </c>
      <c r="G555" s="476"/>
      <c r="H555" s="476">
        <v>127.64</v>
      </c>
      <c r="I555" s="476">
        <v>104.62</v>
      </c>
      <c r="J555" s="476"/>
      <c r="K555" s="476"/>
      <c r="L555" s="476">
        <f>23.02*M555</f>
        <v>905.58377999999993</v>
      </c>
      <c r="M555" s="473">
        <v>39.338999999999999</v>
      </c>
      <c r="N555" s="45"/>
      <c r="O555" s="45"/>
      <c r="P555" s="341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 spans="1:27" ht="13">
      <c r="A556" s="54">
        <v>2024</v>
      </c>
      <c r="B556" s="472">
        <v>45300</v>
      </c>
      <c r="C556" s="473" t="s">
        <v>481</v>
      </c>
      <c r="D556" s="473" t="s">
        <v>493</v>
      </c>
      <c r="E556" s="473" t="s">
        <v>63</v>
      </c>
      <c r="F556" s="473" t="s">
        <v>480</v>
      </c>
      <c r="G556" s="476"/>
      <c r="H556" s="476">
        <v>1.9</v>
      </c>
      <c r="I556" s="476">
        <v>1.9</v>
      </c>
      <c r="J556" s="476"/>
      <c r="K556" s="476"/>
      <c r="L556" s="476"/>
      <c r="M556" s="473"/>
      <c r="N556" s="45"/>
      <c r="O556" s="54"/>
      <c r="P556" s="346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 spans="1:27" ht="13">
      <c r="A557" s="54">
        <v>2024</v>
      </c>
      <c r="B557" s="472">
        <v>45303</v>
      </c>
      <c r="C557" s="473" t="s">
        <v>481</v>
      </c>
      <c r="D557" s="473" t="s">
        <v>493</v>
      </c>
      <c r="E557" s="473" t="s">
        <v>63</v>
      </c>
      <c r="F557" s="473" t="s">
        <v>480</v>
      </c>
      <c r="G557" s="476"/>
      <c r="H557" s="476">
        <v>1.9</v>
      </c>
      <c r="I557" s="476">
        <v>1.9</v>
      </c>
      <c r="J557" s="476"/>
      <c r="K557" s="476"/>
      <c r="L557" s="476"/>
      <c r="M557" s="473"/>
      <c r="N557" s="45"/>
      <c r="O557" s="54"/>
      <c r="P557" s="346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 spans="1:27" ht="13">
      <c r="A558" s="54">
        <v>2024</v>
      </c>
      <c r="B558" s="472">
        <v>45303</v>
      </c>
      <c r="C558" s="473" t="s">
        <v>481</v>
      </c>
      <c r="D558" s="473" t="s">
        <v>493</v>
      </c>
      <c r="E558" s="473" t="s">
        <v>666</v>
      </c>
      <c r="F558" s="473" t="s">
        <v>667</v>
      </c>
      <c r="G558" s="476"/>
      <c r="H558" s="476"/>
      <c r="I558" s="476"/>
      <c r="J558" s="476">
        <v>3600</v>
      </c>
      <c r="K558" s="476">
        <v>3600</v>
      </c>
      <c r="L558" s="476"/>
      <c r="M558" s="473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 spans="1:27" ht="13">
      <c r="A559" s="54">
        <v>2024</v>
      </c>
      <c r="B559" s="472">
        <v>45303</v>
      </c>
      <c r="C559" s="473" t="s">
        <v>481</v>
      </c>
      <c r="D559" s="473" t="s">
        <v>484</v>
      </c>
      <c r="E559" s="473" t="s">
        <v>644</v>
      </c>
      <c r="F559" s="473" t="s">
        <v>668</v>
      </c>
      <c r="G559" s="476"/>
      <c r="H559" s="476"/>
      <c r="I559" s="476"/>
      <c r="J559" s="476">
        <v>2256</v>
      </c>
      <c r="K559" s="476">
        <v>2256</v>
      </c>
      <c r="L559" s="476"/>
      <c r="M559" s="473"/>
      <c r="N559" s="45"/>
      <c r="O559" s="469" t="s">
        <v>457</v>
      </c>
      <c r="P559" s="470"/>
      <c r="Q559" s="45"/>
      <c r="R559" s="45"/>
      <c r="S559" s="491" t="s">
        <v>669</v>
      </c>
      <c r="T559" s="492"/>
      <c r="U559" s="45"/>
      <c r="V559" s="45"/>
      <c r="W559" s="45"/>
      <c r="X559" s="45"/>
      <c r="Y559" s="45"/>
      <c r="Z559" s="45"/>
      <c r="AA559" s="45"/>
    </row>
    <row r="560" spans="1:27" ht="13">
      <c r="A560" s="54">
        <v>2024</v>
      </c>
      <c r="B560" s="472">
        <v>45306</v>
      </c>
      <c r="C560" s="473" t="s">
        <v>481</v>
      </c>
      <c r="D560" s="473" t="s">
        <v>493</v>
      </c>
      <c r="E560" s="473" t="s">
        <v>479</v>
      </c>
      <c r="F560" s="473" t="s">
        <v>514</v>
      </c>
      <c r="G560" s="476"/>
      <c r="H560" s="476"/>
      <c r="I560" s="476"/>
      <c r="J560" s="476">
        <v>1264</v>
      </c>
      <c r="K560" s="476">
        <v>1264</v>
      </c>
      <c r="L560" s="476"/>
      <c r="M560" s="473"/>
      <c r="N560" s="45"/>
      <c r="O560" s="470">
        <f>SUM(Facturacion!I83:I86)</f>
        <v>158109.66380000001</v>
      </c>
      <c r="P560" s="470"/>
      <c r="Q560" s="45"/>
      <c r="R560" s="45"/>
      <c r="S560" s="491" t="s">
        <v>411</v>
      </c>
      <c r="T560" s="470">
        <f>SUM(K554:K597)</f>
        <v>57587.761370000015</v>
      </c>
      <c r="U560" s="45"/>
      <c r="V560" s="45"/>
      <c r="W560" s="45"/>
      <c r="X560" s="45"/>
      <c r="Y560" s="45"/>
      <c r="Z560" s="45"/>
      <c r="AA560" s="45"/>
    </row>
    <row r="561" spans="1:27" ht="13">
      <c r="A561" s="54">
        <v>2024</v>
      </c>
      <c r="B561" s="472">
        <v>45306</v>
      </c>
      <c r="C561" s="473" t="s">
        <v>481</v>
      </c>
      <c r="D561" s="473" t="s">
        <v>493</v>
      </c>
      <c r="E561" s="473" t="s">
        <v>456</v>
      </c>
      <c r="F561" s="473" t="s">
        <v>670</v>
      </c>
      <c r="G561" s="476"/>
      <c r="H561" s="476"/>
      <c r="I561" s="476"/>
      <c r="J561" s="476">
        <v>5039</v>
      </c>
      <c r="K561" s="476">
        <v>4130.33</v>
      </c>
      <c r="L561" s="476">
        <v>908.67</v>
      </c>
      <c r="M561" s="473"/>
      <c r="N561" s="45"/>
      <c r="O561" s="469" t="s">
        <v>461</v>
      </c>
      <c r="P561" s="469" t="s">
        <v>462</v>
      </c>
      <c r="Q561" s="45"/>
      <c r="R561" s="45"/>
      <c r="S561" s="469" t="s">
        <v>584</v>
      </c>
      <c r="T561" s="470">
        <f>SUM(I554:I597)</f>
        <v>43684.849999999991</v>
      </c>
      <c r="U561" s="45"/>
      <c r="V561" s="45"/>
      <c r="W561" s="45"/>
      <c r="X561" s="45"/>
      <c r="Y561" s="45"/>
      <c r="Z561" s="45"/>
      <c r="AA561" s="45"/>
    </row>
    <row r="562" spans="1:27" ht="13">
      <c r="A562" s="54">
        <v>2024</v>
      </c>
      <c r="B562" s="472">
        <v>45308</v>
      </c>
      <c r="C562" s="473" t="s">
        <v>481</v>
      </c>
      <c r="D562" s="473" t="s">
        <v>493</v>
      </c>
      <c r="E562" s="473" t="s">
        <v>400</v>
      </c>
      <c r="F562" s="473" t="s">
        <v>671</v>
      </c>
      <c r="G562" s="476"/>
      <c r="H562" s="476"/>
      <c r="I562" s="476"/>
      <c r="J562" s="476">
        <v>51102.75</v>
      </c>
      <c r="K562" s="476">
        <f t="shared" ref="K562:K563" si="17">J562-L562</f>
        <v>41887.5</v>
      </c>
      <c r="L562" s="476">
        <v>9215.25</v>
      </c>
      <c r="M562" s="473"/>
      <c r="N562" s="45"/>
      <c r="O562" s="470">
        <f>SUM(L554:L597)</f>
        <v>315366.57243</v>
      </c>
      <c r="P562" s="470">
        <f>O560-O562</f>
        <v>-157256.90862999999</v>
      </c>
      <c r="Q562" s="45"/>
      <c r="R562" s="45"/>
      <c r="S562" s="491"/>
      <c r="T562" s="492"/>
      <c r="U562" s="45"/>
      <c r="V562" s="45"/>
      <c r="W562" s="45"/>
      <c r="X562" s="45"/>
      <c r="Y562" s="45"/>
      <c r="Z562" s="45"/>
      <c r="AA562" s="45"/>
    </row>
    <row r="563" spans="1:27" ht="13">
      <c r="A563" s="54">
        <v>2024</v>
      </c>
      <c r="B563" s="472">
        <v>45309</v>
      </c>
      <c r="C563" s="473" t="s">
        <v>481</v>
      </c>
      <c r="D563" s="473" t="s">
        <v>494</v>
      </c>
      <c r="E563" s="473" t="s">
        <v>521</v>
      </c>
      <c r="F563" s="473" t="s">
        <v>544</v>
      </c>
      <c r="G563" s="476"/>
      <c r="H563" s="476"/>
      <c r="I563" s="476"/>
      <c r="J563" s="476">
        <v>2348</v>
      </c>
      <c r="K563" s="476">
        <f t="shared" si="17"/>
        <v>1924.52</v>
      </c>
      <c r="L563" s="476">
        <v>423.48</v>
      </c>
      <c r="M563" s="473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 spans="1:27" ht="13">
      <c r="A564" s="54">
        <v>2024</v>
      </c>
      <c r="B564" s="472">
        <v>45309</v>
      </c>
      <c r="C564" s="473" t="s">
        <v>481</v>
      </c>
      <c r="D564" s="473" t="s">
        <v>494</v>
      </c>
      <c r="E564" s="473" t="s">
        <v>502</v>
      </c>
      <c r="F564" s="473" t="s">
        <v>522</v>
      </c>
      <c r="G564" s="476"/>
      <c r="H564" s="476"/>
      <c r="I564" s="476"/>
      <c r="J564" s="476">
        <v>73397</v>
      </c>
      <c r="K564" s="476">
        <v>73397</v>
      </c>
      <c r="L564" s="476"/>
      <c r="M564" s="473"/>
      <c r="N564" s="45"/>
      <c r="O564" s="45" t="s">
        <v>672</v>
      </c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 spans="1:27" ht="13">
      <c r="A565" s="54">
        <v>2024</v>
      </c>
      <c r="B565" s="472">
        <v>45309</v>
      </c>
      <c r="C565" s="473" t="s">
        <v>481</v>
      </c>
      <c r="D565" s="473" t="s">
        <v>494</v>
      </c>
      <c r="E565" s="473" t="s">
        <v>502</v>
      </c>
      <c r="F565" s="473" t="s">
        <v>543</v>
      </c>
      <c r="G565" s="476"/>
      <c r="H565" s="476"/>
      <c r="I565" s="476"/>
      <c r="J565" s="476">
        <v>3999</v>
      </c>
      <c r="K565" s="476">
        <v>3999</v>
      </c>
      <c r="L565" s="476"/>
      <c r="M565" s="473"/>
      <c r="N565" s="45"/>
      <c r="O565" s="68">
        <f>O562-L570</f>
        <v>21990.594779999985</v>
      </c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 spans="1:27" ht="13">
      <c r="A566" s="54">
        <v>2024</v>
      </c>
      <c r="B566" s="472">
        <v>45309</v>
      </c>
      <c r="C566" s="473" t="s">
        <v>481</v>
      </c>
      <c r="D566" s="473" t="s">
        <v>493</v>
      </c>
      <c r="E566" s="473" t="s">
        <v>479</v>
      </c>
      <c r="F566" s="473" t="s">
        <v>480</v>
      </c>
      <c r="G566" s="476"/>
      <c r="H566" s="476">
        <v>1.9</v>
      </c>
      <c r="I566" s="476">
        <v>1.9</v>
      </c>
      <c r="J566" s="476"/>
      <c r="K566" s="476"/>
      <c r="L566" s="476"/>
      <c r="M566" s="473"/>
      <c r="N566" s="45"/>
      <c r="O566" s="45" t="s">
        <v>673</v>
      </c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 spans="1:27" ht="13">
      <c r="A567" s="54">
        <v>2024</v>
      </c>
      <c r="B567" s="472">
        <v>45309</v>
      </c>
      <c r="C567" s="473" t="s">
        <v>474</v>
      </c>
      <c r="D567" s="473" t="s">
        <v>493</v>
      </c>
      <c r="E567" s="473" t="s">
        <v>479</v>
      </c>
      <c r="F567" s="473" t="s">
        <v>480</v>
      </c>
      <c r="G567" s="473"/>
      <c r="H567" s="476">
        <v>40</v>
      </c>
      <c r="I567" s="476">
        <v>40</v>
      </c>
      <c r="J567" s="476"/>
      <c r="K567" s="476"/>
      <c r="L567" s="476"/>
      <c r="M567" s="473"/>
      <c r="N567" s="45"/>
      <c r="O567" s="68">
        <f>O560-O565</f>
        <v>136119.06902000002</v>
      </c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 spans="1:27" ht="13">
      <c r="A568" s="54">
        <v>2024</v>
      </c>
      <c r="B568" s="472">
        <v>45309</v>
      </c>
      <c r="C568" s="473" t="s">
        <v>474</v>
      </c>
      <c r="D568" s="473" t="s">
        <v>554</v>
      </c>
      <c r="E568" s="473" t="s">
        <v>540</v>
      </c>
      <c r="F568" s="473" t="s">
        <v>459</v>
      </c>
      <c r="G568" s="476"/>
      <c r="H568" s="476">
        <v>1690</v>
      </c>
      <c r="I568" s="476">
        <v>1690</v>
      </c>
      <c r="J568" s="476"/>
      <c r="K568" s="476"/>
      <c r="L568" s="476"/>
      <c r="M568" s="473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 spans="1:27" ht="13">
      <c r="A569" s="54">
        <v>2024</v>
      </c>
      <c r="B569" s="472">
        <v>45314</v>
      </c>
      <c r="C569" s="473" t="s">
        <v>481</v>
      </c>
      <c r="D569" s="473" t="s">
        <v>493</v>
      </c>
      <c r="E569" s="473" t="s">
        <v>479</v>
      </c>
      <c r="F569" s="473" t="s">
        <v>480</v>
      </c>
      <c r="G569" s="476"/>
      <c r="H569" s="476">
        <v>25</v>
      </c>
      <c r="I569" s="476">
        <v>25</v>
      </c>
      <c r="J569" s="476"/>
      <c r="K569" s="476"/>
      <c r="L569" s="476"/>
      <c r="M569" s="473"/>
      <c r="N569" s="45"/>
      <c r="O569" s="45"/>
      <c r="P569" s="506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 spans="1:27" ht="13">
      <c r="A570" s="54">
        <v>2024</v>
      </c>
      <c r="B570" s="472">
        <v>45314</v>
      </c>
      <c r="C570" s="473" t="s">
        <v>481</v>
      </c>
      <c r="D570" s="473" t="s">
        <v>493</v>
      </c>
      <c r="E570" s="473" t="s">
        <v>674</v>
      </c>
      <c r="F570" s="473" t="s">
        <v>675</v>
      </c>
      <c r="G570" s="476"/>
      <c r="H570" s="476">
        <v>41990</v>
      </c>
      <c r="I570" s="476">
        <v>34418</v>
      </c>
      <c r="J570" s="476"/>
      <c r="K570" s="476"/>
      <c r="L570" s="476">
        <f>7571.97*M570</f>
        <v>293375.97765000002</v>
      </c>
      <c r="M570" s="473">
        <v>38.744999999999997</v>
      </c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 spans="1:27" ht="13">
      <c r="A571" s="54">
        <v>2024</v>
      </c>
      <c r="B571" s="472">
        <v>45315</v>
      </c>
      <c r="C571" s="473" t="s">
        <v>481</v>
      </c>
      <c r="D571" s="473" t="s">
        <v>493</v>
      </c>
      <c r="E571" s="473" t="s">
        <v>676</v>
      </c>
      <c r="F571" s="473" t="s">
        <v>677</v>
      </c>
      <c r="G571" s="476"/>
      <c r="H571" s="476"/>
      <c r="I571" s="476"/>
      <c r="J571" s="476">
        <v>10980</v>
      </c>
      <c r="K571" s="476">
        <f>J571-L571</f>
        <v>9000</v>
      </c>
      <c r="L571" s="476">
        <v>1980</v>
      </c>
      <c r="M571" s="473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 spans="1:27" ht="13">
      <c r="A572" s="54">
        <v>2024</v>
      </c>
      <c r="B572" s="472">
        <v>45317</v>
      </c>
      <c r="C572" s="473" t="s">
        <v>481</v>
      </c>
      <c r="D572" s="473" t="s">
        <v>493</v>
      </c>
      <c r="E572" s="473" t="s">
        <v>479</v>
      </c>
      <c r="F572" s="473" t="s">
        <v>660</v>
      </c>
      <c r="G572" s="476"/>
      <c r="H572" s="476">
        <v>37.32</v>
      </c>
      <c r="I572" s="476">
        <v>37.32</v>
      </c>
      <c r="J572" s="476">
        <v>1720</v>
      </c>
      <c r="K572" s="476">
        <v>1720</v>
      </c>
      <c r="L572" s="476"/>
      <c r="M572" s="473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 spans="1:27" ht="13">
      <c r="A573" s="54">
        <v>2024</v>
      </c>
      <c r="B573" s="472">
        <v>45317</v>
      </c>
      <c r="C573" s="473" t="s">
        <v>481</v>
      </c>
      <c r="D573" s="473" t="s">
        <v>494</v>
      </c>
      <c r="E573" s="473" t="s">
        <v>512</v>
      </c>
      <c r="F573" s="473" t="s">
        <v>528</v>
      </c>
      <c r="G573" s="476"/>
      <c r="H573" s="476"/>
      <c r="I573" s="476"/>
      <c r="J573" s="476">
        <f>P562</f>
        <v>-157256.90862999999</v>
      </c>
      <c r="K573" s="476">
        <f>P562</f>
        <v>-157256.90862999999</v>
      </c>
      <c r="L573" s="476"/>
      <c r="M573" s="473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 spans="1:27" ht="13">
      <c r="A574" s="54">
        <v>2024</v>
      </c>
      <c r="B574" s="472">
        <v>45317</v>
      </c>
      <c r="C574" s="473" t="s">
        <v>481</v>
      </c>
      <c r="D574" s="473" t="s">
        <v>494</v>
      </c>
      <c r="E574" s="473" t="s">
        <v>512</v>
      </c>
      <c r="F574" s="473" t="s">
        <v>574</v>
      </c>
      <c r="G574" s="476"/>
      <c r="H574" s="476"/>
      <c r="I574" s="476"/>
      <c r="J574" s="476">
        <v>1389</v>
      </c>
      <c r="K574" s="476">
        <v>1389</v>
      </c>
      <c r="L574" s="476"/>
      <c r="M574" s="473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 spans="1:27" ht="13">
      <c r="A575" s="54">
        <v>2024</v>
      </c>
      <c r="B575" s="472">
        <v>45321</v>
      </c>
      <c r="C575" s="473" t="s">
        <v>481</v>
      </c>
      <c r="D575" s="473" t="s">
        <v>493</v>
      </c>
      <c r="E575" s="473" t="s">
        <v>674</v>
      </c>
      <c r="F575" s="473" t="s">
        <v>678</v>
      </c>
      <c r="G575" s="476"/>
      <c r="H575" s="476">
        <v>1036</v>
      </c>
      <c r="I575" s="476">
        <v>849.18</v>
      </c>
      <c r="J575" s="476"/>
      <c r="K575" s="476"/>
      <c r="L575" s="476">
        <f>186.82*M575</f>
        <v>7295.320999999999</v>
      </c>
      <c r="M575" s="473">
        <v>39.049999999999997</v>
      </c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 spans="1:27" ht="13">
      <c r="A576" s="54">
        <v>2024</v>
      </c>
      <c r="B576" s="472">
        <v>45322</v>
      </c>
      <c r="C576" s="473" t="s">
        <v>481</v>
      </c>
      <c r="D576" s="473" t="s">
        <v>493</v>
      </c>
      <c r="E576" s="473" t="s">
        <v>63</v>
      </c>
      <c r="F576" s="473" t="s">
        <v>539</v>
      </c>
      <c r="G576" s="476"/>
      <c r="H576" s="476"/>
      <c r="I576" s="476"/>
      <c r="J576" s="476">
        <v>792.65</v>
      </c>
      <c r="K576" s="476">
        <v>792.65</v>
      </c>
      <c r="L576" s="476"/>
      <c r="M576" s="473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 spans="1:27" ht="13">
      <c r="A577" s="54">
        <v>2024</v>
      </c>
      <c r="B577" s="472">
        <v>45322</v>
      </c>
      <c r="C577" s="473" t="s">
        <v>481</v>
      </c>
      <c r="D577" s="473" t="s">
        <v>484</v>
      </c>
      <c r="E577" s="473" t="s">
        <v>644</v>
      </c>
      <c r="F577" s="473" t="s">
        <v>488</v>
      </c>
      <c r="G577" s="476"/>
      <c r="H577" s="476"/>
      <c r="I577" s="476"/>
      <c r="J577" s="476">
        <v>63672</v>
      </c>
      <c r="K577" s="476">
        <v>63672</v>
      </c>
      <c r="L577" s="476"/>
      <c r="M577" s="473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 spans="1:27" ht="13">
      <c r="A578" s="54">
        <v>2024</v>
      </c>
      <c r="B578" s="472">
        <v>45322</v>
      </c>
      <c r="C578" s="473" t="s">
        <v>679</v>
      </c>
      <c r="D578" s="473" t="s">
        <v>482</v>
      </c>
      <c r="E578" s="473" t="s">
        <v>680</v>
      </c>
      <c r="F578" s="473" t="s">
        <v>459</v>
      </c>
      <c r="G578" s="476"/>
      <c r="H578" s="476">
        <v>1100</v>
      </c>
      <c r="I578" s="476">
        <v>1100</v>
      </c>
      <c r="J578" s="476"/>
      <c r="K578" s="476"/>
      <c r="L578" s="476"/>
      <c r="M578" s="473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 spans="1:27" ht="13">
      <c r="A579" s="54">
        <v>2024</v>
      </c>
      <c r="B579" s="472">
        <v>45322</v>
      </c>
      <c r="C579" s="473" t="s">
        <v>474</v>
      </c>
      <c r="D579" s="473" t="s">
        <v>482</v>
      </c>
      <c r="E579" s="473" t="s">
        <v>483</v>
      </c>
      <c r="F579" s="473" t="s">
        <v>459</v>
      </c>
      <c r="G579" s="476"/>
      <c r="H579" s="476">
        <v>1056</v>
      </c>
      <c r="I579" s="476">
        <v>1056</v>
      </c>
      <c r="J579" s="476"/>
      <c r="K579" s="476"/>
      <c r="L579" s="476"/>
      <c r="M579" s="473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 spans="1:27" ht="13">
      <c r="A580" s="54">
        <v>2024</v>
      </c>
      <c r="B580" s="472">
        <v>45322</v>
      </c>
      <c r="C580" s="473" t="s">
        <v>474</v>
      </c>
      <c r="D580" s="473" t="s">
        <v>482</v>
      </c>
      <c r="E580" s="473" t="s">
        <v>535</v>
      </c>
      <c r="F580" s="473" t="s">
        <v>459</v>
      </c>
      <c r="G580" s="476"/>
      <c r="H580" s="476">
        <v>1056</v>
      </c>
      <c r="I580" s="476">
        <v>1056</v>
      </c>
      <c r="J580" s="476"/>
      <c r="K580" s="476"/>
      <c r="L580" s="476"/>
      <c r="M580" s="473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 spans="1:27" ht="13">
      <c r="A581" s="54">
        <v>2024</v>
      </c>
      <c r="B581" s="472">
        <v>45322</v>
      </c>
      <c r="C581" s="473" t="s">
        <v>474</v>
      </c>
      <c r="D581" s="473" t="s">
        <v>482</v>
      </c>
      <c r="E581" s="473" t="s">
        <v>541</v>
      </c>
      <c r="F581" s="473" t="s">
        <v>459</v>
      </c>
      <c r="G581" s="476"/>
      <c r="H581" s="476">
        <v>1056</v>
      </c>
      <c r="I581" s="476">
        <v>1056</v>
      </c>
      <c r="J581" s="476"/>
      <c r="K581" s="476"/>
      <c r="L581" s="476"/>
      <c r="M581" s="473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 spans="1:27" ht="13">
      <c r="A582" s="54">
        <v>2024</v>
      </c>
      <c r="B582" s="472">
        <v>45322</v>
      </c>
      <c r="C582" s="473" t="s">
        <v>474</v>
      </c>
      <c r="D582" s="473" t="s">
        <v>482</v>
      </c>
      <c r="E582" s="473" t="s">
        <v>537</v>
      </c>
      <c r="F582" s="473" t="s">
        <v>459</v>
      </c>
      <c r="G582" s="476"/>
      <c r="H582" s="476">
        <v>792</v>
      </c>
      <c r="I582" s="476">
        <v>792</v>
      </c>
      <c r="J582" s="476"/>
      <c r="K582" s="476"/>
      <c r="L582" s="476"/>
      <c r="M582" s="473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 spans="1:27" ht="13">
      <c r="A583" s="54">
        <v>2024</v>
      </c>
      <c r="B583" s="472">
        <v>45322</v>
      </c>
      <c r="C583" s="473" t="s">
        <v>474</v>
      </c>
      <c r="D583" s="473" t="s">
        <v>490</v>
      </c>
      <c r="E583" s="473" t="s">
        <v>663</v>
      </c>
      <c r="F583" s="473" t="s">
        <v>558</v>
      </c>
      <c r="G583" s="476"/>
      <c r="H583" s="476">
        <v>31</v>
      </c>
      <c r="I583" s="476">
        <v>31</v>
      </c>
      <c r="J583" s="476"/>
      <c r="K583" s="476"/>
      <c r="L583" s="476"/>
      <c r="M583" s="473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 spans="1:27" ht="13">
      <c r="A584" s="54">
        <v>2024</v>
      </c>
      <c r="B584" s="472">
        <v>45322</v>
      </c>
      <c r="C584" s="473" t="s">
        <v>474</v>
      </c>
      <c r="D584" s="473" t="s">
        <v>478</v>
      </c>
      <c r="E584" s="473" t="s">
        <v>479</v>
      </c>
      <c r="F584" s="473" t="s">
        <v>547</v>
      </c>
      <c r="G584" s="476"/>
      <c r="H584" s="476">
        <f>(20*4)+(40*4)</f>
        <v>240</v>
      </c>
      <c r="I584" s="476">
        <v>240</v>
      </c>
      <c r="J584" s="476"/>
      <c r="K584" s="476"/>
      <c r="L584" s="476"/>
      <c r="M584" s="473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 spans="1:27" ht="13">
      <c r="A585" s="54">
        <v>2024</v>
      </c>
      <c r="B585" s="472">
        <v>45322</v>
      </c>
      <c r="C585" s="473" t="s">
        <v>481</v>
      </c>
      <c r="D585" s="473" t="s">
        <v>491</v>
      </c>
      <c r="E585" s="473" t="s">
        <v>638</v>
      </c>
      <c r="F585" s="473" t="s">
        <v>576</v>
      </c>
      <c r="G585" s="476"/>
      <c r="H585" s="476">
        <v>96.85</v>
      </c>
      <c r="I585" s="476">
        <v>96.85</v>
      </c>
      <c r="J585" s="476"/>
      <c r="K585" s="476"/>
      <c r="L585" s="476"/>
      <c r="M585" s="473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 spans="1:27" ht="13">
      <c r="A586" s="54">
        <v>2024</v>
      </c>
      <c r="B586" s="472">
        <v>45322</v>
      </c>
      <c r="C586" s="473" t="s">
        <v>481</v>
      </c>
      <c r="D586" s="473" t="s">
        <v>491</v>
      </c>
      <c r="E586" s="473" t="s">
        <v>633</v>
      </c>
      <c r="F586" s="473" t="s">
        <v>576</v>
      </c>
      <c r="G586" s="476"/>
      <c r="H586" s="476">
        <v>40.549999999999997</v>
      </c>
      <c r="I586" s="476">
        <v>40.549999999999997</v>
      </c>
      <c r="J586" s="476"/>
      <c r="K586" s="476"/>
      <c r="L586" s="476"/>
      <c r="M586" s="473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 spans="1:27" ht="13">
      <c r="A587" s="54">
        <v>2024</v>
      </c>
      <c r="B587" s="472">
        <v>45322</v>
      </c>
      <c r="C587" s="473" t="s">
        <v>481</v>
      </c>
      <c r="D587" s="473" t="s">
        <v>491</v>
      </c>
      <c r="E587" s="473" t="s">
        <v>601</v>
      </c>
      <c r="F587" s="473" t="s">
        <v>576</v>
      </c>
      <c r="G587" s="476"/>
      <c r="H587" s="476">
        <v>135.84</v>
      </c>
      <c r="I587" s="476">
        <v>135.84</v>
      </c>
      <c r="J587" s="476"/>
      <c r="K587" s="476"/>
      <c r="L587" s="476"/>
      <c r="M587" s="473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 spans="1:27" ht="13">
      <c r="A588" s="54">
        <v>2024</v>
      </c>
      <c r="B588" s="472">
        <v>45322</v>
      </c>
      <c r="C588" s="473" t="s">
        <v>481</v>
      </c>
      <c r="D588" s="473" t="s">
        <v>491</v>
      </c>
      <c r="E588" s="473" t="s">
        <v>498</v>
      </c>
      <c r="F588" s="473" t="s">
        <v>576</v>
      </c>
      <c r="G588" s="476"/>
      <c r="H588" s="476">
        <v>8.8800000000000008</v>
      </c>
      <c r="I588" s="476">
        <v>8.8800000000000008</v>
      </c>
      <c r="J588" s="476"/>
      <c r="K588" s="476"/>
      <c r="L588" s="476"/>
      <c r="M588" s="473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 spans="1:27" ht="13">
      <c r="A589" s="54">
        <v>2024</v>
      </c>
      <c r="B589" s="472">
        <v>45322</v>
      </c>
      <c r="C589" s="473" t="s">
        <v>481</v>
      </c>
      <c r="D589" s="473" t="s">
        <v>491</v>
      </c>
      <c r="E589" s="473" t="s">
        <v>602</v>
      </c>
      <c r="F589" s="473" t="s">
        <v>576</v>
      </c>
      <c r="G589" s="476"/>
      <c r="H589" s="476">
        <v>551.30999999999995</v>
      </c>
      <c r="I589" s="476">
        <v>551.30999999999995</v>
      </c>
      <c r="J589" s="476"/>
      <c r="K589" s="476"/>
      <c r="L589" s="476"/>
      <c r="M589" s="473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 spans="1:27" ht="13">
      <c r="A590" s="54">
        <v>2024</v>
      </c>
      <c r="B590" s="472">
        <v>45322</v>
      </c>
      <c r="C590" s="473" t="s">
        <v>481</v>
      </c>
      <c r="D590" s="473" t="s">
        <v>491</v>
      </c>
      <c r="E590" s="473" t="s">
        <v>591</v>
      </c>
      <c r="F590" s="473" t="s">
        <v>576</v>
      </c>
      <c r="G590" s="476"/>
      <c r="H590" s="476">
        <v>20</v>
      </c>
      <c r="I590" s="476">
        <v>20</v>
      </c>
      <c r="J590" s="476"/>
      <c r="K590" s="476"/>
      <c r="L590" s="476"/>
      <c r="M590" s="473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 spans="1:27" ht="13">
      <c r="A591" s="54">
        <v>2024</v>
      </c>
      <c r="B591" s="472">
        <v>45322</v>
      </c>
      <c r="C591" s="473" t="s">
        <v>481</v>
      </c>
      <c r="D591" s="473" t="s">
        <v>491</v>
      </c>
      <c r="E591" s="473" t="s">
        <v>639</v>
      </c>
      <c r="F591" s="473" t="s">
        <v>576</v>
      </c>
      <c r="G591" s="476"/>
      <c r="H591" s="476">
        <v>15</v>
      </c>
      <c r="I591" s="476">
        <v>15</v>
      </c>
      <c r="J591" s="476"/>
      <c r="K591" s="476"/>
      <c r="L591" s="476"/>
      <c r="M591" s="473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 spans="1:27" ht="13">
      <c r="A592" s="54">
        <v>2024</v>
      </c>
      <c r="B592" s="472">
        <v>45322</v>
      </c>
      <c r="C592" s="473" t="s">
        <v>481</v>
      </c>
      <c r="D592" s="473" t="s">
        <v>491</v>
      </c>
      <c r="E592" s="473" t="s">
        <v>592</v>
      </c>
      <c r="F592" s="473" t="s">
        <v>576</v>
      </c>
      <c r="G592" s="476"/>
      <c r="H592" s="476">
        <v>40</v>
      </c>
      <c r="I592" s="476">
        <v>40</v>
      </c>
      <c r="J592" s="476"/>
      <c r="K592" s="476"/>
      <c r="L592" s="476"/>
      <c r="M592" s="473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 spans="1:27" ht="13">
      <c r="A593" s="54">
        <v>2024</v>
      </c>
      <c r="B593" s="472">
        <v>45322</v>
      </c>
      <c r="C593" s="473" t="s">
        <v>481</v>
      </c>
      <c r="D593" s="473" t="s">
        <v>491</v>
      </c>
      <c r="E593" s="473" t="s">
        <v>532</v>
      </c>
      <c r="F593" s="473" t="s">
        <v>576</v>
      </c>
      <c r="G593" s="476"/>
      <c r="H593" s="476">
        <v>15</v>
      </c>
      <c r="I593" s="476">
        <v>15</v>
      </c>
      <c r="J593" s="476"/>
      <c r="K593" s="476"/>
      <c r="L593" s="476"/>
      <c r="M593" s="473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 spans="1:27" ht="13">
      <c r="A594" s="54">
        <v>2024</v>
      </c>
      <c r="B594" s="472">
        <v>45322</v>
      </c>
      <c r="C594" s="473" t="s">
        <v>481</v>
      </c>
      <c r="D594" s="473" t="s">
        <v>491</v>
      </c>
      <c r="E594" s="496" t="s">
        <v>654</v>
      </c>
      <c r="F594" s="473" t="s">
        <v>576</v>
      </c>
      <c r="G594" s="476"/>
      <c r="H594" s="476">
        <f t="shared" ref="H594:I594" si="18">41.33+41.38</f>
        <v>82.710000000000008</v>
      </c>
      <c r="I594" s="476">
        <f t="shared" si="18"/>
        <v>82.710000000000008</v>
      </c>
      <c r="J594" s="476"/>
      <c r="K594" s="476"/>
      <c r="L594" s="476"/>
      <c r="M594" s="473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 spans="1:27" ht="13">
      <c r="A595" s="54">
        <v>2024</v>
      </c>
      <c r="B595" s="472">
        <v>45322</v>
      </c>
      <c r="C595" s="473" t="s">
        <v>481</v>
      </c>
      <c r="D595" s="473" t="s">
        <v>491</v>
      </c>
      <c r="E595" s="473" t="s">
        <v>534</v>
      </c>
      <c r="F595" s="473" t="s">
        <v>576</v>
      </c>
      <c r="G595" s="476"/>
      <c r="H595" s="476">
        <v>15.99</v>
      </c>
      <c r="I595" s="476">
        <v>15.99</v>
      </c>
      <c r="J595" s="476"/>
      <c r="K595" s="476"/>
      <c r="L595" s="476"/>
      <c r="M595" s="473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 spans="1:27" ht="13">
      <c r="A596" s="54">
        <v>2024</v>
      </c>
      <c r="B596" s="472">
        <v>45322</v>
      </c>
      <c r="C596" s="473" t="s">
        <v>481</v>
      </c>
      <c r="D596" s="473" t="s">
        <v>489</v>
      </c>
      <c r="E596" s="473" t="s">
        <v>463</v>
      </c>
      <c r="F596" s="473" t="s">
        <v>464</v>
      </c>
      <c r="G596" s="476"/>
      <c r="H596" s="476"/>
      <c r="I596" s="476"/>
      <c r="J596" s="476">
        <v>7000</v>
      </c>
      <c r="K596" s="476">
        <v>5737.7</v>
      </c>
      <c r="L596" s="476">
        <v>1262.29</v>
      </c>
      <c r="M596" s="473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 spans="1:27" ht="13">
      <c r="A597" s="54">
        <v>2024</v>
      </c>
      <c r="B597" s="472">
        <v>45323</v>
      </c>
      <c r="C597" s="473" t="s">
        <v>474</v>
      </c>
      <c r="D597" s="473" t="s">
        <v>493</v>
      </c>
      <c r="E597" s="473" t="s">
        <v>479</v>
      </c>
      <c r="F597" s="473" t="s">
        <v>514</v>
      </c>
      <c r="G597" s="476"/>
      <c r="H597" s="476">
        <v>161.9</v>
      </c>
      <c r="I597" s="476">
        <v>161.9</v>
      </c>
      <c r="J597" s="476"/>
      <c r="K597" s="476"/>
      <c r="L597" s="476"/>
      <c r="M597" s="473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 spans="1:27" ht="13">
      <c r="A598" s="54">
        <v>2024</v>
      </c>
      <c r="B598" s="386">
        <v>45328</v>
      </c>
      <c r="C598" s="387" t="s">
        <v>481</v>
      </c>
      <c r="D598" s="387" t="s">
        <v>493</v>
      </c>
      <c r="E598" s="387" t="s">
        <v>681</v>
      </c>
      <c r="F598" s="387" t="s">
        <v>682</v>
      </c>
      <c r="G598" s="388"/>
      <c r="H598" s="388">
        <v>280</v>
      </c>
      <c r="I598" s="388">
        <v>280</v>
      </c>
      <c r="J598" s="388"/>
      <c r="K598" s="388"/>
      <c r="L598" s="388"/>
      <c r="M598" s="388"/>
      <c r="N598" s="45"/>
      <c r="O598" s="59"/>
      <c r="P598" s="68"/>
      <c r="Q598" s="45"/>
      <c r="R598" s="45"/>
      <c r="S598" s="49"/>
      <c r="T598" s="45"/>
      <c r="U598" s="45"/>
      <c r="V598" s="45"/>
      <c r="W598" s="45"/>
      <c r="X598" s="45"/>
      <c r="Y598" s="45"/>
      <c r="Z598" s="45"/>
      <c r="AA598" s="45"/>
    </row>
    <row r="599" spans="1:27" ht="13">
      <c r="A599" s="54">
        <v>2024</v>
      </c>
      <c r="B599" s="386">
        <v>45336</v>
      </c>
      <c r="C599" s="387" t="s">
        <v>481</v>
      </c>
      <c r="D599" s="387" t="s">
        <v>493</v>
      </c>
      <c r="E599" s="387" t="s">
        <v>479</v>
      </c>
      <c r="F599" s="387" t="s">
        <v>480</v>
      </c>
      <c r="G599" s="388"/>
      <c r="H599" s="388">
        <v>25</v>
      </c>
      <c r="I599" s="388">
        <v>25</v>
      </c>
      <c r="J599" s="388"/>
      <c r="K599" s="388"/>
      <c r="L599" s="388"/>
      <c r="M599" s="388"/>
      <c r="N599" s="45"/>
      <c r="O599" s="469" t="s">
        <v>457</v>
      </c>
      <c r="P599" s="470"/>
      <c r="Q599" s="45"/>
      <c r="R599" s="45"/>
      <c r="S599" s="491" t="s">
        <v>669</v>
      </c>
      <c r="T599" s="492"/>
      <c r="U599" s="45"/>
      <c r="V599" s="45"/>
      <c r="W599" s="45"/>
      <c r="X599" s="45"/>
      <c r="Y599" s="45"/>
      <c r="Z599" s="45"/>
      <c r="AA599" s="45"/>
    </row>
    <row r="600" spans="1:27" ht="13">
      <c r="A600" s="54">
        <v>2024</v>
      </c>
      <c r="B600" s="386">
        <v>45337</v>
      </c>
      <c r="C600" s="387" t="s">
        <v>481</v>
      </c>
      <c r="D600" s="387" t="s">
        <v>493</v>
      </c>
      <c r="E600" s="387" t="s">
        <v>479</v>
      </c>
      <c r="F600" s="387" t="s">
        <v>514</v>
      </c>
      <c r="G600" s="388"/>
      <c r="H600" s="388"/>
      <c r="I600" s="388"/>
      <c r="J600" s="388">
        <v>1264</v>
      </c>
      <c r="K600" s="388">
        <v>1264</v>
      </c>
      <c r="L600" s="388"/>
      <c r="M600" s="388"/>
      <c r="N600" s="45"/>
      <c r="O600" s="470">
        <f>SUM(Facturacion!I87:I89)</f>
        <v>67441.35089999999</v>
      </c>
      <c r="P600" s="470"/>
      <c r="Q600" s="45"/>
      <c r="R600" s="45"/>
      <c r="S600" s="491" t="s">
        <v>411</v>
      </c>
      <c r="T600" s="470">
        <f>SUM(K598:K630)</f>
        <v>61044.312270000002</v>
      </c>
      <c r="U600" s="45"/>
      <c r="V600" s="45"/>
      <c r="W600" s="45"/>
      <c r="X600" s="45"/>
      <c r="Y600" s="45"/>
      <c r="Z600" s="45"/>
      <c r="AA600" s="45"/>
    </row>
    <row r="601" spans="1:27" ht="13">
      <c r="A601" s="54">
        <v>2024</v>
      </c>
      <c r="B601" s="386">
        <v>45343</v>
      </c>
      <c r="C601" s="387" t="s">
        <v>481</v>
      </c>
      <c r="D601" s="387" t="s">
        <v>494</v>
      </c>
      <c r="E601" s="387" t="s">
        <v>521</v>
      </c>
      <c r="F601" s="387" t="s">
        <v>544</v>
      </c>
      <c r="G601" s="388"/>
      <c r="H601" s="388"/>
      <c r="I601" s="388"/>
      <c r="J601" s="388">
        <v>915</v>
      </c>
      <c r="K601" s="388">
        <f>J601-L601</f>
        <v>749.93000000000006</v>
      </c>
      <c r="L601" s="467">
        <v>165.07</v>
      </c>
      <c r="M601" s="388"/>
      <c r="N601" s="45"/>
      <c r="O601" s="469" t="s">
        <v>461</v>
      </c>
      <c r="P601" s="469" t="s">
        <v>462</v>
      </c>
      <c r="Q601" s="45"/>
      <c r="R601" s="45"/>
      <c r="S601" s="469" t="s">
        <v>584</v>
      </c>
      <c r="T601" s="470">
        <f>SUM(I598:I630)</f>
        <v>6927.73</v>
      </c>
      <c r="U601" s="45"/>
      <c r="V601" s="45"/>
      <c r="W601" s="45"/>
      <c r="X601" s="45"/>
      <c r="Y601" s="45"/>
      <c r="Z601" s="45"/>
      <c r="AA601" s="45"/>
    </row>
    <row r="602" spans="1:27" ht="13">
      <c r="A602" s="54">
        <v>2024</v>
      </c>
      <c r="B602" s="386">
        <v>45348</v>
      </c>
      <c r="C602" s="387" t="s">
        <v>481</v>
      </c>
      <c r="D602" s="387" t="s">
        <v>493</v>
      </c>
      <c r="E602" s="387" t="s">
        <v>479</v>
      </c>
      <c r="F602" s="387" t="s">
        <v>480</v>
      </c>
      <c r="G602" s="388"/>
      <c r="H602" s="388">
        <v>40.21</v>
      </c>
      <c r="I602" s="388">
        <v>32.96</v>
      </c>
      <c r="J602" s="388"/>
      <c r="K602" s="388">
        <f>7.25*M602</f>
        <v>0</v>
      </c>
      <c r="L602" s="388"/>
      <c r="M602" s="388"/>
      <c r="N602" s="45"/>
      <c r="O602" s="470">
        <f>SUM(L598:L630)</f>
        <v>1899.12</v>
      </c>
      <c r="P602" s="470">
        <f>O600-O602+P562</f>
        <v>-91714.677729999996</v>
      </c>
      <c r="Q602" s="45"/>
      <c r="R602" s="45"/>
      <c r="S602" s="491"/>
      <c r="T602" s="492"/>
      <c r="U602" s="45"/>
      <c r="V602" s="45"/>
      <c r="W602" s="45"/>
      <c r="X602" s="45"/>
      <c r="Y602" s="45"/>
      <c r="Z602" s="45"/>
      <c r="AA602" s="45"/>
    </row>
    <row r="603" spans="1:27" ht="13">
      <c r="A603" s="54">
        <v>2024</v>
      </c>
      <c r="B603" s="386">
        <v>45348</v>
      </c>
      <c r="C603" s="387" t="s">
        <v>481</v>
      </c>
      <c r="D603" s="387" t="s">
        <v>494</v>
      </c>
      <c r="E603" s="387" t="s">
        <v>502</v>
      </c>
      <c r="F603" s="387" t="s">
        <v>522</v>
      </c>
      <c r="G603" s="388"/>
      <c r="H603" s="388"/>
      <c r="I603" s="388"/>
      <c r="J603" s="388">
        <v>73397</v>
      </c>
      <c r="K603" s="388">
        <v>73397</v>
      </c>
      <c r="L603" s="388"/>
      <c r="M603" s="388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 spans="1:27" ht="13">
      <c r="A604" s="54">
        <v>2024</v>
      </c>
      <c r="B604" s="386">
        <v>45348</v>
      </c>
      <c r="C604" s="387" t="s">
        <v>481</v>
      </c>
      <c r="D604" s="387" t="s">
        <v>494</v>
      </c>
      <c r="E604" s="387" t="s">
        <v>502</v>
      </c>
      <c r="F604" s="387" t="s">
        <v>543</v>
      </c>
      <c r="G604" s="388"/>
      <c r="H604" s="388"/>
      <c r="I604" s="388"/>
      <c r="J604" s="388">
        <v>3661</v>
      </c>
      <c r="K604" s="388">
        <v>3661</v>
      </c>
      <c r="L604" s="388"/>
      <c r="M604" s="388"/>
      <c r="N604" s="45"/>
      <c r="O604" s="45" t="s">
        <v>673</v>
      </c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 spans="1:27" ht="13">
      <c r="A605" s="54">
        <v>2024</v>
      </c>
      <c r="B605" s="386">
        <v>45348</v>
      </c>
      <c r="C605" s="387" t="s">
        <v>481</v>
      </c>
      <c r="D605" s="387" t="s">
        <v>494</v>
      </c>
      <c r="E605" s="387" t="s">
        <v>512</v>
      </c>
      <c r="F605" s="387" t="s">
        <v>528</v>
      </c>
      <c r="G605" s="388"/>
      <c r="H605" s="388"/>
      <c r="I605" s="388"/>
      <c r="J605" s="388">
        <f>P602</f>
        <v>-91714.677729999996</v>
      </c>
      <c r="K605" s="388">
        <f>P602</f>
        <v>-91714.677729999996</v>
      </c>
      <c r="L605" s="388"/>
      <c r="M605" s="388"/>
      <c r="N605" s="45"/>
      <c r="O605" s="68">
        <f>O600-O602</f>
        <v>65542.230899999995</v>
      </c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 spans="1:27" ht="13">
      <c r="A606" s="54">
        <v>2024</v>
      </c>
      <c r="B606" s="386">
        <v>45348</v>
      </c>
      <c r="C606" s="387" t="s">
        <v>481</v>
      </c>
      <c r="D606" s="387" t="s">
        <v>494</v>
      </c>
      <c r="E606" s="387" t="s">
        <v>512</v>
      </c>
      <c r="F606" s="387" t="s">
        <v>574</v>
      </c>
      <c r="G606" s="388"/>
      <c r="H606" s="388"/>
      <c r="I606" s="388"/>
      <c r="J606" s="388">
        <v>1389</v>
      </c>
      <c r="K606" s="388">
        <v>1389</v>
      </c>
      <c r="L606" s="388"/>
      <c r="M606" s="388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 spans="1:27" ht="13">
      <c r="A607" s="54">
        <v>2024</v>
      </c>
      <c r="B607" s="386">
        <v>45350</v>
      </c>
      <c r="C607" s="387" t="s">
        <v>481</v>
      </c>
      <c r="D607" s="387" t="s">
        <v>493</v>
      </c>
      <c r="E607" s="387" t="s">
        <v>683</v>
      </c>
      <c r="F607" s="387" t="s">
        <v>684</v>
      </c>
      <c r="G607" s="388"/>
      <c r="H607" s="388"/>
      <c r="I607" s="388"/>
      <c r="J607" s="388">
        <v>2144.38</v>
      </c>
      <c r="K607" s="388">
        <f>J607-L607</f>
        <v>1672.6200000000001</v>
      </c>
      <c r="L607" s="388">
        <v>471.76</v>
      </c>
      <c r="M607" s="388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 spans="1:27" ht="13">
      <c r="A608" s="54">
        <v>2024</v>
      </c>
      <c r="B608" s="386">
        <v>45351</v>
      </c>
      <c r="C608" s="387" t="s">
        <v>481</v>
      </c>
      <c r="D608" s="387" t="s">
        <v>493</v>
      </c>
      <c r="E608" s="387" t="s">
        <v>63</v>
      </c>
      <c r="F608" s="387" t="s">
        <v>539</v>
      </c>
      <c r="G608" s="388"/>
      <c r="H608" s="388"/>
      <c r="I608" s="388"/>
      <c r="J608" s="388">
        <v>802.52</v>
      </c>
      <c r="K608" s="388">
        <v>802.52</v>
      </c>
      <c r="L608" s="388"/>
      <c r="M608" s="388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 spans="1:27" ht="13">
      <c r="A609" s="54">
        <v>2024</v>
      </c>
      <c r="B609" s="386">
        <v>45351</v>
      </c>
      <c r="C609" s="387" t="s">
        <v>481</v>
      </c>
      <c r="D609" s="387" t="s">
        <v>489</v>
      </c>
      <c r="E609" s="387" t="s">
        <v>463</v>
      </c>
      <c r="F609" s="387" t="s">
        <v>464</v>
      </c>
      <c r="G609" s="388"/>
      <c r="H609" s="388"/>
      <c r="I609" s="388"/>
      <c r="J609" s="388">
        <v>7000</v>
      </c>
      <c r="K609" s="388">
        <v>5737.7</v>
      </c>
      <c r="L609" s="388">
        <v>1262.29</v>
      </c>
      <c r="M609" s="388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 spans="1:27" ht="13">
      <c r="A610" s="54">
        <v>2024</v>
      </c>
      <c r="B610" s="386">
        <v>45351</v>
      </c>
      <c r="C610" s="387" t="s">
        <v>481</v>
      </c>
      <c r="D610" s="387" t="s">
        <v>484</v>
      </c>
      <c r="E610" s="387" t="s">
        <v>644</v>
      </c>
      <c r="F610" s="387" t="s">
        <v>488</v>
      </c>
      <c r="G610" s="388"/>
      <c r="H610" s="388"/>
      <c r="I610" s="388"/>
      <c r="J610" s="388">
        <v>64010</v>
      </c>
      <c r="K610" s="388">
        <v>64010</v>
      </c>
      <c r="L610" s="388"/>
      <c r="M610" s="388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 spans="1:27" ht="13">
      <c r="A611" s="54">
        <v>2024</v>
      </c>
      <c r="B611" s="386">
        <v>45351</v>
      </c>
      <c r="C611" s="387" t="s">
        <v>679</v>
      </c>
      <c r="D611" s="387" t="s">
        <v>482</v>
      </c>
      <c r="E611" s="387" t="s">
        <v>680</v>
      </c>
      <c r="F611" s="387" t="s">
        <v>459</v>
      </c>
      <c r="G611" s="388"/>
      <c r="H611" s="388">
        <v>1100</v>
      </c>
      <c r="I611" s="388">
        <v>1100</v>
      </c>
      <c r="J611" s="388"/>
      <c r="K611" s="388"/>
      <c r="L611" s="388"/>
      <c r="M611" s="388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 spans="1:27" ht="13">
      <c r="A612" s="54">
        <v>2024</v>
      </c>
      <c r="B612" s="386">
        <v>45351</v>
      </c>
      <c r="C612" s="387" t="s">
        <v>474</v>
      </c>
      <c r="D612" s="387" t="s">
        <v>482</v>
      </c>
      <c r="E612" s="387" t="s">
        <v>483</v>
      </c>
      <c r="F612" s="387" t="s">
        <v>459</v>
      </c>
      <c r="G612" s="388"/>
      <c r="H612" s="388">
        <v>1056</v>
      </c>
      <c r="I612" s="388">
        <v>1056</v>
      </c>
      <c r="J612" s="388"/>
      <c r="K612" s="388"/>
      <c r="L612" s="388"/>
      <c r="M612" s="388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 spans="1:27" ht="13">
      <c r="A613" s="54">
        <v>2024</v>
      </c>
      <c r="B613" s="386">
        <v>45351</v>
      </c>
      <c r="C613" s="387" t="s">
        <v>474</v>
      </c>
      <c r="D613" s="387" t="s">
        <v>482</v>
      </c>
      <c r="E613" s="387" t="s">
        <v>535</v>
      </c>
      <c r="F613" s="387" t="s">
        <v>459</v>
      </c>
      <c r="G613" s="388"/>
      <c r="H613" s="388">
        <v>1056</v>
      </c>
      <c r="I613" s="388">
        <v>1056</v>
      </c>
      <c r="J613" s="388"/>
      <c r="K613" s="388"/>
      <c r="L613" s="388"/>
      <c r="M613" s="388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 spans="1:27" ht="13">
      <c r="A614" s="54">
        <v>2024</v>
      </c>
      <c r="B614" s="386">
        <v>45351</v>
      </c>
      <c r="C614" s="387" t="s">
        <v>474</v>
      </c>
      <c r="D614" s="387" t="s">
        <v>482</v>
      </c>
      <c r="E614" s="387" t="s">
        <v>541</v>
      </c>
      <c r="F614" s="387" t="s">
        <v>459</v>
      </c>
      <c r="G614" s="388"/>
      <c r="H614" s="388">
        <v>1056</v>
      </c>
      <c r="I614" s="388">
        <v>1056</v>
      </c>
      <c r="J614" s="388"/>
      <c r="K614" s="388"/>
      <c r="L614" s="388"/>
      <c r="M614" s="388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 spans="1:27" ht="13">
      <c r="A615" s="54">
        <v>2024</v>
      </c>
      <c r="B615" s="386">
        <v>45351</v>
      </c>
      <c r="C615" s="387" t="s">
        <v>474</v>
      </c>
      <c r="D615" s="387" t="s">
        <v>482</v>
      </c>
      <c r="E615" s="387" t="s">
        <v>537</v>
      </c>
      <c r="F615" s="387" t="s">
        <v>459</v>
      </c>
      <c r="G615" s="388"/>
      <c r="H615" s="388">
        <v>792</v>
      </c>
      <c r="I615" s="388">
        <v>792</v>
      </c>
      <c r="J615" s="388"/>
      <c r="K615" s="388"/>
      <c r="L615" s="388"/>
      <c r="M615" s="388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 spans="1:27" ht="13">
      <c r="A616" s="54">
        <v>2024</v>
      </c>
      <c r="B616" s="386">
        <v>45351</v>
      </c>
      <c r="C616" s="387" t="s">
        <v>474</v>
      </c>
      <c r="D616" s="387" t="s">
        <v>490</v>
      </c>
      <c r="E616" s="387" t="s">
        <v>663</v>
      </c>
      <c r="F616" s="387" t="s">
        <v>558</v>
      </c>
      <c r="G616" s="388"/>
      <c r="H616" s="388">
        <v>31</v>
      </c>
      <c r="I616" s="388">
        <v>31</v>
      </c>
      <c r="J616" s="388"/>
      <c r="K616" s="388"/>
      <c r="L616" s="388"/>
      <c r="M616" s="388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 spans="1:27" ht="13">
      <c r="A617" s="54">
        <v>2024</v>
      </c>
      <c r="B617" s="386">
        <v>45351</v>
      </c>
      <c r="C617" s="387" t="s">
        <v>474</v>
      </c>
      <c r="D617" s="387" t="s">
        <v>478</v>
      </c>
      <c r="E617" s="387" t="s">
        <v>479</v>
      </c>
      <c r="F617" s="387" t="s">
        <v>547</v>
      </c>
      <c r="G617" s="388"/>
      <c r="H617" s="388">
        <f>(20*4)+(40*4)</f>
        <v>240</v>
      </c>
      <c r="I617" s="388">
        <v>240</v>
      </c>
      <c r="J617" s="388"/>
      <c r="K617" s="388"/>
      <c r="L617" s="388"/>
      <c r="M617" s="388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 spans="1:27" ht="13">
      <c r="A618" s="54">
        <v>2024</v>
      </c>
      <c r="B618" s="386">
        <v>45351</v>
      </c>
      <c r="C618" s="387" t="s">
        <v>481</v>
      </c>
      <c r="D618" s="387" t="s">
        <v>491</v>
      </c>
      <c r="E618" s="387" t="s">
        <v>638</v>
      </c>
      <c r="F618" s="387" t="s">
        <v>576</v>
      </c>
      <c r="G618" s="388"/>
      <c r="H618" s="388">
        <v>80.13</v>
      </c>
      <c r="I618" s="388">
        <v>80.13</v>
      </c>
      <c r="J618" s="388"/>
      <c r="K618" s="388"/>
      <c r="L618" s="388"/>
      <c r="M618" s="388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 spans="1:27" ht="13">
      <c r="A619" s="54">
        <v>2024</v>
      </c>
      <c r="B619" s="386">
        <v>45351</v>
      </c>
      <c r="C619" s="387" t="s">
        <v>481</v>
      </c>
      <c r="D619" s="387" t="s">
        <v>491</v>
      </c>
      <c r="E619" s="387" t="s">
        <v>633</v>
      </c>
      <c r="F619" s="387" t="s">
        <v>576</v>
      </c>
      <c r="G619" s="388"/>
      <c r="H619" s="388">
        <v>38.46</v>
      </c>
      <c r="I619" s="388">
        <v>38.46</v>
      </c>
      <c r="J619" s="388"/>
      <c r="K619" s="388"/>
      <c r="L619" s="388"/>
      <c r="M619" s="388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 spans="1:27" ht="13">
      <c r="A620" s="54">
        <v>2024</v>
      </c>
      <c r="B620" s="386">
        <v>45351</v>
      </c>
      <c r="C620" s="387" t="s">
        <v>481</v>
      </c>
      <c r="D620" s="387" t="s">
        <v>491</v>
      </c>
      <c r="E620" s="387" t="s">
        <v>601</v>
      </c>
      <c r="F620" s="387" t="s">
        <v>576</v>
      </c>
      <c r="G620" s="388"/>
      <c r="H620" s="388">
        <v>141.66999999999999</v>
      </c>
      <c r="I620" s="388">
        <v>141.66999999999999</v>
      </c>
      <c r="J620" s="388"/>
      <c r="K620" s="388"/>
      <c r="L620" s="388"/>
      <c r="M620" s="388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 spans="1:27" ht="13">
      <c r="A621" s="54">
        <v>2024</v>
      </c>
      <c r="B621" s="386">
        <v>45351</v>
      </c>
      <c r="C621" s="387" t="s">
        <v>481</v>
      </c>
      <c r="D621" s="387" t="s">
        <v>491</v>
      </c>
      <c r="E621" s="387" t="s">
        <v>498</v>
      </c>
      <c r="F621" s="387" t="s">
        <v>576</v>
      </c>
      <c r="G621" s="388"/>
      <c r="H621" s="388">
        <v>8.92</v>
      </c>
      <c r="I621" s="388">
        <v>8.92</v>
      </c>
      <c r="J621" s="388"/>
      <c r="K621" s="388"/>
      <c r="L621" s="388"/>
      <c r="M621" s="388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 spans="1:27" ht="13">
      <c r="A622" s="54">
        <v>2024</v>
      </c>
      <c r="B622" s="386">
        <v>45351</v>
      </c>
      <c r="C622" s="387" t="s">
        <v>481</v>
      </c>
      <c r="D622" s="387" t="s">
        <v>491</v>
      </c>
      <c r="E622" s="387" t="s">
        <v>602</v>
      </c>
      <c r="F622" s="387" t="s">
        <v>576</v>
      </c>
      <c r="G622" s="388"/>
      <c r="H622" s="388">
        <v>641.62</v>
      </c>
      <c r="I622" s="388">
        <v>641.62</v>
      </c>
      <c r="J622" s="388"/>
      <c r="K622" s="388"/>
      <c r="L622" s="388"/>
      <c r="M622" s="388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 spans="1:27" ht="13">
      <c r="A623" s="54">
        <v>2024</v>
      </c>
      <c r="B623" s="386">
        <v>45351</v>
      </c>
      <c r="C623" s="387" t="s">
        <v>481</v>
      </c>
      <c r="D623" s="387" t="s">
        <v>491</v>
      </c>
      <c r="E623" s="387" t="s">
        <v>591</v>
      </c>
      <c r="F623" s="387" t="s">
        <v>576</v>
      </c>
      <c r="G623" s="388"/>
      <c r="H623" s="388">
        <v>20</v>
      </c>
      <c r="I623" s="388">
        <v>20</v>
      </c>
      <c r="J623" s="388"/>
      <c r="K623" s="388"/>
      <c r="L623" s="388"/>
      <c r="M623" s="388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 spans="1:27" ht="13">
      <c r="A624" s="54">
        <v>2024</v>
      </c>
      <c r="B624" s="386">
        <v>45351</v>
      </c>
      <c r="C624" s="387" t="s">
        <v>481</v>
      </c>
      <c r="D624" s="387" t="s">
        <v>491</v>
      </c>
      <c r="E624" s="387" t="s">
        <v>639</v>
      </c>
      <c r="F624" s="387" t="s">
        <v>576</v>
      </c>
      <c r="G624" s="388"/>
      <c r="H624" s="388">
        <v>15</v>
      </c>
      <c r="I624" s="388">
        <v>15</v>
      </c>
      <c r="J624" s="388"/>
      <c r="K624" s="388"/>
      <c r="L624" s="388"/>
      <c r="M624" s="388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 spans="1:27" ht="13">
      <c r="A625" s="54">
        <v>2024</v>
      </c>
      <c r="B625" s="386">
        <v>45351</v>
      </c>
      <c r="C625" s="387" t="s">
        <v>481</v>
      </c>
      <c r="D625" s="387" t="s">
        <v>491</v>
      </c>
      <c r="E625" s="387" t="s">
        <v>592</v>
      </c>
      <c r="F625" s="387" t="s">
        <v>576</v>
      </c>
      <c r="G625" s="388"/>
      <c r="H625" s="388">
        <v>40</v>
      </c>
      <c r="I625" s="388">
        <v>40</v>
      </c>
      <c r="J625" s="388"/>
      <c r="K625" s="388"/>
      <c r="L625" s="388"/>
      <c r="M625" s="388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 spans="1:27" ht="13">
      <c r="A626" s="54">
        <v>2024</v>
      </c>
      <c r="B626" s="386">
        <v>45351</v>
      </c>
      <c r="C626" s="387" t="s">
        <v>481</v>
      </c>
      <c r="D626" s="387" t="s">
        <v>491</v>
      </c>
      <c r="E626" s="387" t="s">
        <v>532</v>
      </c>
      <c r="F626" s="387" t="s">
        <v>576</v>
      </c>
      <c r="G626" s="388"/>
      <c r="H626" s="388">
        <v>15</v>
      </c>
      <c r="I626" s="388">
        <v>15</v>
      </c>
      <c r="J626" s="388"/>
      <c r="K626" s="388"/>
      <c r="L626" s="388"/>
      <c r="M626" s="388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 spans="1:27" ht="13">
      <c r="A627" s="54">
        <v>2024</v>
      </c>
      <c r="B627" s="386">
        <v>45351</v>
      </c>
      <c r="C627" s="387" t="s">
        <v>481</v>
      </c>
      <c r="D627" s="387" t="s">
        <v>491</v>
      </c>
      <c r="E627" s="507" t="s">
        <v>654</v>
      </c>
      <c r="F627" s="387" t="s">
        <v>576</v>
      </c>
      <c r="G627" s="388"/>
      <c r="H627" s="388">
        <f t="shared" ref="H627:I627" si="19">40.98+41</f>
        <v>81.97999999999999</v>
      </c>
      <c r="I627" s="388">
        <f t="shared" si="19"/>
        <v>81.97999999999999</v>
      </c>
      <c r="J627" s="388"/>
      <c r="K627" s="388"/>
      <c r="L627" s="388"/>
      <c r="M627" s="388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 spans="1:27" ht="13">
      <c r="A628" s="54">
        <v>2024</v>
      </c>
      <c r="B628" s="386">
        <v>45351</v>
      </c>
      <c r="C628" s="387" t="s">
        <v>481</v>
      </c>
      <c r="D628" s="387" t="s">
        <v>491</v>
      </c>
      <c r="E628" s="387" t="s">
        <v>534</v>
      </c>
      <c r="F628" s="387" t="s">
        <v>576</v>
      </c>
      <c r="G628" s="388"/>
      <c r="H628" s="388">
        <v>15.99</v>
      </c>
      <c r="I628" s="388">
        <v>15.99</v>
      </c>
      <c r="J628" s="388"/>
      <c r="K628" s="388"/>
      <c r="L628" s="388"/>
      <c r="M628" s="388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 spans="1:27" ht="13">
      <c r="A629" s="54">
        <v>2024</v>
      </c>
      <c r="B629" s="386">
        <v>45352</v>
      </c>
      <c r="C629" s="387" t="s">
        <v>474</v>
      </c>
      <c r="D629" s="387" t="s">
        <v>478</v>
      </c>
      <c r="E629" s="387" t="s">
        <v>479</v>
      </c>
      <c r="F629" s="387" t="s">
        <v>480</v>
      </c>
      <c r="G629" s="388"/>
      <c r="H629" s="388">
        <v>160</v>
      </c>
      <c r="I629" s="388">
        <v>160</v>
      </c>
      <c r="J629" s="388"/>
      <c r="K629" s="388"/>
      <c r="L629" s="388"/>
      <c r="M629" s="388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 spans="1:27" ht="13">
      <c r="A630" s="54">
        <v>2024</v>
      </c>
      <c r="B630" s="386">
        <v>45352</v>
      </c>
      <c r="C630" s="387" t="s">
        <v>474</v>
      </c>
      <c r="D630" s="387" t="s">
        <v>478</v>
      </c>
      <c r="E630" s="387" t="s">
        <v>63</v>
      </c>
      <c r="F630" s="387" t="s">
        <v>480</v>
      </c>
      <c r="G630" s="388"/>
      <c r="H630" s="388"/>
      <c r="I630" s="388"/>
      <c r="J630" s="388">
        <v>75.22</v>
      </c>
      <c r="K630" s="388">
        <v>75.22</v>
      </c>
      <c r="L630" s="388"/>
      <c r="M630" s="388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 spans="1:27" ht="13">
      <c r="A631" s="54">
        <v>2024</v>
      </c>
      <c r="B631" s="508">
        <v>45355</v>
      </c>
      <c r="C631" s="509" t="s">
        <v>481</v>
      </c>
      <c r="D631" s="509" t="s">
        <v>493</v>
      </c>
      <c r="E631" s="509" t="s">
        <v>683</v>
      </c>
      <c r="F631" s="509" t="s">
        <v>685</v>
      </c>
      <c r="G631" s="510"/>
      <c r="H631" s="510"/>
      <c r="I631" s="510"/>
      <c r="J631" s="510">
        <v>-2144.38</v>
      </c>
      <c r="K631" s="510">
        <f>J631-L631</f>
        <v>-1672.6200000000001</v>
      </c>
      <c r="L631" s="510">
        <v>-471.76</v>
      </c>
      <c r="M631" s="510"/>
      <c r="N631" s="45"/>
      <c r="Q631" s="45"/>
      <c r="R631" s="45"/>
      <c r="U631" s="45"/>
      <c r="V631" s="45"/>
      <c r="W631" s="45"/>
      <c r="X631" s="45"/>
      <c r="Y631" s="45"/>
      <c r="Z631" s="45"/>
      <c r="AA631" s="45"/>
    </row>
    <row r="632" spans="1:27" ht="13">
      <c r="A632" s="54">
        <v>2024</v>
      </c>
      <c r="B632" s="508">
        <v>45356</v>
      </c>
      <c r="C632" s="509" t="s">
        <v>481</v>
      </c>
      <c r="D632" s="509" t="s">
        <v>493</v>
      </c>
      <c r="E632" s="509" t="s">
        <v>686</v>
      </c>
      <c r="F632" s="509" t="s">
        <v>687</v>
      </c>
      <c r="G632" s="510"/>
      <c r="H632" s="510">
        <v>1740</v>
      </c>
      <c r="I632" s="510">
        <v>1740</v>
      </c>
      <c r="J632" s="510"/>
      <c r="K632" s="510"/>
      <c r="L632" s="510"/>
      <c r="M632" s="510"/>
      <c r="N632" s="45"/>
      <c r="Q632" s="45"/>
      <c r="R632" s="45"/>
      <c r="U632" s="45"/>
      <c r="V632" s="45"/>
      <c r="W632" s="45"/>
      <c r="X632" s="45"/>
      <c r="Y632" s="45"/>
      <c r="Z632" s="45"/>
      <c r="AA632" s="45"/>
    </row>
    <row r="633" spans="1:27" ht="13">
      <c r="A633" s="54">
        <v>2024</v>
      </c>
      <c r="B633" s="508">
        <v>45366</v>
      </c>
      <c r="C633" s="509" t="s">
        <v>481</v>
      </c>
      <c r="D633" s="509" t="s">
        <v>493</v>
      </c>
      <c r="E633" s="509" t="s">
        <v>479</v>
      </c>
      <c r="F633" s="509" t="s">
        <v>660</v>
      </c>
      <c r="G633" s="510"/>
      <c r="H633" s="510"/>
      <c r="I633" s="510"/>
      <c r="J633" s="510">
        <v>1264</v>
      </c>
      <c r="K633" s="510">
        <v>1264</v>
      </c>
      <c r="L633" s="510"/>
      <c r="M633" s="510"/>
      <c r="N633" s="45"/>
      <c r="Q633" s="45"/>
      <c r="R633" s="45"/>
      <c r="U633" s="45"/>
      <c r="V633" s="45"/>
      <c r="W633" s="45"/>
      <c r="X633" s="45"/>
      <c r="Y633" s="45"/>
      <c r="Z633" s="45"/>
      <c r="AA633" s="45"/>
    </row>
    <row r="634" spans="1:27" ht="13">
      <c r="A634" s="54">
        <v>2024</v>
      </c>
      <c r="B634" s="508">
        <v>45370</v>
      </c>
      <c r="C634" s="509" t="s">
        <v>481</v>
      </c>
      <c r="D634" s="509" t="s">
        <v>493</v>
      </c>
      <c r="E634" s="509" t="s">
        <v>688</v>
      </c>
      <c r="F634" s="509" t="s">
        <v>689</v>
      </c>
      <c r="G634" s="510"/>
      <c r="H634" s="510"/>
      <c r="I634" s="510"/>
      <c r="J634" s="510">
        <v>480</v>
      </c>
      <c r="K634" s="510">
        <f t="shared" ref="K634:K637" si="20">J634-L634</f>
        <v>393.44</v>
      </c>
      <c r="L634" s="511">
        <v>86.56</v>
      </c>
      <c r="M634" s="510"/>
      <c r="N634" s="45"/>
      <c r="Q634" s="45"/>
      <c r="R634" s="45"/>
      <c r="U634" s="45"/>
      <c r="V634" s="45"/>
      <c r="W634" s="45"/>
      <c r="X634" s="45"/>
      <c r="Y634" s="45"/>
      <c r="Z634" s="45"/>
      <c r="AA634" s="45"/>
    </row>
    <row r="635" spans="1:27" ht="13">
      <c r="A635" s="54">
        <v>2024</v>
      </c>
      <c r="B635" s="508">
        <v>45370</v>
      </c>
      <c r="C635" s="509" t="s">
        <v>481</v>
      </c>
      <c r="D635" s="509" t="s">
        <v>494</v>
      </c>
      <c r="E635" s="509" t="s">
        <v>521</v>
      </c>
      <c r="F635" s="509" t="s">
        <v>544</v>
      </c>
      <c r="G635" s="510"/>
      <c r="H635" s="510"/>
      <c r="I635" s="510"/>
      <c r="J635" s="510">
        <v>915</v>
      </c>
      <c r="K635" s="510">
        <f t="shared" si="20"/>
        <v>749.93000000000006</v>
      </c>
      <c r="L635" s="511">
        <v>165.07</v>
      </c>
      <c r="M635" s="510"/>
      <c r="N635" s="45"/>
      <c r="Q635" s="45"/>
      <c r="R635" s="45"/>
      <c r="U635" s="45"/>
      <c r="V635" s="45"/>
      <c r="W635" s="45"/>
      <c r="X635" s="45"/>
      <c r="Y635" s="45"/>
      <c r="Z635" s="45"/>
      <c r="AA635" s="45"/>
    </row>
    <row r="636" spans="1:27" ht="13">
      <c r="A636" s="54">
        <v>2024</v>
      </c>
      <c r="B636" s="508">
        <v>45371</v>
      </c>
      <c r="C636" s="509" t="s">
        <v>481</v>
      </c>
      <c r="D636" s="509" t="s">
        <v>493</v>
      </c>
      <c r="E636" s="509" t="s">
        <v>688</v>
      </c>
      <c r="F636" s="509" t="s">
        <v>689</v>
      </c>
      <c r="G636" s="510"/>
      <c r="H636" s="510"/>
      <c r="I636" s="510"/>
      <c r="J636" s="510">
        <v>530</v>
      </c>
      <c r="K636" s="510">
        <f t="shared" si="20"/>
        <v>434.43</v>
      </c>
      <c r="L636" s="511">
        <v>95.57</v>
      </c>
      <c r="M636" s="510"/>
      <c r="N636" s="45"/>
      <c r="Q636" s="45"/>
      <c r="R636" s="45"/>
      <c r="U636" s="45"/>
      <c r="V636" s="45"/>
      <c r="W636" s="45"/>
      <c r="X636" s="45"/>
      <c r="Y636" s="45"/>
      <c r="Z636" s="45"/>
      <c r="AA636" s="45"/>
    </row>
    <row r="637" spans="1:27" ht="13">
      <c r="A637" s="54">
        <v>2024</v>
      </c>
      <c r="B637" s="508">
        <v>45372</v>
      </c>
      <c r="C637" s="509" t="s">
        <v>481</v>
      </c>
      <c r="D637" s="509" t="s">
        <v>493</v>
      </c>
      <c r="E637" s="509" t="s">
        <v>688</v>
      </c>
      <c r="F637" s="509" t="s">
        <v>689</v>
      </c>
      <c r="G637" s="510"/>
      <c r="H637" s="510"/>
      <c r="I637" s="510"/>
      <c r="J637" s="510">
        <v>480</v>
      </c>
      <c r="K637" s="510">
        <f t="shared" si="20"/>
        <v>393.44</v>
      </c>
      <c r="L637" s="511">
        <v>86.56</v>
      </c>
      <c r="M637" s="510"/>
      <c r="N637" s="45"/>
      <c r="Q637" s="45"/>
      <c r="R637" s="45"/>
      <c r="U637" s="45"/>
      <c r="V637" s="45"/>
      <c r="W637" s="45"/>
      <c r="X637" s="45"/>
      <c r="Y637" s="45"/>
      <c r="Z637" s="45"/>
      <c r="AA637" s="45"/>
    </row>
    <row r="638" spans="1:27" ht="13">
      <c r="A638" s="54">
        <v>2024</v>
      </c>
      <c r="B638" s="508">
        <v>45377</v>
      </c>
      <c r="C638" s="509" t="s">
        <v>481</v>
      </c>
      <c r="D638" s="509" t="s">
        <v>493</v>
      </c>
      <c r="E638" s="509" t="s">
        <v>479</v>
      </c>
      <c r="F638" s="509" t="s">
        <v>690</v>
      </c>
      <c r="G638" s="510"/>
      <c r="H638" s="510">
        <v>36.11</v>
      </c>
      <c r="I638" s="510">
        <v>29.6</v>
      </c>
      <c r="J638" s="510"/>
      <c r="K638" s="510"/>
      <c r="L638" s="510">
        <f>6.51*M638</f>
        <v>246.09101999999999</v>
      </c>
      <c r="M638" s="510">
        <v>37.802</v>
      </c>
      <c r="N638" s="45"/>
      <c r="Q638" s="45"/>
      <c r="R638" s="45"/>
      <c r="U638" s="45"/>
      <c r="V638" s="45"/>
      <c r="W638" s="45"/>
      <c r="X638" s="45"/>
      <c r="Y638" s="45"/>
      <c r="Z638" s="45"/>
      <c r="AA638" s="45"/>
    </row>
    <row r="639" spans="1:27" ht="13">
      <c r="A639" s="54">
        <v>2024</v>
      </c>
      <c r="B639" s="508">
        <v>45378</v>
      </c>
      <c r="C639" s="509" t="s">
        <v>481</v>
      </c>
      <c r="D639" s="509" t="s">
        <v>493</v>
      </c>
      <c r="E639" s="509" t="s">
        <v>63</v>
      </c>
      <c r="F639" s="509" t="s">
        <v>539</v>
      </c>
      <c r="G639" s="510"/>
      <c r="H639" s="510"/>
      <c r="I639" s="510"/>
      <c r="J639" s="510">
        <v>808.95</v>
      </c>
      <c r="K639" s="510">
        <v>808.95</v>
      </c>
      <c r="L639" s="510"/>
      <c r="M639" s="510"/>
      <c r="N639" s="45"/>
      <c r="Q639" s="45"/>
      <c r="R639" s="45"/>
      <c r="U639" s="45"/>
      <c r="V639" s="45"/>
      <c r="W639" s="45"/>
      <c r="X639" s="45"/>
      <c r="Y639" s="45"/>
      <c r="Z639" s="45"/>
      <c r="AA639" s="45"/>
    </row>
    <row r="640" spans="1:27" ht="13">
      <c r="A640" s="54">
        <v>2024</v>
      </c>
      <c r="B640" s="508">
        <v>45378</v>
      </c>
      <c r="C640" s="509" t="s">
        <v>481</v>
      </c>
      <c r="D640" s="509" t="s">
        <v>494</v>
      </c>
      <c r="E640" s="509" t="s">
        <v>502</v>
      </c>
      <c r="F640" s="509" t="s">
        <v>522</v>
      </c>
      <c r="G640" s="510"/>
      <c r="H640" s="510"/>
      <c r="I640" s="510"/>
      <c r="J640" s="510">
        <v>73397</v>
      </c>
      <c r="K640" s="510">
        <v>73397</v>
      </c>
      <c r="L640" s="510"/>
      <c r="M640" s="510"/>
      <c r="N640" s="45"/>
      <c r="Q640" s="45"/>
      <c r="R640" s="45"/>
      <c r="U640" s="45"/>
      <c r="V640" s="45"/>
      <c r="W640" s="45"/>
      <c r="X640" s="45"/>
      <c r="Y640" s="45"/>
      <c r="Z640" s="45"/>
      <c r="AA640" s="45"/>
    </row>
    <row r="641" spans="1:27" ht="13">
      <c r="A641" s="54">
        <v>2024</v>
      </c>
      <c r="B641" s="508">
        <v>45378</v>
      </c>
      <c r="C641" s="509" t="s">
        <v>481</v>
      </c>
      <c r="D641" s="509" t="s">
        <v>494</v>
      </c>
      <c r="E641" s="509" t="s">
        <v>502</v>
      </c>
      <c r="F641" s="509" t="s">
        <v>543</v>
      </c>
      <c r="G641" s="510"/>
      <c r="H641" s="510"/>
      <c r="I641" s="510"/>
      <c r="J641" s="510">
        <v>3661</v>
      </c>
      <c r="K641" s="510">
        <v>3661</v>
      </c>
      <c r="L641" s="510"/>
      <c r="M641" s="510"/>
      <c r="N641" s="45"/>
      <c r="Q641" s="45"/>
      <c r="R641" s="45"/>
      <c r="U641" s="45"/>
      <c r="V641" s="45"/>
      <c r="W641" s="45"/>
      <c r="X641" s="45"/>
      <c r="Y641" s="45"/>
      <c r="Z641" s="45"/>
      <c r="AA641" s="45"/>
    </row>
    <row r="642" spans="1:27" ht="13">
      <c r="A642" s="54">
        <v>2024</v>
      </c>
      <c r="B642" s="508">
        <v>45378</v>
      </c>
      <c r="C642" s="509" t="s">
        <v>481</v>
      </c>
      <c r="D642" s="509" t="s">
        <v>494</v>
      </c>
      <c r="E642" s="509" t="s">
        <v>512</v>
      </c>
      <c r="F642" s="509" t="s">
        <v>528</v>
      </c>
      <c r="G642" s="510"/>
      <c r="H642" s="510"/>
      <c r="I642" s="510"/>
      <c r="J642" s="510">
        <f>P653</f>
        <v>14012.506450000001</v>
      </c>
      <c r="K642" s="510">
        <f>P653</f>
        <v>14012.506450000001</v>
      </c>
      <c r="L642" s="512"/>
      <c r="M642" s="512"/>
      <c r="N642" s="49"/>
      <c r="Q642" s="45"/>
      <c r="R642" s="45"/>
      <c r="U642" s="45"/>
      <c r="V642" s="45"/>
      <c r="W642" s="45"/>
      <c r="X642" s="45"/>
      <c r="Y642" s="45"/>
      <c r="Z642" s="45"/>
      <c r="AA642" s="45"/>
    </row>
    <row r="643" spans="1:27" ht="13">
      <c r="A643" s="54">
        <v>2024</v>
      </c>
      <c r="B643" s="508">
        <v>45378</v>
      </c>
      <c r="C643" s="509" t="s">
        <v>481</v>
      </c>
      <c r="D643" s="509" t="s">
        <v>494</v>
      </c>
      <c r="E643" s="509" t="s">
        <v>512</v>
      </c>
      <c r="F643" s="509" t="s">
        <v>574</v>
      </c>
      <c r="G643" s="510"/>
      <c r="H643" s="510"/>
      <c r="I643" s="510"/>
      <c r="J643" s="510">
        <v>903</v>
      </c>
      <c r="K643" s="510">
        <v>903</v>
      </c>
      <c r="L643" s="512"/>
      <c r="M643" s="512"/>
      <c r="N643" s="49"/>
      <c r="Q643" s="45"/>
      <c r="R643" s="45"/>
      <c r="U643" s="45"/>
      <c r="V643" s="45"/>
      <c r="W643" s="45"/>
      <c r="X643" s="45"/>
      <c r="Y643" s="45"/>
      <c r="Z643" s="45"/>
      <c r="AA643" s="45"/>
    </row>
    <row r="644" spans="1:27" ht="13">
      <c r="A644" s="54">
        <v>2024</v>
      </c>
      <c r="B644" s="508">
        <v>45382</v>
      </c>
      <c r="C644" s="509" t="s">
        <v>481</v>
      </c>
      <c r="D644" s="509" t="s">
        <v>484</v>
      </c>
      <c r="E644" s="509" t="s">
        <v>644</v>
      </c>
      <c r="F644" s="509" t="s">
        <v>488</v>
      </c>
      <c r="G644" s="510"/>
      <c r="H644" s="510"/>
      <c r="I644" s="510"/>
      <c r="J644" s="510">
        <v>64010</v>
      </c>
      <c r="K644" s="510">
        <v>64010</v>
      </c>
      <c r="L644" s="510"/>
      <c r="M644" s="510"/>
      <c r="N644" s="45"/>
      <c r="Q644" s="45"/>
      <c r="R644" s="45"/>
      <c r="U644" s="45"/>
      <c r="V644" s="45"/>
      <c r="W644" s="45"/>
      <c r="X644" s="45"/>
      <c r="Y644" s="45"/>
      <c r="Z644" s="45"/>
      <c r="AA644" s="45"/>
    </row>
    <row r="645" spans="1:27" ht="13">
      <c r="A645" s="54">
        <v>2024</v>
      </c>
      <c r="B645" s="508">
        <v>45382</v>
      </c>
      <c r="C645" s="509" t="s">
        <v>679</v>
      </c>
      <c r="D645" s="509" t="s">
        <v>482</v>
      </c>
      <c r="E645" s="509" t="s">
        <v>680</v>
      </c>
      <c r="F645" s="509" t="s">
        <v>459</v>
      </c>
      <c r="G645" s="510"/>
      <c r="H645" s="510">
        <v>1100</v>
      </c>
      <c r="I645" s="510">
        <v>1100</v>
      </c>
      <c r="J645" s="510"/>
      <c r="K645" s="510"/>
      <c r="L645" s="510"/>
      <c r="M645" s="510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 spans="1:27" ht="13">
      <c r="A646" s="54">
        <v>2024</v>
      </c>
      <c r="B646" s="508">
        <v>45382</v>
      </c>
      <c r="C646" s="509" t="s">
        <v>474</v>
      </c>
      <c r="D646" s="509" t="s">
        <v>482</v>
      </c>
      <c r="E646" s="509" t="s">
        <v>483</v>
      </c>
      <c r="F646" s="509" t="s">
        <v>459</v>
      </c>
      <c r="G646" s="510"/>
      <c r="H646" s="510">
        <v>1056</v>
      </c>
      <c r="I646" s="510">
        <v>1056</v>
      </c>
      <c r="J646" s="510"/>
      <c r="K646" s="510"/>
      <c r="L646" s="510"/>
      <c r="M646" s="510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 spans="1:27" ht="13">
      <c r="A647" s="54">
        <v>2024</v>
      </c>
      <c r="B647" s="508">
        <v>45382</v>
      </c>
      <c r="C647" s="509" t="s">
        <v>474</v>
      </c>
      <c r="D647" s="509" t="s">
        <v>482</v>
      </c>
      <c r="E647" s="509" t="s">
        <v>535</v>
      </c>
      <c r="F647" s="509" t="s">
        <v>459</v>
      </c>
      <c r="G647" s="510"/>
      <c r="H647" s="510">
        <v>1056</v>
      </c>
      <c r="I647" s="510">
        <v>1056</v>
      </c>
      <c r="J647" s="510"/>
      <c r="K647" s="510"/>
      <c r="L647" s="510"/>
      <c r="M647" s="510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 spans="1:27" ht="13">
      <c r="A648" s="54">
        <v>2024</v>
      </c>
      <c r="B648" s="508">
        <v>45382</v>
      </c>
      <c r="C648" s="509" t="s">
        <v>474</v>
      </c>
      <c r="D648" s="509" t="s">
        <v>482</v>
      </c>
      <c r="E648" s="509" t="s">
        <v>541</v>
      </c>
      <c r="F648" s="509" t="s">
        <v>459</v>
      </c>
      <c r="G648" s="510"/>
      <c r="H648" s="510">
        <v>1056</v>
      </c>
      <c r="I648" s="510">
        <v>1056</v>
      </c>
      <c r="J648" s="510"/>
      <c r="K648" s="510"/>
      <c r="L648" s="510"/>
      <c r="M648" s="510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 spans="1:27" ht="13">
      <c r="A649" s="54">
        <v>2024</v>
      </c>
      <c r="B649" s="508">
        <v>45382</v>
      </c>
      <c r="C649" s="509" t="s">
        <v>474</v>
      </c>
      <c r="D649" s="509" t="s">
        <v>482</v>
      </c>
      <c r="E649" s="509" t="s">
        <v>537</v>
      </c>
      <c r="F649" s="509" t="s">
        <v>459</v>
      </c>
      <c r="G649" s="510"/>
      <c r="H649" s="510">
        <v>792</v>
      </c>
      <c r="I649" s="510">
        <v>792</v>
      </c>
      <c r="J649" s="510"/>
      <c r="K649" s="510"/>
      <c r="L649" s="510"/>
      <c r="M649" s="510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 spans="1:27" ht="13">
      <c r="A650" s="54">
        <v>2024</v>
      </c>
      <c r="B650" s="508">
        <v>45382</v>
      </c>
      <c r="C650" s="509" t="s">
        <v>474</v>
      </c>
      <c r="D650" s="509" t="s">
        <v>490</v>
      </c>
      <c r="E650" s="509" t="s">
        <v>663</v>
      </c>
      <c r="F650" s="509" t="s">
        <v>558</v>
      </c>
      <c r="G650" s="510"/>
      <c r="H650" s="510">
        <v>62.46</v>
      </c>
      <c r="I650" s="510">
        <v>62.46</v>
      </c>
      <c r="J650" s="510"/>
      <c r="K650" s="510"/>
      <c r="L650" s="510"/>
      <c r="M650" s="510"/>
      <c r="N650" s="45"/>
      <c r="O650" s="469" t="s">
        <v>457</v>
      </c>
      <c r="P650" s="470"/>
      <c r="Q650" s="45"/>
      <c r="R650" s="45"/>
      <c r="S650" s="491" t="s">
        <v>669</v>
      </c>
      <c r="T650" s="492"/>
      <c r="U650" s="45"/>
      <c r="V650" s="45"/>
      <c r="W650" s="45"/>
      <c r="X650" s="45"/>
      <c r="Y650" s="45"/>
      <c r="Z650" s="45"/>
      <c r="AA650" s="45"/>
    </row>
    <row r="651" spans="1:27" ht="13">
      <c r="A651" s="54">
        <v>2024</v>
      </c>
      <c r="B651" s="508">
        <v>45382</v>
      </c>
      <c r="C651" s="509" t="s">
        <v>474</v>
      </c>
      <c r="D651" s="509" t="s">
        <v>478</v>
      </c>
      <c r="E651" s="509" t="s">
        <v>479</v>
      </c>
      <c r="F651" s="509" t="s">
        <v>547</v>
      </c>
      <c r="G651" s="510"/>
      <c r="H651" s="510">
        <f t="shared" ref="H651:I651" si="21">(20*4)</f>
        <v>80</v>
      </c>
      <c r="I651" s="510">
        <f t="shared" si="21"/>
        <v>80</v>
      </c>
      <c r="J651" s="510"/>
      <c r="K651" s="510"/>
      <c r="L651" s="510"/>
      <c r="M651" s="510"/>
      <c r="N651" s="45"/>
      <c r="O651" s="470">
        <f>SUM(Facturacion!I90:I92)</f>
        <v>107197.5652</v>
      </c>
      <c r="P651" s="470"/>
      <c r="Q651" s="45"/>
      <c r="R651" s="45"/>
      <c r="S651" s="491" t="s">
        <v>411</v>
      </c>
      <c r="T651" s="470">
        <f>SUM(K631:K665)</f>
        <v>384106.77645</v>
      </c>
      <c r="U651" s="45"/>
      <c r="V651" s="45"/>
      <c r="W651" s="45"/>
      <c r="X651" s="45"/>
      <c r="Y651" s="45"/>
      <c r="Z651" s="45"/>
      <c r="AA651" s="45"/>
    </row>
    <row r="652" spans="1:27" ht="13">
      <c r="A652" s="54">
        <v>2024</v>
      </c>
      <c r="B652" s="508">
        <v>45382</v>
      </c>
      <c r="C652" s="509" t="s">
        <v>481</v>
      </c>
      <c r="D652" s="509" t="s">
        <v>482</v>
      </c>
      <c r="E652" s="509" t="s">
        <v>495</v>
      </c>
      <c r="F652" s="509" t="s">
        <v>496</v>
      </c>
      <c r="G652" s="510"/>
      <c r="H652" s="511"/>
      <c r="I652" s="511"/>
      <c r="J652" s="510">
        <v>220014</v>
      </c>
      <c r="K652" s="510">
        <v>220014</v>
      </c>
      <c r="L652" s="510"/>
      <c r="M652" s="510"/>
      <c r="N652" s="45"/>
      <c r="O652" s="469" t="s">
        <v>461</v>
      </c>
      <c r="P652" s="469" t="s">
        <v>462</v>
      </c>
      <c r="Q652" s="45"/>
      <c r="R652" s="45"/>
      <c r="S652" s="469" t="s">
        <v>584</v>
      </c>
      <c r="T652" s="470">
        <f>SUM(I631:I665)</f>
        <v>8118.61</v>
      </c>
      <c r="U652" s="45"/>
      <c r="V652" s="45"/>
      <c r="W652" s="45"/>
      <c r="X652" s="45"/>
      <c r="Y652" s="45"/>
      <c r="Z652" s="45"/>
      <c r="AA652" s="45"/>
    </row>
    <row r="653" spans="1:27" ht="13">
      <c r="A653" s="54">
        <v>2024</v>
      </c>
      <c r="B653" s="508">
        <v>45382</v>
      </c>
      <c r="C653" s="509" t="s">
        <v>481</v>
      </c>
      <c r="D653" s="509" t="s">
        <v>491</v>
      </c>
      <c r="E653" s="509" t="s">
        <v>638</v>
      </c>
      <c r="F653" s="509" t="s">
        <v>576</v>
      </c>
      <c r="G653" s="510"/>
      <c r="H653" s="510">
        <v>71.08</v>
      </c>
      <c r="I653" s="510">
        <v>71.08</v>
      </c>
      <c r="J653" s="510"/>
      <c r="K653" s="510"/>
      <c r="L653" s="510"/>
      <c r="M653" s="510"/>
      <c r="N653" s="45"/>
      <c r="O653" s="470">
        <f>SUM(L631:L665)</f>
        <v>1470.38102</v>
      </c>
      <c r="P653" s="470">
        <f>(O651-O653)+P602</f>
        <v>14012.506450000001</v>
      </c>
      <c r="Q653" s="45"/>
      <c r="R653" s="45"/>
      <c r="S653" s="491"/>
      <c r="T653" s="492"/>
      <c r="U653" s="45"/>
      <c r="V653" s="45"/>
      <c r="W653" s="45"/>
      <c r="X653" s="45"/>
      <c r="Y653" s="45"/>
      <c r="Z653" s="45"/>
      <c r="AA653" s="45"/>
    </row>
    <row r="654" spans="1:27" ht="13">
      <c r="A654" s="54">
        <v>2024</v>
      </c>
      <c r="B654" s="508">
        <v>45382</v>
      </c>
      <c r="C654" s="509" t="s">
        <v>481</v>
      </c>
      <c r="D654" s="509" t="s">
        <v>491</v>
      </c>
      <c r="E654" s="509" t="s">
        <v>633</v>
      </c>
      <c r="F654" s="509" t="s">
        <v>576</v>
      </c>
      <c r="G654" s="510"/>
      <c r="H654" s="510">
        <v>32.4</v>
      </c>
      <c r="I654" s="510">
        <v>32.4</v>
      </c>
      <c r="J654" s="510"/>
      <c r="K654" s="510"/>
      <c r="L654" s="510"/>
      <c r="M654" s="510"/>
      <c r="N654" s="45"/>
      <c r="O654" s="470"/>
      <c r="P654" s="470"/>
      <c r="Q654" s="45"/>
      <c r="R654" s="45"/>
      <c r="S654" s="491"/>
      <c r="T654" s="492"/>
      <c r="U654" s="45"/>
      <c r="V654" s="45"/>
      <c r="W654" s="45"/>
      <c r="X654" s="45"/>
      <c r="Y654" s="45"/>
      <c r="Z654" s="45"/>
      <c r="AA654" s="45"/>
    </row>
    <row r="655" spans="1:27" ht="13">
      <c r="A655" s="54">
        <v>2024</v>
      </c>
      <c r="B655" s="508">
        <v>45382</v>
      </c>
      <c r="C655" s="509" t="s">
        <v>481</v>
      </c>
      <c r="D655" s="509" t="s">
        <v>491</v>
      </c>
      <c r="E655" s="509" t="s">
        <v>601</v>
      </c>
      <c r="F655" s="509" t="s">
        <v>576</v>
      </c>
      <c r="G655" s="510"/>
      <c r="H655" s="510">
        <v>133.61000000000001</v>
      </c>
      <c r="I655" s="510">
        <v>133.61000000000001</v>
      </c>
      <c r="J655" s="510"/>
      <c r="K655" s="510"/>
      <c r="L655" s="510"/>
      <c r="M655" s="510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 spans="1:27" ht="13">
      <c r="A656" s="54">
        <v>2024</v>
      </c>
      <c r="B656" s="508">
        <v>45382</v>
      </c>
      <c r="C656" s="509" t="s">
        <v>481</v>
      </c>
      <c r="D656" s="509" t="s">
        <v>491</v>
      </c>
      <c r="E656" s="509" t="s">
        <v>498</v>
      </c>
      <c r="F656" s="509" t="s">
        <v>576</v>
      </c>
      <c r="G656" s="510"/>
      <c r="H656" s="510">
        <v>9.01</v>
      </c>
      <c r="I656" s="510">
        <v>9.01</v>
      </c>
      <c r="J656" s="510"/>
      <c r="K656" s="510"/>
      <c r="L656" s="510"/>
      <c r="M656" s="510"/>
      <c r="N656" s="45"/>
      <c r="O656" s="45" t="s">
        <v>673</v>
      </c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 spans="1:27" ht="13">
      <c r="A657" s="54">
        <v>2024</v>
      </c>
      <c r="B657" s="508">
        <v>45382</v>
      </c>
      <c r="C657" s="509" t="s">
        <v>481</v>
      </c>
      <c r="D657" s="509" t="s">
        <v>491</v>
      </c>
      <c r="E657" s="509" t="s">
        <v>602</v>
      </c>
      <c r="F657" s="509" t="s">
        <v>576</v>
      </c>
      <c r="G657" s="510"/>
      <c r="H657" s="510">
        <v>544.91999999999996</v>
      </c>
      <c r="I657" s="510">
        <v>544.91999999999996</v>
      </c>
      <c r="J657" s="510"/>
      <c r="K657" s="510"/>
      <c r="L657" s="510"/>
      <c r="M657" s="510"/>
      <c r="N657" s="45"/>
      <c r="O657" s="68">
        <f>O651-O654</f>
        <v>107197.5652</v>
      </c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 spans="1:27" ht="13">
      <c r="A658" s="54">
        <v>2024</v>
      </c>
      <c r="B658" s="508">
        <v>45382</v>
      </c>
      <c r="C658" s="509" t="s">
        <v>481</v>
      </c>
      <c r="D658" s="509" t="s">
        <v>491</v>
      </c>
      <c r="E658" s="509" t="s">
        <v>591</v>
      </c>
      <c r="F658" s="509" t="s">
        <v>576</v>
      </c>
      <c r="G658" s="510"/>
      <c r="H658" s="510">
        <v>20</v>
      </c>
      <c r="I658" s="510">
        <v>20</v>
      </c>
      <c r="J658" s="510"/>
      <c r="K658" s="510"/>
      <c r="L658" s="510"/>
      <c r="M658" s="510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 spans="1:27" ht="13">
      <c r="A659" s="54">
        <v>2024</v>
      </c>
      <c r="B659" s="508">
        <v>45382</v>
      </c>
      <c r="C659" s="509" t="s">
        <v>481</v>
      </c>
      <c r="D659" s="509" t="s">
        <v>491</v>
      </c>
      <c r="E659" s="509" t="s">
        <v>639</v>
      </c>
      <c r="F659" s="509" t="s">
        <v>576</v>
      </c>
      <c r="G659" s="510"/>
      <c r="H659" s="510">
        <v>15</v>
      </c>
      <c r="I659" s="510">
        <v>15</v>
      </c>
      <c r="J659" s="510"/>
      <c r="K659" s="510"/>
      <c r="L659" s="510"/>
      <c r="M659" s="510"/>
      <c r="N659" s="45"/>
      <c r="O659" s="45" t="s">
        <v>691</v>
      </c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 spans="1:27" ht="13">
      <c r="A660" s="54">
        <v>2024</v>
      </c>
      <c r="B660" s="508">
        <v>45382</v>
      </c>
      <c r="C660" s="509" t="s">
        <v>481</v>
      </c>
      <c r="D660" s="509" t="s">
        <v>491</v>
      </c>
      <c r="E660" s="509" t="s">
        <v>592</v>
      </c>
      <c r="F660" s="509" t="s">
        <v>576</v>
      </c>
      <c r="G660" s="510"/>
      <c r="H660" s="510">
        <v>40</v>
      </c>
      <c r="I660" s="510">
        <v>40</v>
      </c>
      <c r="J660" s="510"/>
      <c r="K660" s="510"/>
      <c r="L660" s="510"/>
      <c r="M660" s="510"/>
      <c r="N660" s="45"/>
      <c r="O660" s="68">
        <f>L570-O567-O605-O657</f>
        <v>-15482.887470000001</v>
      </c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 spans="1:27" ht="13">
      <c r="A661" s="54">
        <v>2024</v>
      </c>
      <c r="B661" s="508">
        <v>45382</v>
      </c>
      <c r="C661" s="509" t="s">
        <v>481</v>
      </c>
      <c r="D661" s="509" t="s">
        <v>491</v>
      </c>
      <c r="E661" s="513" t="s">
        <v>654</v>
      </c>
      <c r="F661" s="509" t="s">
        <v>576</v>
      </c>
      <c r="G661" s="510"/>
      <c r="H661" s="510">
        <f t="shared" ref="H661:I661" si="22">42.27+42.27</f>
        <v>84.54</v>
      </c>
      <c r="I661" s="510">
        <f t="shared" si="22"/>
        <v>84.54</v>
      </c>
      <c r="J661" s="510"/>
      <c r="K661" s="510"/>
      <c r="L661" s="510"/>
      <c r="M661" s="510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 spans="1:27" ht="13">
      <c r="A662" s="54">
        <v>2024</v>
      </c>
      <c r="B662" s="508">
        <v>45382</v>
      </c>
      <c r="C662" s="509" t="s">
        <v>481</v>
      </c>
      <c r="D662" s="509" t="s">
        <v>491</v>
      </c>
      <c r="E662" s="509" t="s">
        <v>534</v>
      </c>
      <c r="F662" s="509" t="s">
        <v>576</v>
      </c>
      <c r="G662" s="510"/>
      <c r="H662" s="510">
        <v>15.99</v>
      </c>
      <c r="I662" s="510">
        <v>15.99</v>
      </c>
      <c r="J662" s="510"/>
      <c r="K662" s="510"/>
      <c r="L662" s="510"/>
      <c r="M662" s="510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 spans="1:27" ht="13">
      <c r="A663" s="54">
        <v>2024</v>
      </c>
      <c r="B663" s="508">
        <v>45382</v>
      </c>
      <c r="C663" s="509" t="s">
        <v>481</v>
      </c>
      <c r="D663" s="509" t="s">
        <v>491</v>
      </c>
      <c r="E663" s="509" t="s">
        <v>692</v>
      </c>
      <c r="F663" s="509" t="s">
        <v>576</v>
      </c>
      <c r="G663" s="510"/>
      <c r="H663" s="510">
        <v>20</v>
      </c>
      <c r="I663" s="510">
        <v>20</v>
      </c>
      <c r="J663" s="510"/>
      <c r="K663" s="510"/>
      <c r="L663" s="510"/>
      <c r="M663" s="510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 spans="1:27" ht="13">
      <c r="A664" s="54">
        <v>2024</v>
      </c>
      <c r="B664" s="508">
        <v>45382</v>
      </c>
      <c r="C664" s="509" t="s">
        <v>481</v>
      </c>
      <c r="D664" s="509" t="s">
        <v>489</v>
      </c>
      <c r="E664" s="509" t="s">
        <v>463</v>
      </c>
      <c r="F664" s="509" t="s">
        <v>464</v>
      </c>
      <c r="G664" s="510"/>
      <c r="H664" s="510"/>
      <c r="I664" s="510"/>
      <c r="J664" s="510">
        <v>7000</v>
      </c>
      <c r="K664" s="510">
        <v>5737.7</v>
      </c>
      <c r="L664" s="510">
        <v>1262.29</v>
      </c>
      <c r="M664" s="510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 spans="1:27" ht="13">
      <c r="A665" s="54">
        <v>2024</v>
      </c>
      <c r="B665" s="508">
        <v>45383</v>
      </c>
      <c r="C665" s="509" t="s">
        <v>474</v>
      </c>
      <c r="D665" s="509" t="s">
        <v>478</v>
      </c>
      <c r="E665" s="509" t="s">
        <v>479</v>
      </c>
      <c r="F665" s="509" t="s">
        <v>480</v>
      </c>
      <c r="G665" s="510"/>
      <c r="H665" s="510">
        <f t="shared" ref="H665:I665" si="23">(40*4)</f>
        <v>160</v>
      </c>
      <c r="I665" s="510">
        <f t="shared" si="23"/>
        <v>160</v>
      </c>
      <c r="J665" s="510"/>
      <c r="K665" s="510"/>
      <c r="L665" s="510"/>
      <c r="M665" s="510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 spans="1:27" ht="13">
      <c r="A666" s="54">
        <v>2024</v>
      </c>
      <c r="B666" s="386">
        <v>45387</v>
      </c>
      <c r="C666" s="387" t="s">
        <v>481</v>
      </c>
      <c r="D666" s="387" t="s">
        <v>493</v>
      </c>
      <c r="E666" s="387" t="s">
        <v>63</v>
      </c>
      <c r="F666" s="387" t="s">
        <v>480</v>
      </c>
      <c r="G666" s="388"/>
      <c r="H666" s="388"/>
      <c r="I666" s="388"/>
      <c r="J666" s="388">
        <v>74.400000000000006</v>
      </c>
      <c r="K666" s="388">
        <v>74.400000000000006</v>
      </c>
      <c r="L666" s="388"/>
      <c r="M666" s="388"/>
      <c r="N666" s="45"/>
      <c r="O666" s="469" t="s">
        <v>457</v>
      </c>
      <c r="P666" s="470"/>
      <c r="Q666" s="45"/>
      <c r="R666" s="45"/>
      <c r="S666" s="491" t="s">
        <v>669</v>
      </c>
      <c r="T666" s="492"/>
      <c r="U666" s="45"/>
      <c r="V666" s="45"/>
      <c r="W666" s="45"/>
      <c r="X666" s="45"/>
      <c r="Y666" s="45"/>
      <c r="Z666" s="45"/>
      <c r="AA666" s="45"/>
    </row>
    <row r="667" spans="1:27" ht="13">
      <c r="A667" s="54">
        <v>2024</v>
      </c>
      <c r="B667" s="386">
        <v>45390</v>
      </c>
      <c r="C667" s="387" t="s">
        <v>481</v>
      </c>
      <c r="D667" s="387" t="s">
        <v>493</v>
      </c>
      <c r="E667" s="387" t="s">
        <v>63</v>
      </c>
      <c r="F667" s="387" t="s">
        <v>480</v>
      </c>
      <c r="G667" s="388"/>
      <c r="H667" s="388"/>
      <c r="I667" s="388"/>
      <c r="J667" s="388">
        <v>74.59</v>
      </c>
      <c r="K667" s="388">
        <v>74.59</v>
      </c>
      <c r="L667" s="388"/>
      <c r="M667" s="388"/>
      <c r="N667" s="45"/>
      <c r="O667" s="470">
        <f>SUM(Facturacion!I93:I95)</f>
        <v>103292.9513</v>
      </c>
      <c r="P667" s="470"/>
      <c r="Q667" s="45"/>
      <c r="R667" s="45"/>
      <c r="S667" s="491" t="s">
        <v>411</v>
      </c>
      <c r="T667" s="470">
        <f>SUM(K666:K698)</f>
        <v>485713.52999999997</v>
      </c>
      <c r="U667" s="45"/>
      <c r="V667" s="45"/>
      <c r="W667" s="45"/>
      <c r="X667" s="45"/>
      <c r="Y667" s="45"/>
      <c r="Z667" s="45"/>
      <c r="AA667" s="45"/>
    </row>
    <row r="668" spans="1:27" ht="13">
      <c r="A668" s="54">
        <v>2024</v>
      </c>
      <c r="B668" s="386">
        <v>45392</v>
      </c>
      <c r="C668" s="387" t="s">
        <v>481</v>
      </c>
      <c r="D668" s="387" t="s">
        <v>493</v>
      </c>
      <c r="E668" s="387" t="s">
        <v>479</v>
      </c>
      <c r="F668" s="387" t="s">
        <v>480</v>
      </c>
      <c r="G668" s="388"/>
      <c r="H668" s="388">
        <v>33.83</v>
      </c>
      <c r="I668" s="388">
        <v>33.83</v>
      </c>
      <c r="J668" s="388"/>
      <c r="K668" s="388"/>
      <c r="L668" s="388"/>
      <c r="M668" s="388"/>
      <c r="N668" s="45"/>
      <c r="O668" s="469" t="s">
        <v>461</v>
      </c>
      <c r="P668" s="469" t="s">
        <v>462</v>
      </c>
      <c r="Q668" s="45"/>
      <c r="R668" s="45"/>
      <c r="S668" s="469" t="s">
        <v>584</v>
      </c>
      <c r="T668" s="470">
        <f>SUM(I666:I733)</f>
        <v>14822.379999999997</v>
      </c>
      <c r="U668" s="45"/>
      <c r="V668" s="45"/>
      <c r="W668" s="45"/>
      <c r="X668" s="45"/>
      <c r="Y668" s="45"/>
      <c r="Z668" s="45"/>
      <c r="AA668" s="45"/>
    </row>
    <row r="669" spans="1:27" ht="13">
      <c r="A669" s="54">
        <v>2024</v>
      </c>
      <c r="B669" s="386">
        <v>45397</v>
      </c>
      <c r="C669" s="387" t="s">
        <v>481</v>
      </c>
      <c r="D669" s="387" t="s">
        <v>493</v>
      </c>
      <c r="E669" s="387" t="s">
        <v>479</v>
      </c>
      <c r="F669" s="387" t="s">
        <v>660</v>
      </c>
      <c r="G669" s="388"/>
      <c r="H669" s="388"/>
      <c r="I669" s="388"/>
      <c r="J669" s="388">
        <v>1264</v>
      </c>
      <c r="K669" s="388">
        <v>1264</v>
      </c>
      <c r="L669" s="388"/>
      <c r="M669" s="388"/>
      <c r="N669" s="45"/>
      <c r="O669" s="470">
        <f>SUM(L666:L698)</f>
        <v>1685.76794</v>
      </c>
      <c r="P669" s="470">
        <f>(O667-O669)+P653</f>
        <v>115619.68981</v>
      </c>
      <c r="Q669" s="45"/>
      <c r="R669" s="45"/>
      <c r="S669" s="491"/>
      <c r="T669" s="492"/>
      <c r="U669" s="45"/>
      <c r="V669" s="45"/>
      <c r="W669" s="45"/>
      <c r="X669" s="45"/>
      <c r="Y669" s="45"/>
      <c r="Z669" s="45"/>
      <c r="AA669" s="45"/>
    </row>
    <row r="670" spans="1:27" ht="13">
      <c r="A670" s="54">
        <v>2024</v>
      </c>
      <c r="B670" s="386">
        <v>45398</v>
      </c>
      <c r="C670" s="387" t="s">
        <v>481</v>
      </c>
      <c r="D670" s="387" t="s">
        <v>493</v>
      </c>
      <c r="E670" s="387" t="s">
        <v>551</v>
      </c>
      <c r="F670" s="387" t="s">
        <v>693</v>
      </c>
      <c r="G670" s="388"/>
      <c r="H670" s="388">
        <v>1000</v>
      </c>
      <c r="I670" s="388">
        <v>1000</v>
      </c>
      <c r="J670" s="388"/>
      <c r="K670" s="388"/>
      <c r="L670" s="467"/>
      <c r="M670" s="388"/>
      <c r="N670" s="45"/>
      <c r="O670" s="470"/>
      <c r="P670" s="470"/>
      <c r="Q670" s="45"/>
      <c r="R670" s="45"/>
      <c r="S670" s="491"/>
      <c r="T670" s="492"/>
      <c r="U670" s="45"/>
      <c r="V670" s="45"/>
      <c r="W670" s="45"/>
      <c r="X670" s="45"/>
      <c r="Y670" s="45"/>
      <c r="Z670" s="45"/>
      <c r="AA670" s="45"/>
    </row>
    <row r="671" spans="1:27" ht="13">
      <c r="A671" s="54">
        <v>2024</v>
      </c>
      <c r="B671" s="386">
        <v>45399</v>
      </c>
      <c r="C671" s="387" t="s">
        <v>481</v>
      </c>
      <c r="D671" s="387" t="s">
        <v>494</v>
      </c>
      <c r="E671" s="387" t="s">
        <v>521</v>
      </c>
      <c r="F671" s="387" t="s">
        <v>544</v>
      </c>
      <c r="G671" s="388"/>
      <c r="H671" s="388"/>
      <c r="I671" s="388"/>
      <c r="J671" s="388">
        <v>915</v>
      </c>
      <c r="K671" s="388">
        <f>J671-L671</f>
        <v>749.93000000000006</v>
      </c>
      <c r="L671" s="467">
        <v>165.07</v>
      </c>
      <c r="M671" s="388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 spans="1:27" ht="13">
      <c r="A672" s="54">
        <v>2024</v>
      </c>
      <c r="B672" s="386">
        <v>45408</v>
      </c>
      <c r="C672" s="387" t="s">
        <v>481</v>
      </c>
      <c r="D672" s="387" t="s">
        <v>493</v>
      </c>
      <c r="E672" s="387" t="s">
        <v>479</v>
      </c>
      <c r="F672" s="387" t="s">
        <v>690</v>
      </c>
      <c r="G672" s="388"/>
      <c r="H672" s="388">
        <v>37.1</v>
      </c>
      <c r="I672" s="388">
        <v>30.41</v>
      </c>
      <c r="J672" s="388"/>
      <c r="K672" s="388"/>
      <c r="L672" s="467">
        <f>6.69*M672</f>
        <v>258.40794</v>
      </c>
      <c r="M672" s="388">
        <v>38.625999999999998</v>
      </c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 spans="1:27" ht="13">
      <c r="A673" s="54">
        <v>2024</v>
      </c>
      <c r="B673" s="386">
        <v>45408</v>
      </c>
      <c r="C673" s="387" t="s">
        <v>481</v>
      </c>
      <c r="D673" s="387" t="s">
        <v>494</v>
      </c>
      <c r="E673" s="387" t="s">
        <v>502</v>
      </c>
      <c r="F673" s="387" t="s">
        <v>522</v>
      </c>
      <c r="G673" s="388"/>
      <c r="H673" s="388"/>
      <c r="I673" s="388"/>
      <c r="J673" s="388">
        <v>72795</v>
      </c>
      <c r="K673" s="388">
        <v>72795</v>
      </c>
      <c r="L673" s="467"/>
      <c r="M673" s="388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 spans="1:27" ht="13">
      <c r="A674" s="54">
        <v>2024</v>
      </c>
      <c r="B674" s="386">
        <v>45408</v>
      </c>
      <c r="C674" s="387" t="s">
        <v>481</v>
      </c>
      <c r="D674" s="387" t="s">
        <v>494</v>
      </c>
      <c r="E674" s="387" t="s">
        <v>502</v>
      </c>
      <c r="F674" s="387" t="s">
        <v>543</v>
      </c>
      <c r="G674" s="388"/>
      <c r="H674" s="388"/>
      <c r="I674" s="388"/>
      <c r="J674" s="388">
        <v>3661</v>
      </c>
      <c r="K674" s="388">
        <v>3661</v>
      </c>
      <c r="L674" s="467"/>
      <c r="M674" s="388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 spans="1:27" ht="13">
      <c r="A675" s="54">
        <v>2024</v>
      </c>
      <c r="B675" s="386">
        <v>45408</v>
      </c>
      <c r="C675" s="387" t="s">
        <v>481</v>
      </c>
      <c r="D675" s="387" t="s">
        <v>494</v>
      </c>
      <c r="E675" s="387" t="s">
        <v>512</v>
      </c>
      <c r="F675" s="387" t="s">
        <v>528</v>
      </c>
      <c r="G675" s="388"/>
      <c r="H675" s="388"/>
      <c r="I675" s="388"/>
      <c r="J675" s="388">
        <v>115620</v>
      </c>
      <c r="K675" s="388">
        <v>115620</v>
      </c>
      <c r="L675" s="467"/>
      <c r="M675" s="388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 spans="1:27" ht="13">
      <c r="A676" s="54">
        <v>2024</v>
      </c>
      <c r="B676" s="386">
        <v>45408</v>
      </c>
      <c r="C676" s="387" t="s">
        <v>481</v>
      </c>
      <c r="D676" s="387" t="s">
        <v>494</v>
      </c>
      <c r="E676" s="387" t="s">
        <v>512</v>
      </c>
      <c r="F676" s="387" t="s">
        <v>574</v>
      </c>
      <c r="G676" s="388"/>
      <c r="H676" s="388"/>
      <c r="I676" s="388"/>
      <c r="J676" s="388">
        <v>903</v>
      </c>
      <c r="K676" s="388">
        <v>903</v>
      </c>
      <c r="L676" s="467"/>
      <c r="M676" s="388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 spans="1:27" ht="13">
      <c r="A677" s="54">
        <v>2024</v>
      </c>
      <c r="B677" s="386">
        <v>45412</v>
      </c>
      <c r="C677" s="387" t="s">
        <v>481</v>
      </c>
      <c r="D677" s="387" t="s">
        <v>491</v>
      </c>
      <c r="E677" s="387" t="s">
        <v>638</v>
      </c>
      <c r="F677" s="387" t="s">
        <v>576</v>
      </c>
      <c r="G677" s="388"/>
      <c r="H677" s="388">
        <v>84.47</v>
      </c>
      <c r="I677" s="388">
        <v>84.47</v>
      </c>
      <c r="J677" s="388"/>
      <c r="K677" s="388"/>
      <c r="L677" s="467"/>
      <c r="M677" s="388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 spans="1:27" ht="13">
      <c r="A678" s="54">
        <v>2024</v>
      </c>
      <c r="B678" s="386">
        <v>45412</v>
      </c>
      <c r="C678" s="387" t="s">
        <v>481</v>
      </c>
      <c r="D678" s="387" t="s">
        <v>491</v>
      </c>
      <c r="E678" s="387" t="s">
        <v>633</v>
      </c>
      <c r="F678" s="387" t="s">
        <v>576</v>
      </c>
      <c r="G678" s="388"/>
      <c r="H678" s="388">
        <v>32.4</v>
      </c>
      <c r="I678" s="388">
        <v>32.4</v>
      </c>
      <c r="J678" s="388"/>
      <c r="K678" s="388"/>
      <c r="L678" s="388"/>
      <c r="M678" s="388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 spans="1:27" ht="13">
      <c r="A679" s="54">
        <v>2024</v>
      </c>
      <c r="B679" s="386">
        <v>45412</v>
      </c>
      <c r="C679" s="387" t="s">
        <v>481</v>
      </c>
      <c r="D679" s="387" t="s">
        <v>491</v>
      </c>
      <c r="E679" s="387" t="s">
        <v>601</v>
      </c>
      <c r="F679" s="387" t="s">
        <v>576</v>
      </c>
      <c r="G679" s="387"/>
      <c r="H679" s="388">
        <v>142.78</v>
      </c>
      <c r="I679" s="388">
        <v>142.78</v>
      </c>
      <c r="J679" s="388"/>
      <c r="K679" s="388"/>
      <c r="L679" s="388"/>
      <c r="M679" s="387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 spans="1:27" ht="13">
      <c r="A680" s="54">
        <v>2024</v>
      </c>
      <c r="B680" s="386">
        <v>45412</v>
      </c>
      <c r="C680" s="387" t="s">
        <v>481</v>
      </c>
      <c r="D680" s="387" t="s">
        <v>491</v>
      </c>
      <c r="E680" s="387" t="s">
        <v>498</v>
      </c>
      <c r="F680" s="387" t="s">
        <v>576</v>
      </c>
      <c r="G680" s="387"/>
      <c r="H680" s="388">
        <v>9</v>
      </c>
      <c r="I680" s="388">
        <v>9</v>
      </c>
      <c r="J680" s="388"/>
      <c r="K680" s="388"/>
      <c r="L680" s="388"/>
      <c r="M680" s="387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 spans="1:27" ht="13">
      <c r="A681" s="54">
        <v>2024</v>
      </c>
      <c r="B681" s="386">
        <v>45412</v>
      </c>
      <c r="C681" s="387" t="s">
        <v>481</v>
      </c>
      <c r="D681" s="387" t="s">
        <v>491</v>
      </c>
      <c r="E681" s="387" t="s">
        <v>602</v>
      </c>
      <c r="F681" s="387" t="s">
        <v>576</v>
      </c>
      <c r="G681" s="387"/>
      <c r="H681" s="388">
        <f t="shared" ref="H681:I681" si="24">546.07+10.02</f>
        <v>556.09</v>
      </c>
      <c r="I681" s="388">
        <f t="shared" si="24"/>
        <v>556.09</v>
      </c>
      <c r="J681" s="388"/>
      <c r="K681" s="388"/>
      <c r="L681" s="388"/>
      <c r="M681" s="387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 spans="1:27" ht="13">
      <c r="A682" s="54">
        <v>2024</v>
      </c>
      <c r="B682" s="386">
        <v>45412</v>
      </c>
      <c r="C682" s="387" t="s">
        <v>481</v>
      </c>
      <c r="D682" s="387" t="s">
        <v>491</v>
      </c>
      <c r="E682" s="387" t="s">
        <v>591</v>
      </c>
      <c r="F682" s="387" t="s">
        <v>576</v>
      </c>
      <c r="G682" s="387"/>
      <c r="H682" s="388">
        <v>20</v>
      </c>
      <c r="I682" s="388">
        <v>20</v>
      </c>
      <c r="J682" s="388"/>
      <c r="K682" s="388"/>
      <c r="L682" s="388"/>
      <c r="M682" s="387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 spans="1:27" ht="13">
      <c r="A683" s="54">
        <v>2024</v>
      </c>
      <c r="B683" s="386">
        <v>45412</v>
      </c>
      <c r="C683" s="387" t="s">
        <v>481</v>
      </c>
      <c r="D683" s="387" t="s">
        <v>491</v>
      </c>
      <c r="E683" s="387" t="s">
        <v>639</v>
      </c>
      <c r="F683" s="387" t="s">
        <v>576</v>
      </c>
      <c r="G683" s="387"/>
      <c r="H683" s="388">
        <v>15</v>
      </c>
      <c r="I683" s="388">
        <v>15</v>
      </c>
      <c r="J683" s="388"/>
      <c r="K683" s="388"/>
      <c r="L683" s="388"/>
      <c r="M683" s="387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 spans="1:27" ht="13">
      <c r="A684" s="54">
        <v>2024</v>
      </c>
      <c r="B684" s="386">
        <v>45412</v>
      </c>
      <c r="C684" s="387" t="s">
        <v>481</v>
      </c>
      <c r="D684" s="387" t="s">
        <v>491</v>
      </c>
      <c r="E684" s="387" t="s">
        <v>592</v>
      </c>
      <c r="F684" s="387" t="s">
        <v>576</v>
      </c>
      <c r="G684" s="387"/>
      <c r="H684" s="388">
        <f t="shared" ref="H684:I684" si="25">1.55+0.65+0.64+52</f>
        <v>54.84</v>
      </c>
      <c r="I684" s="388">
        <f t="shared" si="25"/>
        <v>54.84</v>
      </c>
      <c r="J684" s="388"/>
      <c r="K684" s="388"/>
      <c r="L684" s="388"/>
      <c r="M684" s="387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 spans="1:27" ht="13">
      <c r="A685" s="54">
        <v>2024</v>
      </c>
      <c r="B685" s="386">
        <v>45412</v>
      </c>
      <c r="C685" s="387" t="s">
        <v>481</v>
      </c>
      <c r="D685" s="387" t="s">
        <v>491</v>
      </c>
      <c r="E685" s="507" t="s">
        <v>654</v>
      </c>
      <c r="F685" s="387" t="s">
        <v>576</v>
      </c>
      <c r="G685" s="387"/>
      <c r="H685" s="388">
        <f t="shared" ref="H685:I685" si="26">41.59+41.59</f>
        <v>83.18</v>
      </c>
      <c r="I685" s="388">
        <f t="shared" si="26"/>
        <v>83.18</v>
      </c>
      <c r="J685" s="388"/>
      <c r="K685" s="388"/>
      <c r="L685" s="388"/>
      <c r="M685" s="387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 spans="1:27" ht="13">
      <c r="A686" s="54">
        <v>2024</v>
      </c>
      <c r="B686" s="386">
        <v>45412</v>
      </c>
      <c r="C686" s="387" t="s">
        <v>481</v>
      </c>
      <c r="D686" s="387" t="s">
        <v>491</v>
      </c>
      <c r="E686" s="387" t="s">
        <v>534</v>
      </c>
      <c r="F686" s="387" t="s">
        <v>576</v>
      </c>
      <c r="G686" s="387"/>
      <c r="H686" s="388">
        <v>15.99</v>
      </c>
      <c r="I686" s="388">
        <v>15.99</v>
      </c>
      <c r="J686" s="388"/>
      <c r="K686" s="388"/>
      <c r="L686" s="388"/>
      <c r="M686" s="387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 spans="1:27" ht="13">
      <c r="A687" s="54">
        <v>2024</v>
      </c>
      <c r="B687" s="386">
        <v>45412</v>
      </c>
      <c r="C687" s="387" t="s">
        <v>481</v>
      </c>
      <c r="D687" s="387" t="s">
        <v>484</v>
      </c>
      <c r="E687" s="387" t="s">
        <v>644</v>
      </c>
      <c r="F687" s="387" t="s">
        <v>488</v>
      </c>
      <c r="G687" s="388"/>
      <c r="H687" s="388"/>
      <c r="I687" s="388"/>
      <c r="J687" s="388">
        <v>64010</v>
      </c>
      <c r="K687" s="388">
        <v>64010</v>
      </c>
      <c r="L687" s="388"/>
      <c r="M687" s="387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 spans="1:27" ht="13">
      <c r="A688" s="54">
        <v>2024</v>
      </c>
      <c r="B688" s="386">
        <v>45412</v>
      </c>
      <c r="C688" s="387" t="s">
        <v>679</v>
      </c>
      <c r="D688" s="387" t="s">
        <v>482</v>
      </c>
      <c r="E688" s="387" t="s">
        <v>680</v>
      </c>
      <c r="F688" s="387" t="s">
        <v>459</v>
      </c>
      <c r="G688" s="388"/>
      <c r="H688" s="388">
        <v>1100</v>
      </c>
      <c r="I688" s="388">
        <v>1100</v>
      </c>
      <c r="J688" s="388"/>
      <c r="K688" s="388"/>
      <c r="L688" s="388"/>
      <c r="M688" s="387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 spans="1:27" ht="13">
      <c r="A689" s="54">
        <v>2024</v>
      </c>
      <c r="B689" s="386">
        <v>45412</v>
      </c>
      <c r="C689" s="387" t="s">
        <v>474</v>
      </c>
      <c r="D689" s="387" t="s">
        <v>482</v>
      </c>
      <c r="E689" s="387" t="s">
        <v>483</v>
      </c>
      <c r="F689" s="387" t="s">
        <v>459</v>
      </c>
      <c r="G689" s="388"/>
      <c r="H689" s="388">
        <v>1056</v>
      </c>
      <c r="I689" s="388">
        <v>1056</v>
      </c>
      <c r="J689" s="388"/>
      <c r="K689" s="388"/>
      <c r="L689" s="388"/>
      <c r="M689" s="387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 spans="1:27" ht="13">
      <c r="A690" s="54">
        <v>2024</v>
      </c>
      <c r="B690" s="386">
        <v>45412</v>
      </c>
      <c r="C690" s="387" t="s">
        <v>474</v>
      </c>
      <c r="D690" s="387" t="s">
        <v>482</v>
      </c>
      <c r="E690" s="387" t="s">
        <v>535</v>
      </c>
      <c r="F690" s="387" t="s">
        <v>459</v>
      </c>
      <c r="G690" s="388"/>
      <c r="H690" s="388">
        <v>1056</v>
      </c>
      <c r="I690" s="388">
        <v>1056</v>
      </c>
      <c r="J690" s="388"/>
      <c r="K690" s="388"/>
      <c r="L690" s="388"/>
      <c r="M690" s="387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 spans="1:27" ht="13">
      <c r="A691" s="54">
        <v>2024</v>
      </c>
      <c r="B691" s="386">
        <v>45412</v>
      </c>
      <c r="C691" s="387" t="s">
        <v>474</v>
      </c>
      <c r="D691" s="387" t="s">
        <v>482</v>
      </c>
      <c r="E691" s="387" t="s">
        <v>541</v>
      </c>
      <c r="F691" s="387" t="s">
        <v>459</v>
      </c>
      <c r="G691" s="388"/>
      <c r="H691" s="388">
        <v>1056</v>
      </c>
      <c r="I691" s="388">
        <v>1056</v>
      </c>
      <c r="J691" s="388"/>
      <c r="K691" s="388"/>
      <c r="L691" s="388"/>
      <c r="M691" s="387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 spans="1:27" ht="13">
      <c r="A692" s="54">
        <v>2024</v>
      </c>
      <c r="B692" s="386">
        <v>45412</v>
      </c>
      <c r="C692" s="387" t="s">
        <v>474</v>
      </c>
      <c r="D692" s="387" t="s">
        <v>482</v>
      </c>
      <c r="E692" s="387" t="s">
        <v>537</v>
      </c>
      <c r="F692" s="387" t="s">
        <v>459</v>
      </c>
      <c r="G692" s="388"/>
      <c r="H692" s="388">
        <v>792</v>
      </c>
      <c r="I692" s="388">
        <v>792</v>
      </c>
      <c r="J692" s="388"/>
      <c r="K692" s="388"/>
      <c r="L692" s="388"/>
      <c r="M692" s="387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 spans="1:27" ht="13">
      <c r="A693" s="54">
        <v>2024</v>
      </c>
      <c r="B693" s="386">
        <v>45412</v>
      </c>
      <c r="C693" s="387" t="s">
        <v>474</v>
      </c>
      <c r="D693" s="387" t="s">
        <v>478</v>
      </c>
      <c r="E693" s="387" t="s">
        <v>479</v>
      </c>
      <c r="F693" s="387" t="s">
        <v>547</v>
      </c>
      <c r="G693" s="388"/>
      <c r="H693" s="388">
        <f t="shared" ref="H693:I693" si="27">(20*4)</f>
        <v>80</v>
      </c>
      <c r="I693" s="388">
        <f t="shared" si="27"/>
        <v>80</v>
      </c>
      <c r="J693" s="388"/>
      <c r="K693" s="388"/>
      <c r="L693" s="388"/>
      <c r="M693" s="387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 spans="1:27" ht="13">
      <c r="A694" s="54">
        <v>2024</v>
      </c>
      <c r="B694" s="386">
        <v>45412</v>
      </c>
      <c r="C694" s="387" t="s">
        <v>481</v>
      </c>
      <c r="D694" s="387" t="s">
        <v>482</v>
      </c>
      <c r="E694" s="387" t="s">
        <v>495</v>
      </c>
      <c r="F694" s="387" t="s">
        <v>496</v>
      </c>
      <c r="G694" s="388"/>
      <c r="H694" s="467"/>
      <c r="I694" s="467"/>
      <c r="J694" s="388">
        <v>220014</v>
      </c>
      <c r="K694" s="388">
        <v>220014</v>
      </c>
      <c r="L694" s="388"/>
      <c r="M694" s="387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 spans="1:27" ht="13">
      <c r="A695" s="54">
        <v>2024</v>
      </c>
      <c r="B695" s="386">
        <v>45412</v>
      </c>
      <c r="C695" s="387" t="s">
        <v>481</v>
      </c>
      <c r="D695" s="387" t="s">
        <v>489</v>
      </c>
      <c r="E695" s="387" t="s">
        <v>463</v>
      </c>
      <c r="F695" s="387" t="s">
        <v>464</v>
      </c>
      <c r="G695" s="388"/>
      <c r="H695" s="388"/>
      <c r="I695" s="388"/>
      <c r="J695" s="388">
        <v>7000</v>
      </c>
      <c r="K695" s="388">
        <v>5737.7</v>
      </c>
      <c r="L695" s="388">
        <v>1262.29</v>
      </c>
      <c r="M695" s="387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 spans="1:27" ht="13">
      <c r="A696" s="54">
        <v>2024</v>
      </c>
      <c r="B696" s="386">
        <v>45412</v>
      </c>
      <c r="C696" s="387" t="s">
        <v>474</v>
      </c>
      <c r="D696" s="387" t="s">
        <v>478</v>
      </c>
      <c r="E696" s="387" t="s">
        <v>479</v>
      </c>
      <c r="F696" s="387" t="s">
        <v>480</v>
      </c>
      <c r="G696" s="388"/>
      <c r="H696" s="388">
        <f t="shared" ref="H696:I696" si="28">(40*4)</f>
        <v>160</v>
      </c>
      <c r="I696" s="388">
        <f t="shared" si="28"/>
        <v>160</v>
      </c>
      <c r="J696" s="388"/>
      <c r="K696" s="388"/>
      <c r="L696" s="388"/>
      <c r="M696" s="387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 spans="1:27" ht="13">
      <c r="A697" s="54">
        <v>2024</v>
      </c>
      <c r="B697" s="386">
        <v>45412</v>
      </c>
      <c r="C697" s="387" t="s">
        <v>481</v>
      </c>
      <c r="D697" s="387" t="s">
        <v>493</v>
      </c>
      <c r="E697" s="387" t="s">
        <v>63</v>
      </c>
      <c r="F697" s="387" t="s">
        <v>539</v>
      </c>
      <c r="G697" s="387"/>
      <c r="H697" s="388"/>
      <c r="I697" s="388"/>
      <c r="J697" s="388">
        <v>809.91</v>
      </c>
      <c r="K697" s="388">
        <v>809.91</v>
      </c>
      <c r="L697" s="388"/>
      <c r="M697" s="387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 spans="1:27" ht="13">
      <c r="A698" s="54">
        <v>2024</v>
      </c>
      <c r="B698" s="386">
        <v>45412</v>
      </c>
      <c r="C698" s="387" t="s">
        <v>474</v>
      </c>
      <c r="D698" s="387" t="s">
        <v>475</v>
      </c>
      <c r="E698" s="387" t="s">
        <v>694</v>
      </c>
      <c r="F698" s="387" t="s">
        <v>695</v>
      </c>
      <c r="G698" s="387"/>
      <c r="H698" s="388">
        <f t="shared" ref="H698:I698" si="29">278+20</f>
        <v>298</v>
      </c>
      <c r="I698" s="388">
        <f t="shared" si="29"/>
        <v>298</v>
      </c>
      <c r="J698" s="388"/>
      <c r="K698" s="388"/>
      <c r="L698" s="388"/>
      <c r="M698" s="387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 spans="1:27" ht="13">
      <c r="A699" s="54">
        <v>2024</v>
      </c>
      <c r="B699" s="472">
        <v>45418</v>
      </c>
      <c r="C699" s="473" t="s">
        <v>474</v>
      </c>
      <c r="D699" s="473" t="s">
        <v>478</v>
      </c>
      <c r="E699" s="473" t="s">
        <v>479</v>
      </c>
      <c r="F699" s="473" t="s">
        <v>480</v>
      </c>
      <c r="G699" s="476"/>
      <c r="H699" s="476">
        <v>40</v>
      </c>
      <c r="I699" s="476">
        <v>40</v>
      </c>
      <c r="J699" s="476"/>
      <c r="K699" s="476"/>
      <c r="L699" s="476"/>
      <c r="M699" s="473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 spans="1:27" ht="13">
      <c r="A700" s="54">
        <v>2024</v>
      </c>
      <c r="B700" s="472">
        <v>45420</v>
      </c>
      <c r="C700" s="473" t="s">
        <v>474</v>
      </c>
      <c r="D700" s="473" t="s">
        <v>478</v>
      </c>
      <c r="E700" s="473" t="s">
        <v>479</v>
      </c>
      <c r="F700" s="473" t="s">
        <v>480</v>
      </c>
      <c r="G700" s="476"/>
      <c r="H700" s="476">
        <v>40</v>
      </c>
      <c r="I700" s="476">
        <v>40</v>
      </c>
      <c r="J700" s="476"/>
      <c r="K700" s="476"/>
      <c r="L700" s="476"/>
      <c r="M700" s="473"/>
      <c r="N700" s="45"/>
      <c r="O700" s="514" t="s">
        <v>457</v>
      </c>
      <c r="P700" s="515"/>
      <c r="Q700" s="45"/>
      <c r="R700" s="45"/>
      <c r="S700" s="516" t="s">
        <v>669</v>
      </c>
      <c r="T700" s="517"/>
      <c r="U700" s="45"/>
      <c r="V700" s="45"/>
      <c r="W700" s="45"/>
      <c r="X700" s="45"/>
      <c r="Y700" s="45"/>
      <c r="Z700" s="45"/>
      <c r="AA700" s="45"/>
    </row>
    <row r="701" spans="1:27" ht="13">
      <c r="A701" s="54">
        <v>2024</v>
      </c>
      <c r="B701" s="472">
        <v>45420</v>
      </c>
      <c r="C701" s="473" t="s">
        <v>474</v>
      </c>
      <c r="D701" s="473" t="s">
        <v>475</v>
      </c>
      <c r="E701" s="473" t="s">
        <v>696</v>
      </c>
      <c r="F701" s="473" t="s">
        <v>697</v>
      </c>
      <c r="G701" s="476"/>
      <c r="H701" s="476">
        <f t="shared" ref="H701:I701" si="30">915.3+20</f>
        <v>935.3</v>
      </c>
      <c r="I701" s="476">
        <f t="shared" si="30"/>
        <v>935.3</v>
      </c>
      <c r="J701" s="476"/>
      <c r="K701" s="476"/>
      <c r="L701" s="476"/>
      <c r="M701" s="473"/>
      <c r="N701" s="45"/>
      <c r="O701" s="515">
        <f>SUM(Facturacion!I96:I98)</f>
        <v>106482.00233000002</v>
      </c>
      <c r="P701" s="515"/>
      <c r="Q701" s="45"/>
      <c r="R701" s="45"/>
      <c r="S701" s="491" t="s">
        <v>411</v>
      </c>
      <c r="T701" s="470">
        <f>SUM(K699:K736)</f>
        <v>476093.17</v>
      </c>
      <c r="U701" s="45"/>
      <c r="V701" s="45"/>
      <c r="W701" s="45"/>
      <c r="X701" s="45"/>
      <c r="Y701" s="45"/>
      <c r="Z701" s="45"/>
      <c r="AA701" s="45"/>
    </row>
    <row r="702" spans="1:27" ht="13">
      <c r="A702" s="54">
        <v>2024</v>
      </c>
      <c r="B702" s="472">
        <v>45420</v>
      </c>
      <c r="C702" s="473" t="s">
        <v>474</v>
      </c>
      <c r="D702" s="473" t="s">
        <v>493</v>
      </c>
      <c r="E702" s="473" t="s">
        <v>567</v>
      </c>
      <c r="F702" s="473" t="s">
        <v>568</v>
      </c>
      <c r="G702" s="476"/>
      <c r="H702" s="476">
        <v>20</v>
      </c>
      <c r="I702" s="476">
        <v>20</v>
      </c>
      <c r="J702" s="476"/>
      <c r="K702" s="476"/>
      <c r="L702" s="476"/>
      <c r="M702" s="473"/>
      <c r="N702" s="45"/>
      <c r="O702" s="514" t="s">
        <v>461</v>
      </c>
      <c r="P702" s="514" t="s">
        <v>462</v>
      </c>
      <c r="Q702" s="45"/>
      <c r="R702" s="45"/>
      <c r="S702" s="469" t="s">
        <v>584</v>
      </c>
      <c r="T702" s="470">
        <f>SUM(I699:I736)</f>
        <v>7305.53</v>
      </c>
      <c r="U702" s="45"/>
      <c r="V702" s="45"/>
      <c r="W702" s="45"/>
      <c r="X702" s="45"/>
      <c r="Y702" s="45"/>
      <c r="Z702" s="45"/>
      <c r="AA702" s="45"/>
    </row>
    <row r="703" spans="1:27" ht="13">
      <c r="A703" s="54">
        <v>2024</v>
      </c>
      <c r="B703" s="472">
        <v>45420</v>
      </c>
      <c r="C703" s="473" t="s">
        <v>474</v>
      </c>
      <c r="D703" s="473" t="s">
        <v>493</v>
      </c>
      <c r="E703" s="473" t="s">
        <v>479</v>
      </c>
      <c r="F703" s="473" t="s">
        <v>480</v>
      </c>
      <c r="G703" s="476"/>
      <c r="H703" s="476">
        <v>40</v>
      </c>
      <c r="I703" s="476">
        <v>40</v>
      </c>
      <c r="J703" s="476"/>
      <c r="K703" s="476"/>
      <c r="L703" s="476"/>
      <c r="M703" s="473"/>
      <c r="N703" s="45"/>
      <c r="O703" s="515">
        <f>SUM(L699:L736)</f>
        <v>1650.15588</v>
      </c>
      <c r="P703" s="515">
        <f>(O701-O703)+P687</f>
        <v>104831.84645000001</v>
      </c>
      <c r="Q703" s="45"/>
      <c r="R703" s="45"/>
      <c r="S703" s="491"/>
      <c r="T703" s="492"/>
      <c r="U703" s="45"/>
      <c r="V703" s="45"/>
      <c r="W703" s="45"/>
      <c r="X703" s="45"/>
      <c r="Y703" s="45"/>
      <c r="Z703" s="45"/>
      <c r="AA703" s="45"/>
    </row>
    <row r="704" spans="1:27" ht="13">
      <c r="A704" s="54">
        <v>2024</v>
      </c>
      <c r="B704" s="472">
        <v>45422</v>
      </c>
      <c r="C704" s="473" t="s">
        <v>481</v>
      </c>
      <c r="D704" s="473" t="s">
        <v>493</v>
      </c>
      <c r="E704" s="473" t="s">
        <v>479</v>
      </c>
      <c r="F704" s="473" t="s">
        <v>480</v>
      </c>
      <c r="G704" s="476"/>
      <c r="H704" s="476">
        <v>1.9</v>
      </c>
      <c r="I704" s="476">
        <v>1.9</v>
      </c>
      <c r="J704" s="476"/>
      <c r="K704" s="476"/>
      <c r="L704" s="476"/>
      <c r="M704" s="473"/>
      <c r="N704" s="45"/>
      <c r="O704" s="515"/>
      <c r="P704" s="515"/>
      <c r="Q704" s="45"/>
      <c r="R704" s="45"/>
      <c r="S704" s="491"/>
      <c r="T704" s="492"/>
      <c r="U704" s="45"/>
      <c r="V704" s="45"/>
      <c r="W704" s="45"/>
      <c r="X704" s="45"/>
      <c r="Y704" s="45"/>
      <c r="Z704" s="45"/>
      <c r="AA704" s="45"/>
    </row>
    <row r="705" spans="1:27" ht="13">
      <c r="A705" s="54">
        <v>2024</v>
      </c>
      <c r="B705" s="472">
        <v>45426</v>
      </c>
      <c r="C705" s="473" t="s">
        <v>481</v>
      </c>
      <c r="D705" s="473" t="s">
        <v>493</v>
      </c>
      <c r="E705" s="473" t="s">
        <v>479</v>
      </c>
      <c r="F705" s="473" t="s">
        <v>480</v>
      </c>
      <c r="G705" s="476"/>
      <c r="H705" s="476">
        <v>25</v>
      </c>
      <c r="I705" s="476">
        <v>25</v>
      </c>
      <c r="J705" s="476"/>
      <c r="K705" s="476"/>
      <c r="L705" s="476"/>
      <c r="M705" s="473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 spans="1:27" ht="13">
      <c r="A706" s="54">
        <v>2024</v>
      </c>
      <c r="B706" s="472">
        <v>45427</v>
      </c>
      <c r="C706" s="473" t="s">
        <v>481</v>
      </c>
      <c r="D706" s="473" t="s">
        <v>493</v>
      </c>
      <c r="E706" s="473" t="s">
        <v>479</v>
      </c>
      <c r="F706" s="473" t="s">
        <v>539</v>
      </c>
      <c r="G706" s="476"/>
      <c r="H706" s="476"/>
      <c r="I706" s="476"/>
      <c r="J706" s="476">
        <v>752.28</v>
      </c>
      <c r="K706" s="476">
        <v>752.28</v>
      </c>
      <c r="L706" s="476"/>
      <c r="M706" s="473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 spans="1:27" ht="13">
      <c r="A707" s="54">
        <v>2024</v>
      </c>
      <c r="B707" s="472">
        <v>45427</v>
      </c>
      <c r="C707" s="473" t="s">
        <v>481</v>
      </c>
      <c r="D707" s="473" t="s">
        <v>493</v>
      </c>
      <c r="E707" s="473" t="s">
        <v>479</v>
      </c>
      <c r="F707" s="473" t="s">
        <v>660</v>
      </c>
      <c r="G707" s="476"/>
      <c r="H707" s="476"/>
      <c r="I707" s="476"/>
      <c r="J707" s="476">
        <v>1234</v>
      </c>
      <c r="K707" s="476">
        <v>1234</v>
      </c>
      <c r="L707" s="476"/>
      <c r="M707" s="473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 spans="1:27" ht="13">
      <c r="A708" s="54">
        <v>2024</v>
      </c>
      <c r="B708" s="472">
        <v>45427</v>
      </c>
      <c r="C708" s="473" t="s">
        <v>481</v>
      </c>
      <c r="D708" s="473" t="s">
        <v>494</v>
      </c>
      <c r="E708" s="473" t="s">
        <v>502</v>
      </c>
      <c r="F708" s="473" t="s">
        <v>522</v>
      </c>
      <c r="G708" s="476"/>
      <c r="H708" s="476"/>
      <c r="I708" s="476"/>
      <c r="J708" s="476">
        <v>72795</v>
      </c>
      <c r="K708" s="476">
        <v>72795</v>
      </c>
      <c r="L708" s="476"/>
      <c r="M708" s="473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 spans="1:27" ht="13">
      <c r="A709" s="54">
        <v>2024</v>
      </c>
      <c r="B709" s="472">
        <v>45427</v>
      </c>
      <c r="C709" s="473" t="s">
        <v>481</v>
      </c>
      <c r="D709" s="473" t="s">
        <v>494</v>
      </c>
      <c r="E709" s="473" t="s">
        <v>502</v>
      </c>
      <c r="F709" s="473" t="s">
        <v>543</v>
      </c>
      <c r="G709" s="476"/>
      <c r="H709" s="476"/>
      <c r="I709" s="476"/>
      <c r="J709" s="476">
        <v>3661</v>
      </c>
      <c r="K709" s="476">
        <v>3661</v>
      </c>
      <c r="L709" s="476"/>
      <c r="M709" s="473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 spans="1:27" ht="13">
      <c r="A710" s="54">
        <v>2024</v>
      </c>
      <c r="B710" s="472">
        <v>45430</v>
      </c>
      <c r="C710" s="473" t="s">
        <v>481</v>
      </c>
      <c r="D710" s="473" t="s">
        <v>494</v>
      </c>
      <c r="E710" s="473" t="s">
        <v>512</v>
      </c>
      <c r="F710" s="473" t="s">
        <v>528</v>
      </c>
      <c r="G710" s="476"/>
      <c r="H710" s="476"/>
      <c r="I710" s="476"/>
      <c r="J710" s="476">
        <v>104832</v>
      </c>
      <c r="K710" s="476">
        <v>104832</v>
      </c>
      <c r="L710" s="476"/>
      <c r="M710" s="473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 spans="1:27" ht="13">
      <c r="A711" s="54">
        <v>2024</v>
      </c>
      <c r="B711" s="472">
        <v>45430</v>
      </c>
      <c r="C711" s="473" t="s">
        <v>481</v>
      </c>
      <c r="D711" s="473" t="s">
        <v>494</v>
      </c>
      <c r="E711" s="473" t="s">
        <v>512</v>
      </c>
      <c r="F711" s="473" t="s">
        <v>574</v>
      </c>
      <c r="G711" s="476"/>
      <c r="H711" s="476"/>
      <c r="I711" s="476"/>
      <c r="J711" s="476">
        <v>903</v>
      </c>
      <c r="K711" s="476">
        <v>903</v>
      </c>
      <c r="L711" s="476"/>
      <c r="M711" s="473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 spans="1:27" ht="13">
      <c r="A712" s="54">
        <v>2024</v>
      </c>
      <c r="B712" s="472">
        <v>45430</v>
      </c>
      <c r="C712" s="473" t="s">
        <v>481</v>
      </c>
      <c r="D712" s="473" t="s">
        <v>494</v>
      </c>
      <c r="E712" s="473" t="s">
        <v>521</v>
      </c>
      <c r="F712" s="473" t="s">
        <v>544</v>
      </c>
      <c r="G712" s="476"/>
      <c r="H712" s="476"/>
      <c r="I712" s="476"/>
      <c r="J712" s="476">
        <v>915</v>
      </c>
      <c r="K712" s="476">
        <v>750.33</v>
      </c>
      <c r="L712" s="476">
        <v>165.07</v>
      </c>
      <c r="M712" s="473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 spans="1:27" ht="13">
      <c r="A713" s="54">
        <v>2024</v>
      </c>
      <c r="B713" s="472">
        <v>45439</v>
      </c>
      <c r="C713" s="473" t="s">
        <v>481</v>
      </c>
      <c r="D713" s="473" t="s">
        <v>493</v>
      </c>
      <c r="E713" s="473" t="s">
        <v>479</v>
      </c>
      <c r="F713" s="473" t="s">
        <v>698</v>
      </c>
      <c r="G713" s="476"/>
      <c r="H713" s="476">
        <v>32.03</v>
      </c>
      <c r="I713" s="476">
        <v>26.25</v>
      </c>
      <c r="J713" s="476"/>
      <c r="K713" s="476"/>
      <c r="L713" s="476">
        <f>5.78*M713</f>
        <v>222.79588000000001</v>
      </c>
      <c r="M713" s="473">
        <v>38.545999999999999</v>
      </c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 spans="1:27" ht="16.5" customHeight="1">
      <c r="A714" s="54">
        <v>2024</v>
      </c>
      <c r="B714" s="472">
        <v>45442</v>
      </c>
      <c r="C714" s="473" t="s">
        <v>481</v>
      </c>
      <c r="D714" s="473" t="s">
        <v>493</v>
      </c>
      <c r="E714" s="473" t="s">
        <v>479</v>
      </c>
      <c r="F714" s="473" t="s">
        <v>480</v>
      </c>
      <c r="G714" s="476"/>
      <c r="H714" s="476">
        <v>1.9</v>
      </c>
      <c r="I714" s="476">
        <v>1.9</v>
      </c>
      <c r="J714" s="476"/>
      <c r="K714" s="476"/>
      <c r="L714" s="476"/>
      <c r="M714" s="473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 spans="1:27" ht="13">
      <c r="A715" s="54">
        <v>2024</v>
      </c>
      <c r="B715" s="472">
        <v>45443</v>
      </c>
      <c r="C715" s="473" t="s">
        <v>481</v>
      </c>
      <c r="D715" s="473" t="s">
        <v>493</v>
      </c>
      <c r="E715" s="473" t="s">
        <v>63</v>
      </c>
      <c r="F715" s="473" t="s">
        <v>660</v>
      </c>
      <c r="G715" s="476"/>
      <c r="H715" s="476"/>
      <c r="I715" s="476"/>
      <c r="J715" s="476">
        <v>1403.86</v>
      </c>
      <c r="K715" s="476">
        <v>1403.86</v>
      </c>
      <c r="L715" s="476"/>
      <c r="M715" s="473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 spans="1:27" ht="13">
      <c r="A716" s="54">
        <v>2024</v>
      </c>
      <c r="B716" s="472">
        <v>45443</v>
      </c>
      <c r="C716" s="473" t="s">
        <v>481</v>
      </c>
      <c r="D716" s="473" t="s">
        <v>484</v>
      </c>
      <c r="E716" s="473" t="s">
        <v>644</v>
      </c>
      <c r="F716" s="473" t="s">
        <v>488</v>
      </c>
      <c r="G716" s="476"/>
      <c r="H716" s="476"/>
      <c r="I716" s="476"/>
      <c r="J716" s="476">
        <v>64010</v>
      </c>
      <c r="K716" s="476">
        <v>64010</v>
      </c>
      <c r="L716" s="476"/>
      <c r="M716" s="473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 spans="1:27" ht="13">
      <c r="A717" s="54">
        <v>2024</v>
      </c>
      <c r="B717" s="472">
        <v>45443</v>
      </c>
      <c r="C717" s="473" t="s">
        <v>679</v>
      </c>
      <c r="D717" s="473" t="s">
        <v>482</v>
      </c>
      <c r="E717" s="473" t="s">
        <v>680</v>
      </c>
      <c r="F717" s="473" t="s">
        <v>459</v>
      </c>
      <c r="G717" s="476"/>
      <c r="H717" s="476">
        <v>1100</v>
      </c>
      <c r="I717" s="476">
        <v>1100</v>
      </c>
      <c r="J717" s="476"/>
      <c r="K717" s="476"/>
      <c r="L717" s="476"/>
      <c r="M717" s="473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 spans="1:27" ht="13">
      <c r="A718" s="54">
        <v>2024</v>
      </c>
      <c r="B718" s="472">
        <v>45443</v>
      </c>
      <c r="C718" s="473" t="s">
        <v>474</v>
      </c>
      <c r="D718" s="473" t="s">
        <v>482</v>
      </c>
      <c r="E718" s="473" t="s">
        <v>483</v>
      </c>
      <c r="F718" s="473" t="s">
        <v>459</v>
      </c>
      <c r="G718" s="476"/>
      <c r="H718" s="476">
        <v>1056</v>
      </c>
      <c r="I718" s="476">
        <v>1056</v>
      </c>
      <c r="J718" s="476"/>
      <c r="K718" s="476"/>
      <c r="L718" s="476"/>
      <c r="M718" s="473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 spans="1:27" ht="13">
      <c r="A719" s="54">
        <v>2024</v>
      </c>
      <c r="B719" s="472">
        <v>45443</v>
      </c>
      <c r="C719" s="473" t="s">
        <v>474</v>
      </c>
      <c r="D719" s="473" t="s">
        <v>482</v>
      </c>
      <c r="E719" s="473" t="s">
        <v>535</v>
      </c>
      <c r="F719" s="473" t="s">
        <v>459</v>
      </c>
      <c r="G719" s="476"/>
      <c r="H719" s="476">
        <v>1056</v>
      </c>
      <c r="I719" s="476">
        <v>1056</v>
      </c>
      <c r="J719" s="476"/>
      <c r="K719" s="476"/>
      <c r="L719" s="476"/>
      <c r="M719" s="473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 spans="1:27" ht="13">
      <c r="A720" s="54">
        <v>2024</v>
      </c>
      <c r="B720" s="472">
        <v>45443</v>
      </c>
      <c r="C720" s="473" t="s">
        <v>474</v>
      </c>
      <c r="D720" s="473" t="s">
        <v>482</v>
      </c>
      <c r="E720" s="473" t="s">
        <v>541</v>
      </c>
      <c r="F720" s="473" t="s">
        <v>459</v>
      </c>
      <c r="G720" s="476"/>
      <c r="H720" s="476">
        <v>1056</v>
      </c>
      <c r="I720" s="476">
        <v>1056</v>
      </c>
      <c r="J720" s="476"/>
      <c r="K720" s="476"/>
      <c r="L720" s="476"/>
      <c r="M720" s="473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  <row r="721" spans="1:27" ht="13">
      <c r="A721" s="54">
        <v>2024</v>
      </c>
      <c r="B721" s="472">
        <v>45443</v>
      </c>
      <c r="C721" s="473" t="s">
        <v>474</v>
      </c>
      <c r="D721" s="473" t="s">
        <v>482</v>
      </c>
      <c r="E721" s="473" t="s">
        <v>537</v>
      </c>
      <c r="F721" s="473" t="s">
        <v>459</v>
      </c>
      <c r="G721" s="476"/>
      <c r="H721" s="476">
        <v>792</v>
      </c>
      <c r="I721" s="476">
        <v>792</v>
      </c>
      <c r="J721" s="476"/>
      <c r="K721" s="476"/>
      <c r="L721" s="476"/>
      <c r="M721" s="473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</row>
    <row r="722" spans="1:27" ht="13">
      <c r="A722" s="54">
        <v>2024</v>
      </c>
      <c r="B722" s="472">
        <v>45443</v>
      </c>
      <c r="C722" s="473" t="s">
        <v>474</v>
      </c>
      <c r="D722" s="473" t="s">
        <v>478</v>
      </c>
      <c r="E722" s="473" t="s">
        <v>479</v>
      </c>
      <c r="F722" s="473" t="s">
        <v>547</v>
      </c>
      <c r="G722" s="476"/>
      <c r="H722" s="476">
        <f t="shared" ref="H722:I722" si="31">(20*4)</f>
        <v>80</v>
      </c>
      <c r="I722" s="476">
        <f t="shared" si="31"/>
        <v>80</v>
      </c>
      <c r="J722" s="476"/>
      <c r="K722" s="476"/>
      <c r="L722" s="476"/>
      <c r="M722" s="473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</row>
    <row r="723" spans="1:27" ht="13">
      <c r="A723" s="54">
        <v>2024</v>
      </c>
      <c r="B723" s="472">
        <v>45443</v>
      </c>
      <c r="C723" s="473" t="s">
        <v>481</v>
      </c>
      <c r="D723" s="473" t="s">
        <v>482</v>
      </c>
      <c r="E723" s="473" t="s">
        <v>495</v>
      </c>
      <c r="F723" s="473" t="s">
        <v>496</v>
      </c>
      <c r="G723" s="476"/>
      <c r="H723" s="474"/>
      <c r="I723" s="474"/>
      <c r="J723" s="476">
        <v>220014</v>
      </c>
      <c r="K723" s="476">
        <v>220014</v>
      </c>
      <c r="L723" s="476"/>
      <c r="M723" s="473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</row>
    <row r="724" spans="1:27" ht="13">
      <c r="A724" s="54">
        <v>2024</v>
      </c>
      <c r="B724" s="472">
        <v>45443</v>
      </c>
      <c r="C724" s="473" t="s">
        <v>481</v>
      </c>
      <c r="D724" s="473" t="s">
        <v>489</v>
      </c>
      <c r="E724" s="473" t="s">
        <v>463</v>
      </c>
      <c r="F724" s="473" t="s">
        <v>464</v>
      </c>
      <c r="G724" s="476"/>
      <c r="H724" s="476"/>
      <c r="I724" s="476"/>
      <c r="J724" s="476">
        <v>7000</v>
      </c>
      <c r="K724" s="476">
        <v>5737.7</v>
      </c>
      <c r="L724" s="476">
        <v>1262.29</v>
      </c>
      <c r="M724" s="473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</row>
    <row r="725" spans="1:27" ht="13">
      <c r="A725" s="54">
        <v>2024</v>
      </c>
      <c r="B725" s="472">
        <v>45446</v>
      </c>
      <c r="C725" s="473" t="s">
        <v>474</v>
      </c>
      <c r="D725" s="473" t="s">
        <v>478</v>
      </c>
      <c r="E725" s="473" t="s">
        <v>479</v>
      </c>
      <c r="F725" s="473" t="s">
        <v>480</v>
      </c>
      <c r="G725" s="476"/>
      <c r="H725" s="476">
        <f t="shared" ref="H725:I725" si="32">(40*4)</f>
        <v>160</v>
      </c>
      <c r="I725" s="476">
        <f t="shared" si="32"/>
        <v>160</v>
      </c>
      <c r="J725" s="476"/>
      <c r="K725" s="476"/>
      <c r="L725" s="476"/>
      <c r="M725" s="473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</row>
    <row r="726" spans="1:27" ht="13">
      <c r="A726" s="54">
        <v>2024</v>
      </c>
      <c r="B726" s="472">
        <v>45443</v>
      </c>
      <c r="C726" s="473" t="s">
        <v>481</v>
      </c>
      <c r="D726" s="473" t="s">
        <v>491</v>
      </c>
      <c r="E726" s="473" t="s">
        <v>638</v>
      </c>
      <c r="F726" s="473" t="s">
        <v>576</v>
      </c>
      <c r="G726" s="473"/>
      <c r="H726" s="476">
        <v>92.07</v>
      </c>
      <c r="I726" s="476">
        <v>92.07</v>
      </c>
      <c r="J726" s="476"/>
      <c r="K726" s="476"/>
      <c r="L726" s="476"/>
      <c r="M726" s="473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</row>
    <row r="727" spans="1:27" ht="13">
      <c r="A727" s="54">
        <v>2024</v>
      </c>
      <c r="B727" s="472">
        <v>45443</v>
      </c>
      <c r="C727" s="473" t="s">
        <v>481</v>
      </c>
      <c r="D727" s="473" t="s">
        <v>491</v>
      </c>
      <c r="E727" s="473" t="s">
        <v>633</v>
      </c>
      <c r="F727" s="473" t="s">
        <v>576</v>
      </c>
      <c r="G727" s="473"/>
      <c r="H727" s="476">
        <v>32.4</v>
      </c>
      <c r="I727" s="476">
        <v>32.4</v>
      </c>
      <c r="J727" s="476"/>
      <c r="K727" s="476"/>
      <c r="L727" s="476"/>
      <c r="M727" s="473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</row>
    <row r="728" spans="1:27" ht="13">
      <c r="A728" s="54">
        <v>2024</v>
      </c>
      <c r="B728" s="472">
        <v>45443</v>
      </c>
      <c r="C728" s="473" t="s">
        <v>481</v>
      </c>
      <c r="D728" s="473" t="s">
        <v>491</v>
      </c>
      <c r="E728" s="473" t="s">
        <v>601</v>
      </c>
      <c r="F728" s="473" t="s">
        <v>576</v>
      </c>
      <c r="G728" s="473"/>
      <c r="H728" s="476">
        <v>143.88999999999999</v>
      </c>
      <c r="I728" s="476">
        <v>143.88999999999999</v>
      </c>
      <c r="J728" s="476"/>
      <c r="K728" s="476"/>
      <c r="L728" s="476"/>
      <c r="M728" s="473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</row>
    <row r="729" spans="1:27" ht="13">
      <c r="A729" s="54">
        <v>2024</v>
      </c>
      <c r="B729" s="472">
        <v>45443</v>
      </c>
      <c r="C729" s="473" t="s">
        <v>481</v>
      </c>
      <c r="D729" s="473" t="s">
        <v>491</v>
      </c>
      <c r="E729" s="473" t="s">
        <v>498</v>
      </c>
      <c r="F729" s="473" t="s">
        <v>576</v>
      </c>
      <c r="G729" s="473"/>
      <c r="H729" s="476">
        <v>9.08</v>
      </c>
      <c r="I729" s="476">
        <v>9.08</v>
      </c>
      <c r="J729" s="476"/>
      <c r="K729" s="476"/>
      <c r="L729" s="476"/>
      <c r="M729" s="473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 spans="1:27" ht="13">
      <c r="A730" s="54">
        <v>2024</v>
      </c>
      <c r="B730" s="472">
        <v>45443</v>
      </c>
      <c r="C730" s="473" t="s">
        <v>481</v>
      </c>
      <c r="D730" s="473" t="s">
        <v>491</v>
      </c>
      <c r="E730" s="473" t="s">
        <v>602</v>
      </c>
      <c r="F730" s="473" t="s">
        <v>576</v>
      </c>
      <c r="G730" s="473"/>
      <c r="H730" s="476">
        <v>351.6</v>
      </c>
      <c r="I730" s="476">
        <v>351.6</v>
      </c>
      <c r="J730" s="476"/>
      <c r="K730" s="476"/>
      <c r="L730" s="476"/>
      <c r="M730" s="473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</row>
    <row r="731" spans="1:27" ht="13">
      <c r="A731" s="54">
        <v>2024</v>
      </c>
      <c r="B731" s="472">
        <v>45443</v>
      </c>
      <c r="C731" s="473" t="s">
        <v>481</v>
      </c>
      <c r="D731" s="473" t="s">
        <v>491</v>
      </c>
      <c r="E731" s="473" t="s">
        <v>591</v>
      </c>
      <c r="F731" s="473" t="s">
        <v>576</v>
      </c>
      <c r="G731" s="473"/>
      <c r="H731" s="476">
        <v>20</v>
      </c>
      <c r="I731" s="476">
        <v>20</v>
      </c>
      <c r="J731" s="476"/>
      <c r="K731" s="476"/>
      <c r="L731" s="476"/>
      <c r="M731" s="473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</row>
    <row r="732" spans="1:27" ht="13">
      <c r="A732" s="54">
        <v>2024</v>
      </c>
      <c r="B732" s="472">
        <v>45443</v>
      </c>
      <c r="C732" s="473" t="s">
        <v>481</v>
      </c>
      <c r="D732" s="473" t="s">
        <v>491</v>
      </c>
      <c r="E732" s="473" t="s">
        <v>639</v>
      </c>
      <c r="F732" s="473" t="s">
        <v>576</v>
      </c>
      <c r="G732" s="473"/>
      <c r="H732" s="476">
        <v>15</v>
      </c>
      <c r="I732" s="476">
        <v>15</v>
      </c>
      <c r="J732" s="476"/>
      <c r="K732" s="476"/>
      <c r="L732" s="476"/>
      <c r="M732" s="473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</row>
    <row r="733" spans="1:27" ht="13">
      <c r="A733" s="54">
        <v>2024</v>
      </c>
      <c r="B733" s="472">
        <v>45443</v>
      </c>
      <c r="C733" s="473" t="s">
        <v>481</v>
      </c>
      <c r="D733" s="473" t="s">
        <v>491</v>
      </c>
      <c r="E733" s="473" t="s">
        <v>592</v>
      </c>
      <c r="F733" s="473" t="s">
        <v>576</v>
      </c>
      <c r="G733" s="473"/>
      <c r="H733" s="476">
        <v>52</v>
      </c>
      <c r="I733" s="476">
        <v>52</v>
      </c>
      <c r="J733" s="476"/>
      <c r="K733" s="476"/>
      <c r="L733" s="476"/>
      <c r="M733" s="473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</row>
    <row r="734" spans="1:27" ht="13">
      <c r="A734" s="54">
        <v>2024</v>
      </c>
      <c r="B734" s="472">
        <v>45443</v>
      </c>
      <c r="C734" s="473" t="s">
        <v>481</v>
      </c>
      <c r="D734" s="473" t="s">
        <v>491</v>
      </c>
      <c r="E734" s="496" t="s">
        <v>654</v>
      </c>
      <c r="F734" s="473" t="s">
        <v>576</v>
      </c>
      <c r="G734" s="473"/>
      <c r="H734" s="476">
        <f t="shared" ref="H734:I734" si="33">-39.36+41.82+41.69</f>
        <v>44.15</v>
      </c>
      <c r="I734" s="476">
        <f t="shared" si="33"/>
        <v>44.15</v>
      </c>
      <c r="J734" s="476"/>
      <c r="K734" s="476"/>
      <c r="L734" s="476"/>
      <c r="M734" s="473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</row>
    <row r="735" spans="1:27" ht="13">
      <c r="A735" s="54">
        <v>2024</v>
      </c>
      <c r="B735" s="472">
        <v>45443</v>
      </c>
      <c r="C735" s="473" t="s">
        <v>481</v>
      </c>
      <c r="D735" s="473" t="s">
        <v>491</v>
      </c>
      <c r="E735" s="473" t="s">
        <v>534</v>
      </c>
      <c r="F735" s="473" t="s">
        <v>576</v>
      </c>
      <c r="G735" s="473"/>
      <c r="H735" s="476">
        <v>15.99</v>
      </c>
      <c r="I735" s="476">
        <v>15.99</v>
      </c>
      <c r="J735" s="476"/>
      <c r="K735" s="476"/>
      <c r="L735" s="476"/>
      <c r="M735" s="473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</row>
    <row r="736" spans="1:27" ht="13">
      <c r="A736" s="54">
        <v>2024</v>
      </c>
      <c r="B736" s="472">
        <v>45443</v>
      </c>
      <c r="C736" s="473" t="s">
        <v>481</v>
      </c>
      <c r="D736" s="473" t="s">
        <v>491</v>
      </c>
      <c r="E736" s="496" t="s">
        <v>581</v>
      </c>
      <c r="F736" s="473" t="s">
        <v>576</v>
      </c>
      <c r="G736" s="473"/>
      <c r="H736" s="476">
        <v>99</v>
      </c>
      <c r="I736" s="476">
        <v>99</v>
      </c>
      <c r="J736" s="476"/>
      <c r="K736" s="476"/>
      <c r="L736" s="476"/>
      <c r="M736" s="473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</row>
    <row r="737" spans="1:27" ht="13">
      <c r="A737" s="54">
        <v>2024</v>
      </c>
      <c r="B737" s="518">
        <v>45447</v>
      </c>
      <c r="C737" s="519" t="s">
        <v>474</v>
      </c>
      <c r="D737" s="519" t="s">
        <v>478</v>
      </c>
      <c r="E737" s="519" t="s">
        <v>479</v>
      </c>
      <c r="F737" s="519" t="s">
        <v>480</v>
      </c>
      <c r="G737" s="519"/>
      <c r="H737" s="520">
        <v>40</v>
      </c>
      <c r="I737" s="520">
        <v>40</v>
      </c>
      <c r="J737" s="520"/>
      <c r="K737" s="520"/>
      <c r="L737" s="520"/>
      <c r="M737" s="519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</row>
    <row r="738" spans="1:27" ht="13">
      <c r="A738" s="54">
        <v>2024</v>
      </c>
      <c r="B738" s="521">
        <v>45454</v>
      </c>
      <c r="C738" s="522" t="s">
        <v>481</v>
      </c>
      <c r="D738" s="522" t="s">
        <v>494</v>
      </c>
      <c r="E738" s="522" t="s">
        <v>502</v>
      </c>
      <c r="F738" s="522" t="s">
        <v>522</v>
      </c>
      <c r="G738" s="522"/>
      <c r="H738" s="523"/>
      <c r="I738" s="523"/>
      <c r="J738" s="523">
        <v>84158</v>
      </c>
      <c r="K738" s="523">
        <v>84158</v>
      </c>
      <c r="L738" s="523"/>
      <c r="M738" s="522"/>
      <c r="N738" s="45"/>
      <c r="U738" s="45"/>
      <c r="V738" s="45"/>
      <c r="W738" s="45"/>
      <c r="X738" s="45"/>
      <c r="Y738" s="45"/>
      <c r="Z738" s="45"/>
      <c r="AA738" s="45"/>
    </row>
    <row r="739" spans="1:27" ht="13">
      <c r="A739" s="54">
        <v>2024</v>
      </c>
      <c r="B739" s="521">
        <v>45454</v>
      </c>
      <c r="C739" s="522" t="s">
        <v>481</v>
      </c>
      <c r="D739" s="522" t="s">
        <v>494</v>
      </c>
      <c r="E739" s="522" t="s">
        <v>502</v>
      </c>
      <c r="F739" s="522" t="s">
        <v>543</v>
      </c>
      <c r="G739" s="522"/>
      <c r="H739" s="523"/>
      <c r="I739" s="523"/>
      <c r="J739" s="523">
        <v>3661</v>
      </c>
      <c r="K739" s="523">
        <v>3661</v>
      </c>
      <c r="L739" s="523"/>
      <c r="M739" s="522"/>
      <c r="N739" s="45"/>
      <c r="O739" s="59"/>
      <c r="P739" s="68"/>
      <c r="Q739" s="45"/>
      <c r="R739" s="45"/>
      <c r="S739" s="49"/>
      <c r="T739" s="45"/>
      <c r="U739" s="45"/>
      <c r="V739" s="45"/>
      <c r="W739" s="45"/>
      <c r="X739" s="45"/>
      <c r="Y739" s="45"/>
      <c r="Z739" s="45"/>
      <c r="AA739" s="45"/>
    </row>
    <row r="740" spans="1:27" ht="13">
      <c r="A740" s="54">
        <v>2024</v>
      </c>
      <c r="B740" s="521">
        <v>45454</v>
      </c>
      <c r="C740" s="522" t="s">
        <v>481</v>
      </c>
      <c r="D740" s="522" t="s">
        <v>484</v>
      </c>
      <c r="E740" s="522" t="s">
        <v>644</v>
      </c>
      <c r="F740" s="522" t="s">
        <v>665</v>
      </c>
      <c r="G740" s="522"/>
      <c r="H740" s="523"/>
      <c r="I740" s="523"/>
      <c r="J740" s="523">
        <v>34182</v>
      </c>
      <c r="K740" s="523">
        <v>34182</v>
      </c>
      <c r="L740" s="523"/>
      <c r="M740" s="522"/>
      <c r="N740" s="45"/>
      <c r="T740" s="45"/>
      <c r="U740" s="45"/>
      <c r="V740" s="45"/>
      <c r="W740" s="45"/>
      <c r="X740" s="45"/>
      <c r="Y740" s="45"/>
      <c r="Z740" s="45"/>
      <c r="AA740" s="45"/>
    </row>
    <row r="741" spans="1:27" ht="13">
      <c r="A741" s="54">
        <v>2024</v>
      </c>
      <c r="B741" s="518">
        <v>45457</v>
      </c>
      <c r="C741" s="519" t="s">
        <v>481</v>
      </c>
      <c r="D741" s="519" t="s">
        <v>493</v>
      </c>
      <c r="E741" s="519" t="s">
        <v>479</v>
      </c>
      <c r="F741" s="519" t="s">
        <v>539</v>
      </c>
      <c r="G741" s="519"/>
      <c r="H741" s="520"/>
      <c r="I741" s="520"/>
      <c r="J741" s="520">
        <v>1264</v>
      </c>
      <c r="K741" s="520">
        <v>1264</v>
      </c>
      <c r="L741" s="520"/>
      <c r="M741" s="519"/>
      <c r="N741" s="45"/>
      <c r="T741" s="68"/>
      <c r="U741" s="45"/>
      <c r="V741" s="45"/>
      <c r="W741" s="45"/>
      <c r="X741" s="45"/>
      <c r="Y741" s="45"/>
      <c r="Z741" s="45"/>
      <c r="AA741" s="45"/>
    </row>
    <row r="742" spans="1:27" ht="13">
      <c r="A742" s="54">
        <v>2024</v>
      </c>
      <c r="B742" s="518">
        <v>45462</v>
      </c>
      <c r="C742" s="519" t="s">
        <v>481</v>
      </c>
      <c r="D742" s="519" t="s">
        <v>494</v>
      </c>
      <c r="E742" s="519" t="s">
        <v>521</v>
      </c>
      <c r="F742" s="519" t="s">
        <v>544</v>
      </c>
      <c r="G742" s="519"/>
      <c r="H742" s="520"/>
      <c r="I742" s="520"/>
      <c r="J742" s="520">
        <v>915</v>
      </c>
      <c r="K742" s="520">
        <f t="shared" ref="K742:K743" si="34">J742-L742</f>
        <v>749.93000000000006</v>
      </c>
      <c r="L742" s="523">
        <v>165.07</v>
      </c>
      <c r="M742" s="519"/>
      <c r="N742" s="45"/>
      <c r="O742" s="469" t="s">
        <v>457</v>
      </c>
      <c r="P742" s="470"/>
      <c r="Q742" s="45"/>
      <c r="R742" s="45"/>
      <c r="S742" s="491" t="s">
        <v>669</v>
      </c>
      <c r="T742" s="492"/>
      <c r="U742" s="45"/>
      <c r="V742" s="45"/>
      <c r="W742" s="45"/>
      <c r="X742" s="45"/>
      <c r="Y742" s="45"/>
      <c r="Z742" s="45"/>
      <c r="AA742" s="45"/>
    </row>
    <row r="743" spans="1:27" ht="13">
      <c r="A743" s="54">
        <v>2024</v>
      </c>
      <c r="B743" s="518">
        <v>45463</v>
      </c>
      <c r="C743" s="519" t="s">
        <v>481</v>
      </c>
      <c r="D743" s="519" t="s">
        <v>493</v>
      </c>
      <c r="E743" s="519" t="s">
        <v>627</v>
      </c>
      <c r="F743" s="519" t="s">
        <v>628</v>
      </c>
      <c r="G743" s="519"/>
      <c r="H743" s="520"/>
      <c r="I743" s="520"/>
      <c r="J743" s="520">
        <v>8814</v>
      </c>
      <c r="K743" s="520">
        <f t="shared" si="34"/>
        <v>7224.5</v>
      </c>
      <c r="L743" s="523">
        <v>1589.5</v>
      </c>
      <c r="M743" s="519"/>
      <c r="N743" s="45"/>
      <c r="O743" s="470">
        <f>SUM(Facturacion!I99:I104)</f>
        <v>193786.71179999999</v>
      </c>
      <c r="P743" s="470"/>
      <c r="Q743" s="45"/>
      <c r="R743" s="45"/>
      <c r="S743" s="491" t="s">
        <v>411</v>
      </c>
      <c r="T743" s="470">
        <f>SUM(K737:K773)</f>
        <v>615419.52</v>
      </c>
      <c r="U743" s="45"/>
      <c r="V743" s="45"/>
      <c r="W743" s="45"/>
      <c r="X743" s="45"/>
      <c r="Y743" s="45"/>
      <c r="Z743" s="45"/>
      <c r="AA743" s="45"/>
    </row>
    <row r="744" spans="1:27" ht="13">
      <c r="A744" s="54">
        <v>2024</v>
      </c>
      <c r="B744" s="518">
        <v>45464</v>
      </c>
      <c r="C744" s="519" t="s">
        <v>481</v>
      </c>
      <c r="D744" s="519" t="s">
        <v>493</v>
      </c>
      <c r="E744" s="519" t="s">
        <v>479</v>
      </c>
      <c r="F744" s="519" t="s">
        <v>480</v>
      </c>
      <c r="G744" s="519"/>
      <c r="H744" s="520">
        <v>25</v>
      </c>
      <c r="I744" s="520">
        <v>25</v>
      </c>
      <c r="J744" s="520"/>
      <c r="K744" s="520"/>
      <c r="L744" s="520"/>
      <c r="M744" s="519"/>
      <c r="N744" s="45"/>
      <c r="O744" s="469" t="s">
        <v>461</v>
      </c>
      <c r="P744" s="469" t="s">
        <v>462</v>
      </c>
      <c r="Q744" s="45"/>
      <c r="R744" s="45"/>
      <c r="S744" s="469" t="s">
        <v>584</v>
      </c>
      <c r="T744" s="470">
        <f>SUM(I737:I773)</f>
        <v>6085.9800000000005</v>
      </c>
      <c r="U744" s="45"/>
      <c r="V744" s="45"/>
      <c r="W744" s="45"/>
      <c r="X744" s="45"/>
      <c r="Y744" s="45"/>
      <c r="Z744" s="45"/>
      <c r="AA744" s="45"/>
    </row>
    <row r="745" spans="1:27" ht="13">
      <c r="A745" s="54">
        <v>2024</v>
      </c>
      <c r="B745" s="518">
        <v>45469</v>
      </c>
      <c r="C745" s="519" t="s">
        <v>481</v>
      </c>
      <c r="D745" s="519" t="s">
        <v>484</v>
      </c>
      <c r="E745" s="519" t="s">
        <v>479</v>
      </c>
      <c r="F745" s="519" t="s">
        <v>480</v>
      </c>
      <c r="G745" s="519"/>
      <c r="H745" s="520">
        <v>40</v>
      </c>
      <c r="I745" s="520">
        <v>40</v>
      </c>
      <c r="J745" s="520"/>
      <c r="K745" s="520"/>
      <c r="L745" s="520"/>
      <c r="M745" s="519"/>
      <c r="N745" s="45"/>
      <c r="O745" s="470">
        <f>SUM(L737:L773)</f>
        <v>3864.6096499999999</v>
      </c>
      <c r="P745" s="470">
        <f>(O743-O745)+P725</f>
        <v>189922.10214999999</v>
      </c>
      <c r="Q745" s="45"/>
      <c r="R745" s="45"/>
      <c r="S745" s="491"/>
      <c r="T745" s="492"/>
      <c r="U745" s="45"/>
      <c r="V745" s="45"/>
      <c r="W745" s="45"/>
      <c r="X745" s="45"/>
      <c r="Y745" s="45"/>
      <c r="Z745" s="45"/>
      <c r="AA745" s="45"/>
    </row>
    <row r="746" spans="1:27" ht="13">
      <c r="A746" s="54">
        <v>2024</v>
      </c>
      <c r="B746" s="518">
        <v>45469</v>
      </c>
      <c r="C746" s="519" t="s">
        <v>481</v>
      </c>
      <c r="D746" s="519" t="s">
        <v>493</v>
      </c>
      <c r="E746" s="519" t="s">
        <v>479</v>
      </c>
      <c r="F746" s="519" t="s">
        <v>624</v>
      </c>
      <c r="G746" s="519"/>
      <c r="H746" s="520">
        <v>24.91</v>
      </c>
      <c r="I746" s="520">
        <v>20.420000000000002</v>
      </c>
      <c r="J746" s="520"/>
      <c r="K746" s="520"/>
      <c r="L746" s="520">
        <f>4.49*M746</f>
        <v>176.38964999999999</v>
      </c>
      <c r="M746" s="519">
        <v>39.284999999999997</v>
      </c>
      <c r="N746" s="45"/>
      <c r="O746" s="470"/>
      <c r="P746" s="470"/>
      <c r="Q746" s="45"/>
      <c r="R746" s="45"/>
      <c r="S746" s="491"/>
      <c r="T746" s="492"/>
      <c r="U746" s="45"/>
      <c r="V746" s="45"/>
      <c r="W746" s="45"/>
      <c r="X746" s="45"/>
      <c r="Y746" s="45"/>
      <c r="Z746" s="45"/>
      <c r="AA746" s="45"/>
    </row>
    <row r="747" spans="1:27" ht="13">
      <c r="A747" s="54">
        <v>2024</v>
      </c>
      <c r="B747" s="518">
        <v>45469</v>
      </c>
      <c r="C747" s="519" t="s">
        <v>481</v>
      </c>
      <c r="D747" s="519" t="s">
        <v>494</v>
      </c>
      <c r="E747" s="519" t="s">
        <v>512</v>
      </c>
      <c r="F747" s="519" t="s">
        <v>528</v>
      </c>
      <c r="G747" s="519"/>
      <c r="H747" s="520"/>
      <c r="I747" s="520"/>
      <c r="J747" s="520">
        <v>189922</v>
      </c>
      <c r="K747" s="520">
        <v>189922</v>
      </c>
      <c r="L747" s="520"/>
      <c r="M747" s="519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</row>
    <row r="748" spans="1:27" ht="13">
      <c r="A748" s="54">
        <v>2024</v>
      </c>
      <c r="B748" s="518">
        <v>45469</v>
      </c>
      <c r="C748" s="519" t="s">
        <v>481</v>
      </c>
      <c r="D748" s="519" t="s">
        <v>494</v>
      </c>
      <c r="E748" s="519" t="s">
        <v>512</v>
      </c>
      <c r="F748" s="519" t="s">
        <v>574</v>
      </c>
      <c r="G748" s="519"/>
      <c r="H748" s="520"/>
      <c r="I748" s="520"/>
      <c r="J748" s="520">
        <v>903</v>
      </c>
      <c r="K748" s="520">
        <v>903</v>
      </c>
      <c r="L748" s="520"/>
      <c r="M748" s="519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</row>
    <row r="749" spans="1:27" ht="13">
      <c r="A749" s="54">
        <v>2024</v>
      </c>
      <c r="B749" s="518">
        <v>45470</v>
      </c>
      <c r="C749" s="519" t="s">
        <v>481</v>
      </c>
      <c r="D749" s="519" t="s">
        <v>493</v>
      </c>
      <c r="E749" s="519" t="s">
        <v>699</v>
      </c>
      <c r="F749" s="519" t="s">
        <v>700</v>
      </c>
      <c r="G749" s="519"/>
      <c r="H749" s="520"/>
      <c r="I749" s="520"/>
      <c r="J749" s="520">
        <v>3723</v>
      </c>
      <c r="K749" s="520">
        <f>J749-L749</f>
        <v>3051.64</v>
      </c>
      <c r="L749" s="520">
        <v>671.36</v>
      </c>
      <c r="M749" s="519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</row>
    <row r="750" spans="1:27" ht="13">
      <c r="A750" s="54">
        <v>2024</v>
      </c>
      <c r="B750" s="518">
        <v>45470</v>
      </c>
      <c r="C750" s="519" t="s">
        <v>481</v>
      </c>
      <c r="D750" s="519" t="s">
        <v>493</v>
      </c>
      <c r="E750" s="519" t="s">
        <v>699</v>
      </c>
      <c r="F750" s="519" t="s">
        <v>651</v>
      </c>
      <c r="G750" s="519"/>
      <c r="H750" s="520"/>
      <c r="I750" s="520"/>
      <c r="J750" s="520">
        <v>350</v>
      </c>
      <c r="K750" s="520">
        <v>350</v>
      </c>
      <c r="L750" s="520"/>
      <c r="M750" s="519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</row>
    <row r="751" spans="1:27" ht="13">
      <c r="A751" s="54">
        <v>2024</v>
      </c>
      <c r="B751" s="518">
        <v>45471</v>
      </c>
      <c r="C751" s="519" t="s">
        <v>481</v>
      </c>
      <c r="D751" s="519" t="s">
        <v>493</v>
      </c>
      <c r="E751" s="519" t="s">
        <v>479</v>
      </c>
      <c r="F751" s="519" t="s">
        <v>539</v>
      </c>
      <c r="G751" s="519"/>
      <c r="H751" s="520"/>
      <c r="I751" s="520"/>
      <c r="J751" s="520">
        <v>817.75</v>
      </c>
      <c r="K751" s="520">
        <v>817.75</v>
      </c>
      <c r="L751" s="520"/>
      <c r="M751" s="519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</row>
    <row r="752" spans="1:27" ht="13">
      <c r="A752" s="54">
        <v>2024</v>
      </c>
      <c r="B752" s="518">
        <v>45471</v>
      </c>
      <c r="C752" s="519" t="s">
        <v>481</v>
      </c>
      <c r="D752" s="519" t="s">
        <v>484</v>
      </c>
      <c r="E752" s="519" t="s">
        <v>644</v>
      </c>
      <c r="F752" s="519" t="s">
        <v>488</v>
      </c>
      <c r="G752" s="520"/>
      <c r="H752" s="520"/>
      <c r="I752" s="520"/>
      <c r="J752" s="520">
        <v>63384</v>
      </c>
      <c r="K752" s="520">
        <v>63384</v>
      </c>
      <c r="L752" s="520"/>
      <c r="M752" s="519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</row>
    <row r="753" spans="1:27" ht="13">
      <c r="A753" s="54">
        <v>2024</v>
      </c>
      <c r="B753" s="518">
        <v>45471</v>
      </c>
      <c r="C753" s="519" t="s">
        <v>679</v>
      </c>
      <c r="D753" s="519" t="s">
        <v>482</v>
      </c>
      <c r="E753" s="519" t="s">
        <v>680</v>
      </c>
      <c r="F753" s="519" t="s">
        <v>459</v>
      </c>
      <c r="G753" s="520"/>
      <c r="H753" s="520">
        <v>1100</v>
      </c>
      <c r="I753" s="520">
        <v>1100</v>
      </c>
      <c r="J753" s="520"/>
      <c r="K753" s="520"/>
      <c r="L753" s="520"/>
      <c r="M753" s="519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</row>
    <row r="754" spans="1:27" ht="13">
      <c r="A754" s="54">
        <v>2024</v>
      </c>
      <c r="B754" s="518">
        <v>45471</v>
      </c>
      <c r="C754" s="519" t="s">
        <v>474</v>
      </c>
      <c r="D754" s="519" t="s">
        <v>482</v>
      </c>
      <c r="E754" s="519" t="s">
        <v>483</v>
      </c>
      <c r="F754" s="519" t="s">
        <v>459</v>
      </c>
      <c r="G754" s="520"/>
      <c r="H754" s="520">
        <v>1056</v>
      </c>
      <c r="I754" s="520">
        <v>1056</v>
      </c>
      <c r="J754" s="520"/>
      <c r="K754" s="520"/>
      <c r="L754" s="520"/>
      <c r="M754" s="519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</row>
    <row r="755" spans="1:27" ht="13">
      <c r="A755" s="54">
        <v>2024</v>
      </c>
      <c r="B755" s="518">
        <v>45471</v>
      </c>
      <c r="C755" s="519" t="s">
        <v>474</v>
      </c>
      <c r="D755" s="519" t="s">
        <v>482</v>
      </c>
      <c r="E755" s="519" t="s">
        <v>535</v>
      </c>
      <c r="F755" s="519" t="s">
        <v>459</v>
      </c>
      <c r="G755" s="520"/>
      <c r="H755" s="520">
        <v>1056</v>
      </c>
      <c r="I755" s="520">
        <v>1056</v>
      </c>
      <c r="J755" s="520"/>
      <c r="K755" s="520"/>
      <c r="L755" s="520"/>
      <c r="M755" s="519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</row>
    <row r="756" spans="1:27" ht="13">
      <c r="A756" s="54">
        <v>2024</v>
      </c>
      <c r="B756" s="518">
        <v>45471</v>
      </c>
      <c r="C756" s="519" t="s">
        <v>474</v>
      </c>
      <c r="D756" s="519" t="s">
        <v>482</v>
      </c>
      <c r="E756" s="519" t="s">
        <v>541</v>
      </c>
      <c r="F756" s="519" t="s">
        <v>459</v>
      </c>
      <c r="G756" s="520"/>
      <c r="H756" s="520">
        <v>1056</v>
      </c>
      <c r="I756" s="520">
        <v>1056</v>
      </c>
      <c r="J756" s="520"/>
      <c r="K756" s="520"/>
      <c r="L756" s="520"/>
      <c r="M756" s="519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</row>
    <row r="757" spans="1:27" ht="13">
      <c r="A757" s="54">
        <v>2024</v>
      </c>
      <c r="B757" s="518">
        <v>45471</v>
      </c>
      <c r="C757" s="519" t="s">
        <v>474</v>
      </c>
      <c r="D757" s="519" t="s">
        <v>482</v>
      </c>
      <c r="E757" s="519" t="s">
        <v>537</v>
      </c>
      <c r="F757" s="519" t="s">
        <v>459</v>
      </c>
      <c r="G757" s="520"/>
      <c r="H757" s="520">
        <v>792</v>
      </c>
      <c r="I757" s="520">
        <v>792</v>
      </c>
      <c r="J757" s="520"/>
      <c r="K757" s="520"/>
      <c r="L757" s="520"/>
      <c r="M757" s="519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</row>
    <row r="758" spans="1:27" ht="13">
      <c r="A758" s="54">
        <v>2024</v>
      </c>
      <c r="B758" s="518">
        <v>45471</v>
      </c>
      <c r="C758" s="519" t="s">
        <v>474</v>
      </c>
      <c r="D758" s="519" t="s">
        <v>478</v>
      </c>
      <c r="E758" s="519" t="s">
        <v>479</v>
      </c>
      <c r="F758" s="519" t="s">
        <v>480</v>
      </c>
      <c r="G758" s="520"/>
      <c r="H758" s="520">
        <f t="shared" ref="H758:I758" si="35">(40*4)</f>
        <v>160</v>
      </c>
      <c r="I758" s="520">
        <f t="shared" si="35"/>
        <v>160</v>
      </c>
      <c r="J758" s="520"/>
      <c r="K758" s="520"/>
      <c r="L758" s="520"/>
      <c r="M758" s="519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</row>
    <row r="759" spans="1:27" ht="13">
      <c r="A759" s="54">
        <v>2024</v>
      </c>
      <c r="B759" s="518">
        <v>45471</v>
      </c>
      <c r="C759" s="519" t="s">
        <v>679</v>
      </c>
      <c r="D759" s="519" t="s">
        <v>478</v>
      </c>
      <c r="E759" s="519" t="s">
        <v>479</v>
      </c>
      <c r="F759" s="519" t="s">
        <v>480</v>
      </c>
      <c r="G759" s="520"/>
      <c r="H759" s="520">
        <v>40</v>
      </c>
      <c r="I759" s="520">
        <v>40</v>
      </c>
      <c r="J759" s="520"/>
      <c r="K759" s="520"/>
      <c r="L759" s="520"/>
      <c r="M759" s="519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 spans="1:27" ht="13">
      <c r="A760" s="54">
        <v>2024</v>
      </c>
      <c r="B760" s="518">
        <v>45471</v>
      </c>
      <c r="C760" s="519" t="s">
        <v>679</v>
      </c>
      <c r="D760" s="519" t="s">
        <v>478</v>
      </c>
      <c r="E760" s="519" t="s">
        <v>701</v>
      </c>
      <c r="F760" s="519" t="s">
        <v>539</v>
      </c>
      <c r="G760" s="520"/>
      <c r="H760" s="523">
        <f t="shared" ref="H760:I760" si="36">20/4</f>
        <v>5</v>
      </c>
      <c r="I760" s="523">
        <f t="shared" si="36"/>
        <v>5</v>
      </c>
      <c r="J760" s="520"/>
      <c r="K760" s="520"/>
      <c r="L760" s="520"/>
      <c r="M760" s="519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</row>
    <row r="761" spans="1:27" ht="13">
      <c r="A761" s="54">
        <v>2024</v>
      </c>
      <c r="B761" s="518">
        <v>45471</v>
      </c>
      <c r="C761" s="519" t="s">
        <v>474</v>
      </c>
      <c r="D761" s="519" t="s">
        <v>478</v>
      </c>
      <c r="E761" s="519" t="s">
        <v>701</v>
      </c>
      <c r="F761" s="519" t="s">
        <v>547</v>
      </c>
      <c r="G761" s="520"/>
      <c r="H761" s="523">
        <f t="shared" ref="H761:I761" si="37">20/4*3</f>
        <v>15</v>
      </c>
      <c r="I761" s="523">
        <f t="shared" si="37"/>
        <v>15</v>
      </c>
      <c r="J761" s="520"/>
      <c r="K761" s="520"/>
      <c r="L761" s="520"/>
      <c r="M761" s="519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</row>
    <row r="762" spans="1:27" ht="13">
      <c r="A762" s="54">
        <v>2024</v>
      </c>
      <c r="B762" s="518">
        <v>45471</v>
      </c>
      <c r="C762" s="519" t="s">
        <v>481</v>
      </c>
      <c r="D762" s="519" t="s">
        <v>482</v>
      </c>
      <c r="E762" s="519" t="s">
        <v>495</v>
      </c>
      <c r="F762" s="519" t="s">
        <v>496</v>
      </c>
      <c r="G762" s="520"/>
      <c r="H762" s="523"/>
      <c r="I762" s="523"/>
      <c r="J762" s="520">
        <v>220014</v>
      </c>
      <c r="K762" s="520">
        <v>220014</v>
      </c>
      <c r="L762" s="520"/>
      <c r="M762" s="519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</row>
    <row r="763" spans="1:27" ht="13">
      <c r="A763" s="54">
        <v>2024</v>
      </c>
      <c r="B763" s="518">
        <v>45473</v>
      </c>
      <c r="C763" s="519" t="s">
        <v>481</v>
      </c>
      <c r="D763" s="519" t="s">
        <v>489</v>
      </c>
      <c r="E763" s="519" t="s">
        <v>463</v>
      </c>
      <c r="F763" s="519" t="s">
        <v>464</v>
      </c>
      <c r="G763" s="520"/>
      <c r="H763" s="520"/>
      <c r="I763" s="520"/>
      <c r="J763" s="520">
        <v>7000</v>
      </c>
      <c r="K763" s="520">
        <v>5737.7</v>
      </c>
      <c r="L763" s="520">
        <v>1262.29</v>
      </c>
      <c r="M763" s="519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</row>
    <row r="764" spans="1:27" ht="13">
      <c r="A764" s="54">
        <v>2024</v>
      </c>
      <c r="B764" s="518">
        <v>45473</v>
      </c>
      <c r="C764" s="519" t="s">
        <v>481</v>
      </c>
      <c r="D764" s="519" t="s">
        <v>491</v>
      </c>
      <c r="E764" s="519" t="s">
        <v>638</v>
      </c>
      <c r="F764" s="519" t="s">
        <v>576</v>
      </c>
      <c r="G764" s="519"/>
      <c r="H764" s="520">
        <v>87.15</v>
      </c>
      <c r="I764" s="520">
        <v>87.15</v>
      </c>
      <c r="J764" s="520"/>
      <c r="K764" s="520"/>
      <c r="L764" s="520"/>
      <c r="M764" s="519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</row>
    <row r="765" spans="1:27" ht="13">
      <c r="A765" s="54">
        <v>2024</v>
      </c>
      <c r="B765" s="518">
        <v>45473</v>
      </c>
      <c r="C765" s="519" t="s">
        <v>481</v>
      </c>
      <c r="D765" s="519" t="s">
        <v>491</v>
      </c>
      <c r="E765" s="519" t="s">
        <v>633</v>
      </c>
      <c r="F765" s="519" t="s">
        <v>576</v>
      </c>
      <c r="G765" s="519"/>
      <c r="H765" s="520">
        <v>37.22</v>
      </c>
      <c r="I765" s="520">
        <v>37.22</v>
      </c>
      <c r="J765" s="520"/>
      <c r="K765" s="520"/>
      <c r="L765" s="520"/>
      <c r="M765" s="519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</row>
    <row r="766" spans="1:27" ht="13">
      <c r="A766" s="54">
        <v>2024</v>
      </c>
      <c r="B766" s="518">
        <v>45473</v>
      </c>
      <c r="C766" s="519" t="s">
        <v>481</v>
      </c>
      <c r="D766" s="519" t="s">
        <v>491</v>
      </c>
      <c r="E766" s="519" t="s">
        <v>601</v>
      </c>
      <c r="F766" s="519" t="s">
        <v>576</v>
      </c>
      <c r="G766" s="519"/>
      <c r="H766" s="520">
        <v>144</v>
      </c>
      <c r="I766" s="520">
        <v>144</v>
      </c>
      <c r="J766" s="520"/>
      <c r="K766" s="520"/>
      <c r="L766" s="520"/>
      <c r="M766" s="519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</row>
    <row r="767" spans="1:27" ht="13">
      <c r="A767" s="54">
        <v>2024</v>
      </c>
      <c r="B767" s="518">
        <v>45473</v>
      </c>
      <c r="C767" s="519" t="s">
        <v>481</v>
      </c>
      <c r="D767" s="519" t="s">
        <v>491</v>
      </c>
      <c r="E767" s="519" t="s">
        <v>498</v>
      </c>
      <c r="F767" s="519" t="s">
        <v>576</v>
      </c>
      <c r="G767" s="519"/>
      <c r="H767" s="520">
        <v>8.93</v>
      </c>
      <c r="I767" s="520">
        <v>8.93</v>
      </c>
      <c r="J767" s="520"/>
      <c r="K767" s="520"/>
      <c r="L767" s="520"/>
      <c r="M767" s="519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</row>
    <row r="768" spans="1:27" ht="13">
      <c r="A768" s="54">
        <v>2024</v>
      </c>
      <c r="B768" s="518">
        <v>45473</v>
      </c>
      <c r="C768" s="519" t="s">
        <v>481</v>
      </c>
      <c r="D768" s="519" t="s">
        <v>491</v>
      </c>
      <c r="E768" s="519" t="s">
        <v>602</v>
      </c>
      <c r="F768" s="519" t="s">
        <v>576</v>
      </c>
      <c r="G768" s="519"/>
      <c r="H768" s="520">
        <v>215.6</v>
      </c>
      <c r="I768" s="520">
        <v>215.6</v>
      </c>
      <c r="J768" s="520"/>
      <c r="K768" s="520"/>
      <c r="L768" s="520"/>
      <c r="M768" s="519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</row>
    <row r="769" spans="1:27" ht="13">
      <c r="A769" s="54">
        <v>2024</v>
      </c>
      <c r="B769" s="518">
        <v>45473</v>
      </c>
      <c r="C769" s="519" t="s">
        <v>481</v>
      </c>
      <c r="D769" s="519" t="s">
        <v>491</v>
      </c>
      <c r="E769" s="519" t="s">
        <v>591</v>
      </c>
      <c r="F769" s="519" t="s">
        <v>576</v>
      </c>
      <c r="G769" s="519"/>
      <c r="H769" s="520">
        <v>20</v>
      </c>
      <c r="I769" s="520">
        <v>20</v>
      </c>
      <c r="J769" s="520"/>
      <c r="K769" s="520"/>
      <c r="L769" s="520"/>
      <c r="M769" s="519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</row>
    <row r="770" spans="1:27" ht="13">
      <c r="A770" s="54">
        <v>2024</v>
      </c>
      <c r="B770" s="518">
        <v>45473</v>
      </c>
      <c r="C770" s="519" t="s">
        <v>481</v>
      </c>
      <c r="D770" s="519" t="s">
        <v>491</v>
      </c>
      <c r="E770" s="519" t="s">
        <v>639</v>
      </c>
      <c r="F770" s="519" t="s">
        <v>576</v>
      </c>
      <c r="G770" s="519"/>
      <c r="H770" s="520">
        <v>15</v>
      </c>
      <c r="I770" s="520">
        <v>15</v>
      </c>
      <c r="J770" s="520"/>
      <c r="K770" s="520"/>
      <c r="L770" s="520"/>
      <c r="M770" s="519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</row>
    <row r="771" spans="1:27" ht="13">
      <c r="A771" s="54">
        <v>2024</v>
      </c>
      <c r="B771" s="518">
        <v>45473</v>
      </c>
      <c r="C771" s="519" t="s">
        <v>481</v>
      </c>
      <c r="D771" s="519" t="s">
        <v>491</v>
      </c>
      <c r="E771" s="519" t="s">
        <v>592</v>
      </c>
      <c r="F771" s="519" t="s">
        <v>576</v>
      </c>
      <c r="G771" s="519"/>
      <c r="H771" s="520">
        <f t="shared" ref="H771:I771" si="38">52+2.93</f>
        <v>54.93</v>
      </c>
      <c r="I771" s="520">
        <f t="shared" si="38"/>
        <v>54.93</v>
      </c>
      <c r="J771" s="520"/>
      <c r="K771" s="520"/>
      <c r="L771" s="520"/>
      <c r="M771" s="519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</row>
    <row r="772" spans="1:27" ht="13">
      <c r="A772" s="54">
        <v>2024</v>
      </c>
      <c r="B772" s="518">
        <v>45473</v>
      </c>
      <c r="C772" s="519" t="s">
        <v>481</v>
      </c>
      <c r="D772" s="519" t="s">
        <v>491</v>
      </c>
      <c r="E772" s="524" t="s">
        <v>654</v>
      </c>
      <c r="F772" s="519" t="s">
        <v>576</v>
      </c>
      <c r="G772" s="519"/>
      <c r="H772" s="520">
        <f t="shared" ref="H772:I772" si="39">41.34+40.4</f>
        <v>81.740000000000009</v>
      </c>
      <c r="I772" s="520">
        <f t="shared" si="39"/>
        <v>81.740000000000009</v>
      </c>
      <c r="J772" s="520"/>
      <c r="K772" s="520"/>
      <c r="L772" s="520"/>
      <c r="M772" s="519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</row>
    <row r="773" spans="1:27" ht="13">
      <c r="A773" s="54">
        <v>2024</v>
      </c>
      <c r="B773" s="518">
        <v>45473</v>
      </c>
      <c r="C773" s="519" t="s">
        <v>481</v>
      </c>
      <c r="D773" s="519" t="s">
        <v>491</v>
      </c>
      <c r="E773" s="519" t="s">
        <v>534</v>
      </c>
      <c r="F773" s="519" t="s">
        <v>576</v>
      </c>
      <c r="G773" s="519"/>
      <c r="H773" s="520">
        <v>15.99</v>
      </c>
      <c r="I773" s="520">
        <v>15.99</v>
      </c>
      <c r="J773" s="520"/>
      <c r="K773" s="520"/>
      <c r="L773" s="520"/>
      <c r="M773" s="519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</row>
    <row r="774" spans="1:27" ht="13">
      <c r="A774" s="54">
        <v>2024</v>
      </c>
      <c r="B774" s="472">
        <v>45482</v>
      </c>
      <c r="C774" s="473" t="s">
        <v>481</v>
      </c>
      <c r="D774" s="473" t="s">
        <v>493</v>
      </c>
      <c r="E774" s="473" t="s">
        <v>479</v>
      </c>
      <c r="F774" s="473" t="s">
        <v>480</v>
      </c>
      <c r="G774" s="473"/>
      <c r="H774" s="476">
        <v>25</v>
      </c>
      <c r="I774" s="476">
        <v>25</v>
      </c>
      <c r="J774" s="476"/>
      <c r="K774" s="476"/>
      <c r="L774" s="476"/>
      <c r="M774" s="473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</row>
    <row r="775" spans="1:27" ht="13">
      <c r="A775" s="54">
        <v>2024</v>
      </c>
      <c r="B775" s="472">
        <v>45481</v>
      </c>
      <c r="C775" s="473" t="s">
        <v>481</v>
      </c>
      <c r="D775" s="473" t="s">
        <v>493</v>
      </c>
      <c r="E775" s="473" t="s">
        <v>479</v>
      </c>
      <c r="F775" s="475" t="s">
        <v>624</v>
      </c>
      <c r="G775" s="473"/>
      <c r="H775" s="476"/>
      <c r="I775" s="476"/>
      <c r="J775" s="476">
        <v>7717.55</v>
      </c>
      <c r="K775" s="476">
        <v>7717.55</v>
      </c>
      <c r="L775" s="476"/>
      <c r="M775" s="473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</row>
    <row r="776" spans="1:27" ht="13">
      <c r="A776" s="54">
        <v>2024</v>
      </c>
      <c r="B776" s="472">
        <v>45485</v>
      </c>
      <c r="C776" s="473" t="s">
        <v>481</v>
      </c>
      <c r="D776" s="473" t="s">
        <v>493</v>
      </c>
      <c r="E776" s="473" t="s">
        <v>63</v>
      </c>
      <c r="F776" s="473" t="s">
        <v>539</v>
      </c>
      <c r="G776" s="473"/>
      <c r="H776" s="476"/>
      <c r="I776" s="476"/>
      <c r="J776" s="476">
        <v>611.4</v>
      </c>
      <c r="K776" s="476">
        <v>611.4</v>
      </c>
      <c r="L776" s="476"/>
      <c r="M776" s="473"/>
      <c r="N776" s="45"/>
      <c r="O776" s="469" t="s">
        <v>457</v>
      </c>
      <c r="P776" s="470"/>
      <c r="Q776" s="45"/>
      <c r="R776" s="45"/>
      <c r="S776" s="491" t="s">
        <v>669</v>
      </c>
      <c r="T776" s="492"/>
      <c r="U776" s="45"/>
      <c r="V776" s="45"/>
      <c r="W776" s="45"/>
      <c r="X776" s="45"/>
      <c r="Y776" s="45"/>
      <c r="Z776" s="45"/>
      <c r="AA776" s="45"/>
    </row>
    <row r="777" spans="1:27" ht="13">
      <c r="A777" s="54">
        <v>2024</v>
      </c>
      <c r="B777" s="472">
        <v>45488</v>
      </c>
      <c r="C777" s="473" t="s">
        <v>481</v>
      </c>
      <c r="D777" s="473" t="s">
        <v>493</v>
      </c>
      <c r="E777" s="473" t="s">
        <v>479</v>
      </c>
      <c r="F777" s="473" t="s">
        <v>660</v>
      </c>
      <c r="G777" s="473"/>
      <c r="H777" s="476"/>
      <c r="I777" s="476"/>
      <c r="J777" s="476">
        <v>1264</v>
      </c>
      <c r="K777" s="476">
        <v>1264</v>
      </c>
      <c r="L777" s="476"/>
      <c r="M777" s="473"/>
      <c r="N777" s="45"/>
      <c r="O777" s="470">
        <f>SUM(Facturacion!I105:I109)</f>
        <v>121805.74384</v>
      </c>
      <c r="P777" s="470"/>
      <c r="Q777" s="45"/>
      <c r="R777" s="45"/>
      <c r="S777" s="491" t="s">
        <v>411</v>
      </c>
      <c r="T777" s="470">
        <f>SUM(K774:K816)</f>
        <v>498875.54000000004</v>
      </c>
      <c r="U777" s="45"/>
      <c r="V777" s="45"/>
      <c r="W777" s="45"/>
      <c r="X777" s="45"/>
      <c r="Y777" s="45"/>
      <c r="Z777" s="45"/>
      <c r="AA777" s="45"/>
    </row>
    <row r="778" spans="1:27" ht="13">
      <c r="A778" s="54">
        <v>2024</v>
      </c>
      <c r="B778" s="472">
        <v>45490</v>
      </c>
      <c r="C778" s="473" t="s">
        <v>481</v>
      </c>
      <c r="D778" s="473" t="s">
        <v>494</v>
      </c>
      <c r="E778" s="473" t="s">
        <v>521</v>
      </c>
      <c r="F778" s="473" t="s">
        <v>544</v>
      </c>
      <c r="G778" s="473"/>
      <c r="H778" s="476"/>
      <c r="I778" s="476"/>
      <c r="J778" s="476">
        <v>1369</v>
      </c>
      <c r="K778" s="476">
        <f>J778-L778</f>
        <v>1122.07</v>
      </c>
      <c r="L778" s="474">
        <v>246.93</v>
      </c>
      <c r="M778" s="473"/>
      <c r="N778" s="45"/>
      <c r="O778" s="469" t="s">
        <v>461</v>
      </c>
      <c r="P778" s="469" t="s">
        <v>462</v>
      </c>
      <c r="Q778" s="45"/>
      <c r="R778" s="45"/>
      <c r="S778" s="469" t="s">
        <v>584</v>
      </c>
      <c r="T778" s="470">
        <f>SUM(I774:I816)</f>
        <v>9225.6799999999985</v>
      </c>
      <c r="U778" s="45"/>
      <c r="V778" s="45"/>
      <c r="W778" s="45"/>
      <c r="X778" s="45"/>
      <c r="Y778" s="45"/>
      <c r="Z778" s="45"/>
      <c r="AA778" s="45"/>
    </row>
    <row r="779" spans="1:27" ht="13">
      <c r="A779" s="54">
        <v>2024</v>
      </c>
      <c r="B779" s="472">
        <v>45490</v>
      </c>
      <c r="C779" s="475" t="s">
        <v>481</v>
      </c>
      <c r="D779" s="475" t="s">
        <v>494</v>
      </c>
      <c r="E779" s="475" t="s">
        <v>502</v>
      </c>
      <c r="F779" s="475" t="s">
        <v>522</v>
      </c>
      <c r="G779" s="473"/>
      <c r="H779" s="476"/>
      <c r="I779" s="476"/>
      <c r="J779" s="476">
        <v>73045</v>
      </c>
      <c r="K779" s="476">
        <v>73045</v>
      </c>
      <c r="L779" s="476"/>
      <c r="M779" s="473"/>
      <c r="N779" s="45"/>
      <c r="O779" s="470">
        <f>SUM(L774:L815)</f>
        <v>2093.2799999999997</v>
      </c>
      <c r="P779" s="470">
        <f>(O777-O779)+P757</f>
        <v>119712.46384</v>
      </c>
      <c r="Q779" s="45"/>
      <c r="R779" s="45"/>
      <c r="S779" s="491"/>
      <c r="T779" s="492"/>
      <c r="U779" s="45"/>
      <c r="V779" s="45"/>
      <c r="W779" s="45"/>
      <c r="X779" s="45"/>
      <c r="Y779" s="45"/>
      <c r="Z779" s="45"/>
      <c r="AA779" s="45"/>
    </row>
    <row r="780" spans="1:27" ht="13">
      <c r="A780" s="54">
        <v>2024</v>
      </c>
      <c r="B780" s="472">
        <v>45490</v>
      </c>
      <c r="C780" s="475" t="s">
        <v>481</v>
      </c>
      <c r="D780" s="475" t="s">
        <v>494</v>
      </c>
      <c r="E780" s="475" t="s">
        <v>502</v>
      </c>
      <c r="F780" s="475" t="s">
        <v>543</v>
      </c>
      <c r="G780" s="473"/>
      <c r="H780" s="476"/>
      <c r="I780" s="476"/>
      <c r="J780" s="476">
        <v>3661</v>
      </c>
      <c r="K780" s="476">
        <v>3661</v>
      </c>
      <c r="L780" s="476"/>
      <c r="M780" s="473"/>
      <c r="N780" s="45"/>
      <c r="O780" s="470"/>
      <c r="P780" s="470"/>
      <c r="Q780" s="45"/>
      <c r="R780" s="45"/>
      <c r="S780" s="491"/>
      <c r="T780" s="492"/>
      <c r="U780" s="45"/>
      <c r="V780" s="45"/>
      <c r="W780" s="45"/>
      <c r="X780" s="45"/>
      <c r="Y780" s="45"/>
      <c r="Z780" s="45"/>
      <c r="AA780" s="45"/>
    </row>
    <row r="781" spans="1:27" ht="13">
      <c r="A781" s="54">
        <v>2024</v>
      </c>
      <c r="B781" s="472">
        <v>45492</v>
      </c>
      <c r="C781" s="473" t="s">
        <v>481</v>
      </c>
      <c r="D781" s="473" t="s">
        <v>493</v>
      </c>
      <c r="E781" s="473" t="s">
        <v>63</v>
      </c>
      <c r="F781" s="473" t="s">
        <v>480</v>
      </c>
      <c r="G781" s="473"/>
      <c r="H781" s="476"/>
      <c r="I781" s="476"/>
      <c r="J781" s="476">
        <v>77.819999999999993</v>
      </c>
      <c r="K781" s="476">
        <v>77.819999999999993</v>
      </c>
      <c r="L781" s="476"/>
      <c r="M781" s="473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</row>
    <row r="782" spans="1:27" ht="13">
      <c r="A782" s="54">
        <v>2024</v>
      </c>
      <c r="B782" s="472">
        <v>45492</v>
      </c>
      <c r="C782" s="473" t="s">
        <v>481</v>
      </c>
      <c r="D782" s="473" t="s">
        <v>494</v>
      </c>
      <c r="E782" s="473" t="s">
        <v>512</v>
      </c>
      <c r="F782" s="473" t="s">
        <v>528</v>
      </c>
      <c r="G782" s="473"/>
      <c r="H782" s="476"/>
      <c r="I782" s="476"/>
      <c r="J782" s="476">
        <v>119712</v>
      </c>
      <c r="K782" s="476">
        <v>119712</v>
      </c>
      <c r="L782" s="476"/>
      <c r="M782" s="473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</row>
    <row r="783" spans="1:27" ht="13">
      <c r="A783" s="54">
        <v>2024</v>
      </c>
      <c r="B783" s="472">
        <v>45492</v>
      </c>
      <c r="C783" s="473" t="s">
        <v>481</v>
      </c>
      <c r="D783" s="473" t="s">
        <v>494</v>
      </c>
      <c r="E783" s="473" t="s">
        <v>512</v>
      </c>
      <c r="F783" s="473" t="s">
        <v>574</v>
      </c>
      <c r="G783" s="473"/>
      <c r="H783" s="476"/>
      <c r="I783" s="476"/>
      <c r="J783" s="476">
        <v>903</v>
      </c>
      <c r="K783" s="476">
        <v>903</v>
      </c>
      <c r="L783" s="476"/>
      <c r="M783" s="473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</row>
    <row r="784" spans="1:27" ht="13">
      <c r="A784" s="54">
        <v>2024</v>
      </c>
      <c r="B784" s="472">
        <v>45497</v>
      </c>
      <c r="C784" s="473" t="s">
        <v>481</v>
      </c>
      <c r="D784" s="473" t="s">
        <v>493</v>
      </c>
      <c r="E784" s="473" t="s">
        <v>479</v>
      </c>
      <c r="F784" s="473" t="s">
        <v>480</v>
      </c>
      <c r="G784" s="473"/>
      <c r="H784" s="476">
        <v>6</v>
      </c>
      <c r="I784" s="476">
        <v>6</v>
      </c>
      <c r="J784" s="476"/>
      <c r="K784" s="476"/>
      <c r="L784" s="476"/>
      <c r="M784" s="473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</row>
    <row r="785" spans="1:27" ht="13">
      <c r="A785" s="54">
        <v>2024</v>
      </c>
      <c r="B785" s="472">
        <v>45499</v>
      </c>
      <c r="C785" s="473" t="s">
        <v>481</v>
      </c>
      <c r="D785" s="473" t="s">
        <v>493</v>
      </c>
      <c r="E785" s="473" t="s">
        <v>479</v>
      </c>
      <c r="F785" s="475" t="s">
        <v>624</v>
      </c>
      <c r="G785" s="473"/>
      <c r="H785" s="476">
        <v>80.41</v>
      </c>
      <c r="I785" s="476">
        <v>65.91</v>
      </c>
      <c r="J785" s="476"/>
      <c r="K785" s="476"/>
      <c r="L785" s="476">
        <f>14.5*M785</f>
        <v>584.06000000000006</v>
      </c>
      <c r="M785" s="525">
        <v>40.28</v>
      </c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</row>
    <row r="786" spans="1:27" ht="13">
      <c r="A786" s="54">
        <v>2024</v>
      </c>
      <c r="B786" s="472">
        <v>45502</v>
      </c>
      <c r="C786" s="473" t="s">
        <v>481</v>
      </c>
      <c r="D786" s="473" t="s">
        <v>493</v>
      </c>
      <c r="E786" s="473" t="s">
        <v>479</v>
      </c>
      <c r="F786" s="473" t="s">
        <v>480</v>
      </c>
      <c r="G786" s="473"/>
      <c r="H786" s="476">
        <v>3</v>
      </c>
      <c r="I786" s="476">
        <v>3</v>
      </c>
      <c r="J786" s="476"/>
      <c r="K786" s="476"/>
      <c r="L786" s="476"/>
      <c r="M786" s="473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</row>
    <row r="787" spans="1:27" ht="13">
      <c r="A787" s="54">
        <v>2024</v>
      </c>
      <c r="B787" s="472">
        <v>45504</v>
      </c>
      <c r="C787" s="473" t="s">
        <v>481</v>
      </c>
      <c r="D787" s="473" t="s">
        <v>484</v>
      </c>
      <c r="E787" s="473" t="s">
        <v>479</v>
      </c>
      <c r="F787" s="473" t="s">
        <v>480</v>
      </c>
      <c r="G787" s="473"/>
      <c r="H787" s="476">
        <v>120</v>
      </c>
      <c r="I787" s="476">
        <v>120</v>
      </c>
      <c r="J787" s="476"/>
      <c r="K787" s="476"/>
      <c r="L787" s="476"/>
      <c r="M787" s="473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</row>
    <row r="788" spans="1:27" ht="13">
      <c r="A788" s="54">
        <v>2024</v>
      </c>
      <c r="B788" s="472">
        <v>45504</v>
      </c>
      <c r="C788" s="473" t="s">
        <v>481</v>
      </c>
      <c r="D788" s="473" t="s">
        <v>489</v>
      </c>
      <c r="E788" s="473" t="s">
        <v>463</v>
      </c>
      <c r="F788" s="473" t="s">
        <v>464</v>
      </c>
      <c r="G788" s="476"/>
      <c r="H788" s="476"/>
      <c r="I788" s="476"/>
      <c r="J788" s="476">
        <v>7000</v>
      </c>
      <c r="K788" s="476">
        <v>5737.7</v>
      </c>
      <c r="L788" s="476">
        <v>1262.29</v>
      </c>
      <c r="M788" s="473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</row>
    <row r="789" spans="1:27" ht="13">
      <c r="A789" s="54">
        <v>2024</v>
      </c>
      <c r="B789" s="472">
        <v>45504</v>
      </c>
      <c r="C789" s="473" t="s">
        <v>481</v>
      </c>
      <c r="D789" s="473" t="s">
        <v>484</v>
      </c>
      <c r="E789" s="473" t="s">
        <v>644</v>
      </c>
      <c r="F789" s="473" t="s">
        <v>488</v>
      </c>
      <c r="G789" s="476"/>
      <c r="H789" s="476"/>
      <c r="I789" s="476"/>
      <c r="J789" s="476">
        <v>64010</v>
      </c>
      <c r="K789" s="476">
        <v>64010</v>
      </c>
      <c r="L789" s="476"/>
      <c r="M789" s="473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</row>
    <row r="790" spans="1:27" ht="13">
      <c r="A790" s="54">
        <v>2024</v>
      </c>
      <c r="B790" s="472">
        <v>45504</v>
      </c>
      <c r="C790" s="473" t="s">
        <v>679</v>
      </c>
      <c r="D790" s="473" t="s">
        <v>482</v>
      </c>
      <c r="E790" s="473" t="s">
        <v>680</v>
      </c>
      <c r="F790" s="473" t="s">
        <v>459</v>
      </c>
      <c r="G790" s="476"/>
      <c r="H790" s="476">
        <v>1100</v>
      </c>
      <c r="I790" s="476">
        <v>1100</v>
      </c>
      <c r="J790" s="476"/>
      <c r="K790" s="476"/>
      <c r="L790" s="476"/>
      <c r="M790" s="473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</row>
    <row r="791" spans="1:27" ht="13">
      <c r="A791" s="54">
        <v>2024</v>
      </c>
      <c r="B791" s="472">
        <v>45504</v>
      </c>
      <c r="C791" s="473" t="s">
        <v>474</v>
      </c>
      <c r="D791" s="473" t="s">
        <v>482</v>
      </c>
      <c r="E791" s="473" t="s">
        <v>483</v>
      </c>
      <c r="F791" s="473" t="s">
        <v>459</v>
      </c>
      <c r="G791" s="476"/>
      <c r="H791" s="476">
        <v>1300</v>
      </c>
      <c r="I791" s="476">
        <v>1300</v>
      </c>
      <c r="J791" s="476"/>
      <c r="K791" s="476"/>
      <c r="L791" s="476"/>
      <c r="M791" s="473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</row>
    <row r="792" spans="1:27" ht="13">
      <c r="A792" s="54">
        <v>2024</v>
      </c>
      <c r="B792" s="472">
        <v>45504</v>
      </c>
      <c r="C792" s="473" t="s">
        <v>474</v>
      </c>
      <c r="D792" s="473" t="s">
        <v>482</v>
      </c>
      <c r="E792" s="473" t="s">
        <v>535</v>
      </c>
      <c r="F792" s="473" t="s">
        <v>459</v>
      </c>
      <c r="G792" s="476"/>
      <c r="H792" s="476">
        <v>1300</v>
      </c>
      <c r="I792" s="476">
        <v>1300</v>
      </c>
      <c r="J792" s="476"/>
      <c r="K792" s="476"/>
      <c r="L792" s="476"/>
      <c r="M792" s="473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</row>
    <row r="793" spans="1:27" ht="13">
      <c r="A793" s="54">
        <v>2024</v>
      </c>
      <c r="B793" s="472">
        <v>45504</v>
      </c>
      <c r="C793" s="473" t="s">
        <v>474</v>
      </c>
      <c r="D793" s="473" t="s">
        <v>482</v>
      </c>
      <c r="E793" s="473" t="s">
        <v>541</v>
      </c>
      <c r="F793" s="473" t="s">
        <v>459</v>
      </c>
      <c r="G793" s="476"/>
      <c r="H793" s="476">
        <v>1300</v>
      </c>
      <c r="I793" s="476">
        <v>1300</v>
      </c>
      <c r="J793" s="476"/>
      <c r="K793" s="476"/>
      <c r="L793" s="476"/>
      <c r="M793" s="473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</row>
    <row r="794" spans="1:27" ht="13">
      <c r="A794" s="54">
        <v>2024</v>
      </c>
      <c r="B794" s="472">
        <v>45504</v>
      </c>
      <c r="C794" s="473" t="s">
        <v>474</v>
      </c>
      <c r="D794" s="473" t="s">
        <v>482</v>
      </c>
      <c r="E794" s="473" t="s">
        <v>537</v>
      </c>
      <c r="F794" s="473" t="s">
        <v>459</v>
      </c>
      <c r="G794" s="476"/>
      <c r="H794" s="476">
        <v>900</v>
      </c>
      <c r="I794" s="476">
        <v>900</v>
      </c>
      <c r="J794" s="476"/>
      <c r="K794" s="476"/>
      <c r="L794" s="476"/>
      <c r="M794" s="473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</row>
    <row r="795" spans="1:27" ht="13">
      <c r="A795" s="54">
        <v>2024</v>
      </c>
      <c r="B795" s="472">
        <v>45504</v>
      </c>
      <c r="C795" s="473" t="s">
        <v>679</v>
      </c>
      <c r="D795" s="473" t="s">
        <v>478</v>
      </c>
      <c r="E795" s="473" t="s">
        <v>701</v>
      </c>
      <c r="F795" s="473" t="s">
        <v>539</v>
      </c>
      <c r="G795" s="476"/>
      <c r="H795" s="474">
        <f t="shared" ref="H795:I795" si="40">47.2/4</f>
        <v>11.8</v>
      </c>
      <c r="I795" s="474">
        <f t="shared" si="40"/>
        <v>11.8</v>
      </c>
      <c r="J795" s="476"/>
      <c r="K795" s="476"/>
      <c r="L795" s="476"/>
      <c r="M795" s="473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</row>
    <row r="796" spans="1:27" ht="13">
      <c r="A796" s="54">
        <v>2024</v>
      </c>
      <c r="B796" s="472">
        <v>45504</v>
      </c>
      <c r="C796" s="473" t="s">
        <v>474</v>
      </c>
      <c r="D796" s="473" t="s">
        <v>478</v>
      </c>
      <c r="E796" s="473" t="s">
        <v>701</v>
      </c>
      <c r="F796" s="473" t="s">
        <v>539</v>
      </c>
      <c r="G796" s="476"/>
      <c r="H796" s="474">
        <f t="shared" ref="H796:I796" si="41">47.2/4*3</f>
        <v>35.400000000000006</v>
      </c>
      <c r="I796" s="474">
        <f t="shared" si="41"/>
        <v>35.400000000000006</v>
      </c>
      <c r="J796" s="476"/>
      <c r="K796" s="476"/>
      <c r="L796" s="476"/>
      <c r="M796" s="473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</row>
    <row r="797" spans="1:27" ht="13">
      <c r="A797" s="54">
        <v>2024</v>
      </c>
      <c r="B797" s="472">
        <v>45504</v>
      </c>
      <c r="C797" s="473" t="s">
        <v>474</v>
      </c>
      <c r="D797" s="473" t="s">
        <v>478</v>
      </c>
      <c r="E797" s="473" t="s">
        <v>479</v>
      </c>
      <c r="F797" s="473" t="s">
        <v>547</v>
      </c>
      <c r="G797" s="495"/>
      <c r="H797" s="476">
        <v>50</v>
      </c>
      <c r="I797" s="476">
        <v>50</v>
      </c>
      <c r="J797" s="476"/>
      <c r="K797" s="476"/>
      <c r="L797" s="476"/>
      <c r="M797" s="473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</row>
    <row r="798" spans="1:27" ht="13">
      <c r="A798" s="54">
        <v>2024</v>
      </c>
      <c r="B798" s="472">
        <v>45504</v>
      </c>
      <c r="C798" s="473" t="s">
        <v>679</v>
      </c>
      <c r="D798" s="473" t="s">
        <v>478</v>
      </c>
      <c r="E798" s="473" t="s">
        <v>479</v>
      </c>
      <c r="F798" s="473" t="s">
        <v>480</v>
      </c>
      <c r="G798" s="476"/>
      <c r="H798" s="476">
        <v>40</v>
      </c>
      <c r="I798" s="476">
        <v>40</v>
      </c>
      <c r="J798" s="476"/>
      <c r="K798" s="476"/>
      <c r="L798" s="476"/>
      <c r="M798" s="473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</row>
    <row r="799" spans="1:27" ht="13">
      <c r="A799" s="54">
        <v>2024</v>
      </c>
      <c r="B799" s="472">
        <v>45504</v>
      </c>
      <c r="C799" s="473" t="s">
        <v>481</v>
      </c>
      <c r="D799" s="473" t="s">
        <v>482</v>
      </c>
      <c r="E799" s="473" t="s">
        <v>495</v>
      </c>
      <c r="F799" s="473" t="s">
        <v>496</v>
      </c>
      <c r="G799" s="476"/>
      <c r="H799" s="474"/>
      <c r="I799" s="474"/>
      <c r="J799" s="476">
        <v>220014</v>
      </c>
      <c r="K799" s="476">
        <v>220014</v>
      </c>
      <c r="L799" s="476"/>
      <c r="M799" s="473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</row>
    <row r="800" spans="1:27" ht="13">
      <c r="A800" s="54">
        <v>2024</v>
      </c>
      <c r="B800" s="472">
        <v>45504</v>
      </c>
      <c r="C800" s="473" t="s">
        <v>474</v>
      </c>
      <c r="D800" s="473" t="s">
        <v>490</v>
      </c>
      <c r="E800" s="473" t="s">
        <v>702</v>
      </c>
      <c r="F800" s="473" t="s">
        <v>558</v>
      </c>
      <c r="G800" s="473"/>
      <c r="H800" s="476">
        <v>100</v>
      </c>
      <c r="I800" s="476">
        <v>100</v>
      </c>
      <c r="J800" s="476"/>
      <c r="K800" s="476"/>
      <c r="L800" s="476"/>
      <c r="M800" s="473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</row>
    <row r="801" spans="1:27" ht="13">
      <c r="A801" s="54">
        <v>2024</v>
      </c>
      <c r="B801" s="472">
        <v>45504</v>
      </c>
      <c r="C801" s="473" t="s">
        <v>481</v>
      </c>
      <c r="D801" s="473" t="s">
        <v>491</v>
      </c>
      <c r="E801" s="473" t="s">
        <v>601</v>
      </c>
      <c r="F801" s="473" t="s">
        <v>576</v>
      </c>
      <c r="G801" s="473"/>
      <c r="H801" s="476">
        <v>147.57</v>
      </c>
      <c r="I801" s="476">
        <v>147.57</v>
      </c>
      <c r="J801" s="476"/>
      <c r="K801" s="476"/>
      <c r="L801" s="476"/>
      <c r="M801" s="473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</row>
    <row r="802" spans="1:27" ht="13">
      <c r="A802" s="54">
        <v>2024</v>
      </c>
      <c r="B802" s="472">
        <v>45504</v>
      </c>
      <c r="C802" s="473" t="s">
        <v>481</v>
      </c>
      <c r="D802" s="473" t="s">
        <v>491</v>
      </c>
      <c r="E802" s="473" t="s">
        <v>498</v>
      </c>
      <c r="F802" s="473" t="s">
        <v>576</v>
      </c>
      <c r="G802" s="473"/>
      <c r="H802" s="476">
        <v>8.7100000000000009</v>
      </c>
      <c r="I802" s="476">
        <v>8.7100000000000009</v>
      </c>
      <c r="J802" s="476"/>
      <c r="K802" s="476"/>
      <c r="L802" s="476"/>
      <c r="M802" s="473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 spans="1:27" ht="13">
      <c r="A803" s="54">
        <v>2024</v>
      </c>
      <c r="B803" s="472">
        <v>45504</v>
      </c>
      <c r="C803" s="473" t="s">
        <v>481</v>
      </c>
      <c r="D803" s="473" t="s">
        <v>491</v>
      </c>
      <c r="E803" s="473" t="s">
        <v>602</v>
      </c>
      <c r="F803" s="473" t="s">
        <v>576</v>
      </c>
      <c r="G803" s="473"/>
      <c r="H803" s="476">
        <v>185.6</v>
      </c>
      <c r="I803" s="476">
        <v>185.6</v>
      </c>
      <c r="J803" s="476"/>
      <c r="K803" s="476"/>
      <c r="L803" s="476"/>
      <c r="M803" s="473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 spans="1:27" ht="13">
      <c r="A804" s="54">
        <v>2024</v>
      </c>
      <c r="B804" s="472">
        <v>45504</v>
      </c>
      <c r="C804" s="473" t="s">
        <v>481</v>
      </c>
      <c r="D804" s="473" t="s">
        <v>491</v>
      </c>
      <c r="E804" s="473" t="s">
        <v>591</v>
      </c>
      <c r="F804" s="473" t="s">
        <v>576</v>
      </c>
      <c r="G804" s="473"/>
      <c r="H804" s="476">
        <v>20</v>
      </c>
      <c r="I804" s="476">
        <v>20</v>
      </c>
      <c r="J804" s="476"/>
      <c r="K804" s="476"/>
      <c r="L804" s="476"/>
      <c r="M804" s="473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 spans="1:27" ht="13">
      <c r="A805" s="54">
        <v>2024</v>
      </c>
      <c r="B805" s="472">
        <v>45504</v>
      </c>
      <c r="C805" s="473" t="s">
        <v>481</v>
      </c>
      <c r="D805" s="473" t="s">
        <v>491</v>
      </c>
      <c r="E805" s="473" t="s">
        <v>639</v>
      </c>
      <c r="F805" s="473" t="s">
        <v>576</v>
      </c>
      <c r="G805" s="473"/>
      <c r="H805" s="476">
        <v>15</v>
      </c>
      <c r="I805" s="476">
        <v>15</v>
      </c>
      <c r="J805" s="476"/>
      <c r="K805" s="476"/>
      <c r="L805" s="476"/>
      <c r="M805" s="473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 spans="1:27" ht="13">
      <c r="A806" s="54">
        <v>2024</v>
      </c>
      <c r="B806" s="472">
        <v>45504</v>
      </c>
      <c r="C806" s="473" t="s">
        <v>481</v>
      </c>
      <c r="D806" s="473" t="s">
        <v>491</v>
      </c>
      <c r="E806" s="473" t="s">
        <v>592</v>
      </c>
      <c r="F806" s="473" t="s">
        <v>576</v>
      </c>
      <c r="G806" s="473"/>
      <c r="H806" s="476">
        <v>56</v>
      </c>
      <c r="I806" s="476">
        <v>56</v>
      </c>
      <c r="J806" s="476"/>
      <c r="K806" s="476"/>
      <c r="L806" s="476"/>
      <c r="M806" s="473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 spans="1:27" ht="13">
      <c r="A807" s="54">
        <v>2024</v>
      </c>
      <c r="B807" s="472">
        <v>45504</v>
      </c>
      <c r="C807" s="473" t="s">
        <v>481</v>
      </c>
      <c r="D807" s="473" t="s">
        <v>491</v>
      </c>
      <c r="E807" s="496" t="s">
        <v>654</v>
      </c>
      <c r="F807" s="473" t="s">
        <v>576</v>
      </c>
      <c r="G807" s="473"/>
      <c r="H807" s="476">
        <f t="shared" ref="H807:I807" si="42">39.92+40.96</f>
        <v>80.88</v>
      </c>
      <c r="I807" s="476">
        <f t="shared" si="42"/>
        <v>80.88</v>
      </c>
      <c r="J807" s="476"/>
      <c r="K807" s="476"/>
      <c r="L807" s="476"/>
      <c r="M807" s="473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 spans="1:27" ht="13">
      <c r="A808" s="54">
        <v>2024</v>
      </c>
      <c r="B808" s="472">
        <v>45504</v>
      </c>
      <c r="C808" s="473" t="s">
        <v>481</v>
      </c>
      <c r="D808" s="473" t="s">
        <v>491</v>
      </c>
      <c r="E808" s="473" t="s">
        <v>534</v>
      </c>
      <c r="F808" s="473" t="s">
        <v>576</v>
      </c>
      <c r="G808" s="473"/>
      <c r="H808" s="476">
        <v>15.99</v>
      </c>
      <c r="I808" s="476">
        <v>15.99</v>
      </c>
      <c r="J808" s="476"/>
      <c r="K808" s="476"/>
      <c r="L808" s="476"/>
      <c r="M808" s="473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 spans="1:27" ht="13">
      <c r="A809" s="54">
        <v>2024</v>
      </c>
      <c r="B809" s="472">
        <v>45504</v>
      </c>
      <c r="C809" s="473" t="s">
        <v>481</v>
      </c>
      <c r="D809" s="473" t="s">
        <v>491</v>
      </c>
      <c r="E809" s="473" t="s">
        <v>638</v>
      </c>
      <c r="F809" s="473" t="s">
        <v>576</v>
      </c>
      <c r="G809" s="473"/>
      <c r="H809" s="476">
        <f t="shared" ref="H809:I809" si="43">39.32+82.72</f>
        <v>122.03999999999999</v>
      </c>
      <c r="I809" s="476">
        <f t="shared" si="43"/>
        <v>122.03999999999999</v>
      </c>
      <c r="J809" s="476"/>
      <c r="K809" s="476"/>
      <c r="L809" s="476"/>
      <c r="M809" s="473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 spans="1:27" ht="13">
      <c r="A810" s="54">
        <v>2024</v>
      </c>
      <c r="B810" s="472">
        <v>45504</v>
      </c>
      <c r="C810" s="473" t="s">
        <v>474</v>
      </c>
      <c r="D810" s="473" t="s">
        <v>551</v>
      </c>
      <c r="E810" s="473" t="s">
        <v>703</v>
      </c>
      <c r="F810" s="473" t="s">
        <v>704</v>
      </c>
      <c r="G810" s="473"/>
      <c r="H810" s="476">
        <v>665.15</v>
      </c>
      <c r="I810" s="476">
        <v>665.15</v>
      </c>
      <c r="J810" s="476"/>
      <c r="K810" s="476"/>
      <c r="L810" s="476"/>
      <c r="M810" s="473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 spans="1:27" ht="13">
      <c r="A811" s="54">
        <v>2024</v>
      </c>
      <c r="B811" s="472">
        <v>45504</v>
      </c>
      <c r="C811" s="473" t="s">
        <v>474</v>
      </c>
      <c r="D811" s="473" t="s">
        <v>551</v>
      </c>
      <c r="E811" s="473" t="s">
        <v>705</v>
      </c>
      <c r="F811" s="473" t="s">
        <v>706</v>
      </c>
      <c r="G811" s="473"/>
      <c r="H811" s="476">
        <f>640.23+179.75+25.75</f>
        <v>845.73</v>
      </c>
      <c r="I811" s="476">
        <f>640.23+179.75</f>
        <v>819.98</v>
      </c>
      <c r="J811" s="476"/>
      <c r="K811" s="476"/>
      <c r="L811" s="476"/>
      <c r="M811" s="473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 spans="1:27" ht="13">
      <c r="A812" s="54">
        <v>2024</v>
      </c>
      <c r="B812" s="472">
        <v>45504</v>
      </c>
      <c r="C812" s="473" t="s">
        <v>474</v>
      </c>
      <c r="D812" s="473" t="s">
        <v>551</v>
      </c>
      <c r="E812" s="473" t="s">
        <v>567</v>
      </c>
      <c r="F812" s="473" t="s">
        <v>568</v>
      </c>
      <c r="G812" s="473"/>
      <c r="H812" s="476">
        <f t="shared" ref="H812:I812" si="44">1.14+3.44+2.8+2.46</f>
        <v>9.84</v>
      </c>
      <c r="I812" s="476">
        <f t="shared" si="44"/>
        <v>9.84</v>
      </c>
      <c r="J812" s="476"/>
      <c r="K812" s="476"/>
      <c r="L812" s="476"/>
      <c r="M812" s="473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 spans="1:27" ht="13">
      <c r="A813" s="54">
        <v>2024</v>
      </c>
      <c r="B813" s="472">
        <v>45504</v>
      </c>
      <c r="C813" s="473" t="s">
        <v>474</v>
      </c>
      <c r="D813" s="473" t="s">
        <v>551</v>
      </c>
      <c r="E813" s="473" t="s">
        <v>619</v>
      </c>
      <c r="F813" s="473" t="s">
        <v>700</v>
      </c>
      <c r="G813" s="473"/>
      <c r="H813" s="476">
        <f t="shared" ref="H813:I813" si="45">11.95+12.74+37.51+2.81+13.85</f>
        <v>78.859999999999985</v>
      </c>
      <c r="I813" s="476">
        <f t="shared" si="45"/>
        <v>78.859999999999985</v>
      </c>
      <c r="J813" s="476"/>
      <c r="K813" s="476"/>
      <c r="L813" s="476"/>
      <c r="M813" s="473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 spans="1:27" ht="13">
      <c r="A814" s="54">
        <v>2024</v>
      </c>
      <c r="B814" s="472">
        <v>45504</v>
      </c>
      <c r="C814" s="473" t="s">
        <v>474</v>
      </c>
      <c r="D814" s="473" t="s">
        <v>551</v>
      </c>
      <c r="E814" s="473" t="s">
        <v>551</v>
      </c>
      <c r="F814" s="473" t="s">
        <v>707</v>
      </c>
      <c r="G814" s="473"/>
      <c r="H814" s="476">
        <f t="shared" ref="H814:I814" si="46">31.04+47.26+46.6</f>
        <v>124.9</v>
      </c>
      <c r="I814" s="476">
        <f t="shared" si="46"/>
        <v>124.9</v>
      </c>
      <c r="J814" s="476">
        <v>1000</v>
      </c>
      <c r="K814" s="476">
        <v>1000</v>
      </c>
      <c r="L814" s="476"/>
      <c r="M814" s="473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 spans="1:27" ht="13">
      <c r="A815" s="54">
        <v>2024</v>
      </c>
      <c r="B815" s="472">
        <v>45504</v>
      </c>
      <c r="C815" s="473" t="s">
        <v>481</v>
      </c>
      <c r="D815" s="473" t="s">
        <v>491</v>
      </c>
      <c r="E815" s="496" t="s">
        <v>581</v>
      </c>
      <c r="F815" s="473" t="s">
        <v>576</v>
      </c>
      <c r="G815" s="473"/>
      <c r="H815" s="476">
        <v>99</v>
      </c>
      <c r="I815" s="476">
        <v>99</v>
      </c>
      <c r="J815" s="476"/>
      <c r="K815" s="476"/>
      <c r="L815" s="476"/>
      <c r="M815" s="473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 spans="1:27" ht="13">
      <c r="A816" s="54">
        <v>2024</v>
      </c>
      <c r="B816" s="472">
        <v>45504</v>
      </c>
      <c r="C816" s="473" t="s">
        <v>474</v>
      </c>
      <c r="D816" s="473" t="s">
        <v>551</v>
      </c>
      <c r="E816" s="473" t="s">
        <v>564</v>
      </c>
      <c r="F816" s="473" t="s">
        <v>658</v>
      </c>
      <c r="G816" s="473"/>
      <c r="H816" s="476">
        <v>419.05</v>
      </c>
      <c r="I816" s="476">
        <v>419.05</v>
      </c>
      <c r="J816" s="476"/>
      <c r="K816" s="476"/>
      <c r="L816" s="476"/>
      <c r="M816" s="473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 spans="1:27" ht="13">
      <c r="A817" s="54">
        <v>2024</v>
      </c>
      <c r="B817" s="386">
        <v>45512</v>
      </c>
      <c r="C817" s="387" t="s">
        <v>481</v>
      </c>
      <c r="D817" s="387" t="s">
        <v>493</v>
      </c>
      <c r="E817" s="387" t="s">
        <v>479</v>
      </c>
      <c r="F817" s="387" t="s">
        <v>480</v>
      </c>
      <c r="G817" s="387"/>
      <c r="H817" s="388">
        <v>25</v>
      </c>
      <c r="I817" s="388">
        <v>25</v>
      </c>
      <c r="J817" s="388"/>
      <c r="K817" s="388"/>
      <c r="L817" s="388"/>
      <c r="M817" s="387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 spans="1:27" ht="13">
      <c r="A818" s="54">
        <v>2024</v>
      </c>
      <c r="B818" s="386">
        <v>45519</v>
      </c>
      <c r="C818" s="387" t="s">
        <v>481</v>
      </c>
      <c r="D818" s="387" t="s">
        <v>493</v>
      </c>
      <c r="E818" s="387" t="s">
        <v>479</v>
      </c>
      <c r="F818" s="387" t="s">
        <v>660</v>
      </c>
      <c r="G818" s="387"/>
      <c r="H818" s="388"/>
      <c r="I818" s="388"/>
      <c r="J818" s="388">
        <v>1264</v>
      </c>
      <c r="K818" s="388">
        <v>1264</v>
      </c>
      <c r="L818" s="388"/>
      <c r="M818" s="387"/>
      <c r="N818" s="45"/>
      <c r="O818" s="469" t="s">
        <v>457</v>
      </c>
      <c r="P818" s="470"/>
      <c r="Q818" s="45"/>
      <c r="R818" s="45"/>
      <c r="S818" s="491" t="s">
        <v>669</v>
      </c>
      <c r="T818" s="492"/>
      <c r="U818" s="45"/>
      <c r="V818" s="45"/>
      <c r="W818" s="45"/>
      <c r="X818" s="45"/>
      <c r="Y818" s="45"/>
      <c r="Z818" s="45"/>
      <c r="AA818" s="45"/>
    </row>
    <row r="819" spans="1:27" ht="13">
      <c r="A819" s="54">
        <v>2024</v>
      </c>
      <c r="B819" s="386">
        <v>45521</v>
      </c>
      <c r="C819" s="387" t="s">
        <v>481</v>
      </c>
      <c r="D819" s="387" t="s">
        <v>494</v>
      </c>
      <c r="E819" s="387" t="s">
        <v>521</v>
      </c>
      <c r="F819" s="387" t="s">
        <v>544</v>
      </c>
      <c r="G819" s="387"/>
      <c r="H819" s="388"/>
      <c r="I819" s="388"/>
      <c r="J819" s="388">
        <v>915</v>
      </c>
      <c r="K819" s="388">
        <f>J819-L819</f>
        <v>749.93000000000006</v>
      </c>
      <c r="L819" s="388">
        <v>165.07</v>
      </c>
      <c r="M819" s="387"/>
      <c r="N819" s="45"/>
      <c r="O819" s="470">
        <f>SUM(Facturacion!I110:I115)</f>
        <v>115959.48374999998</v>
      </c>
      <c r="P819" s="470"/>
      <c r="Q819" s="45"/>
      <c r="R819" s="45"/>
      <c r="S819" s="491" t="s">
        <v>411</v>
      </c>
      <c r="T819" s="470">
        <f>SUM(K817:K855)</f>
        <v>494972.63</v>
      </c>
      <c r="U819" s="45"/>
      <c r="V819" s="45"/>
      <c r="W819" s="45"/>
      <c r="X819" s="45"/>
      <c r="Y819" s="45"/>
      <c r="Z819" s="45"/>
      <c r="AA819" s="45"/>
    </row>
    <row r="820" spans="1:27" ht="13">
      <c r="A820" s="54">
        <v>2024</v>
      </c>
      <c r="B820" s="386">
        <v>45521</v>
      </c>
      <c r="C820" s="471" t="s">
        <v>481</v>
      </c>
      <c r="D820" s="471" t="s">
        <v>494</v>
      </c>
      <c r="E820" s="471" t="s">
        <v>502</v>
      </c>
      <c r="F820" s="471" t="s">
        <v>522</v>
      </c>
      <c r="G820" s="387"/>
      <c r="H820" s="388"/>
      <c r="I820" s="388"/>
      <c r="J820" s="388">
        <v>78181</v>
      </c>
      <c r="K820" s="388">
        <v>78181</v>
      </c>
      <c r="L820" s="388"/>
      <c r="M820" s="387"/>
      <c r="N820" s="45"/>
      <c r="O820" s="469" t="s">
        <v>461</v>
      </c>
      <c r="P820" s="469" t="s">
        <v>462</v>
      </c>
      <c r="Q820" s="45"/>
      <c r="R820" s="45"/>
      <c r="S820" s="469" t="s">
        <v>584</v>
      </c>
      <c r="T820" s="470">
        <f>SUM(I817:I855)</f>
        <v>6876.0599999999995</v>
      </c>
      <c r="U820" s="45"/>
      <c r="V820" s="45"/>
      <c r="W820" s="45"/>
      <c r="X820" s="45"/>
      <c r="Y820" s="45"/>
      <c r="Z820" s="45"/>
      <c r="AA820" s="45"/>
    </row>
    <row r="821" spans="1:27" ht="13">
      <c r="A821" s="54">
        <v>2024</v>
      </c>
      <c r="B821" s="386">
        <v>45521</v>
      </c>
      <c r="C821" s="471" t="s">
        <v>481</v>
      </c>
      <c r="D821" s="471" t="s">
        <v>494</v>
      </c>
      <c r="E821" s="471" t="s">
        <v>502</v>
      </c>
      <c r="F821" s="471" t="s">
        <v>543</v>
      </c>
      <c r="G821" s="387"/>
      <c r="H821" s="388"/>
      <c r="I821" s="388"/>
      <c r="J821" s="388">
        <v>4619</v>
      </c>
      <c r="K821" s="388">
        <v>4619</v>
      </c>
      <c r="L821" s="388"/>
      <c r="M821" s="387"/>
      <c r="N821" s="45"/>
      <c r="O821" s="470">
        <f>SUM(L817:L853)</f>
        <v>1640.2877899999999</v>
      </c>
      <c r="P821" s="470">
        <f>(O819-O821)+P801</f>
        <v>114319.19595999998</v>
      </c>
      <c r="Q821" s="45"/>
      <c r="R821" s="45"/>
      <c r="S821" s="491"/>
      <c r="T821" s="492"/>
      <c r="U821" s="45"/>
      <c r="V821" s="45"/>
      <c r="W821" s="45"/>
      <c r="X821" s="45"/>
      <c r="Y821" s="45"/>
      <c r="Z821" s="45"/>
      <c r="AA821" s="45"/>
    </row>
    <row r="822" spans="1:27" ht="13">
      <c r="A822" s="54">
        <v>2024</v>
      </c>
      <c r="B822" s="386">
        <v>45526</v>
      </c>
      <c r="C822" s="387" t="s">
        <v>481</v>
      </c>
      <c r="D822" s="387" t="s">
        <v>494</v>
      </c>
      <c r="E822" s="387" t="s">
        <v>512</v>
      </c>
      <c r="F822" s="387" t="s">
        <v>528</v>
      </c>
      <c r="G822" s="387"/>
      <c r="H822" s="388"/>
      <c r="I822" s="388"/>
      <c r="J822" s="388">
        <v>114319</v>
      </c>
      <c r="K822" s="388">
        <v>114319</v>
      </c>
      <c r="L822" s="388"/>
      <c r="M822" s="387"/>
      <c r="N822" s="45"/>
      <c r="O822" s="470"/>
      <c r="P822" s="470"/>
      <c r="Q822" s="45"/>
      <c r="R822" s="45"/>
      <c r="S822" s="491"/>
      <c r="T822" s="492"/>
      <c r="U822" s="45"/>
      <c r="V822" s="45"/>
      <c r="W822" s="45"/>
      <c r="X822" s="45"/>
      <c r="Y822" s="45"/>
      <c r="Z822" s="45"/>
      <c r="AA822" s="45"/>
    </row>
    <row r="823" spans="1:27" ht="13">
      <c r="A823" s="54">
        <v>2024</v>
      </c>
      <c r="B823" s="386">
        <v>45526</v>
      </c>
      <c r="C823" s="387" t="s">
        <v>481</v>
      </c>
      <c r="D823" s="387" t="s">
        <v>494</v>
      </c>
      <c r="E823" s="387" t="s">
        <v>512</v>
      </c>
      <c r="F823" s="387" t="s">
        <v>574</v>
      </c>
      <c r="G823" s="387"/>
      <c r="H823" s="388"/>
      <c r="I823" s="388"/>
      <c r="J823" s="388">
        <v>903</v>
      </c>
      <c r="K823" s="388">
        <v>903</v>
      </c>
      <c r="L823" s="388"/>
      <c r="M823" s="387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 spans="1:27" ht="13">
      <c r="A824" s="54">
        <v>2024</v>
      </c>
      <c r="B824" s="386">
        <v>45526</v>
      </c>
      <c r="C824" s="387" t="s">
        <v>481</v>
      </c>
      <c r="D824" s="387" t="s">
        <v>493</v>
      </c>
      <c r="E824" s="387" t="s">
        <v>708</v>
      </c>
      <c r="F824" s="471" t="s">
        <v>700</v>
      </c>
      <c r="G824" s="388"/>
      <c r="H824" s="388"/>
      <c r="I824" s="388"/>
      <c r="J824" s="388">
        <v>545</v>
      </c>
      <c r="K824" s="388">
        <v>545</v>
      </c>
      <c r="L824" s="388"/>
      <c r="M824" s="387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 spans="1:27" ht="13">
      <c r="A825" s="54">
        <v>2024</v>
      </c>
      <c r="B825" s="386">
        <v>45530</v>
      </c>
      <c r="C825" s="387" t="s">
        <v>481</v>
      </c>
      <c r="D825" s="387" t="s">
        <v>493</v>
      </c>
      <c r="E825" s="387" t="s">
        <v>479</v>
      </c>
      <c r="F825" s="471" t="s">
        <v>624</v>
      </c>
      <c r="G825" s="388"/>
      <c r="H825" s="388">
        <v>29.32</v>
      </c>
      <c r="I825" s="388">
        <v>24.03</v>
      </c>
      <c r="J825" s="388"/>
      <c r="K825" s="388"/>
      <c r="L825" s="388">
        <f>5.29*M825</f>
        <v>212.92778999999999</v>
      </c>
      <c r="M825" s="387">
        <v>40.250999999999998</v>
      </c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 spans="1:27" ht="13">
      <c r="A826" s="54">
        <v>2024</v>
      </c>
      <c r="B826" s="386">
        <v>45533</v>
      </c>
      <c r="C826" s="387" t="s">
        <v>679</v>
      </c>
      <c r="D826" s="387" t="s">
        <v>478</v>
      </c>
      <c r="E826" s="387" t="s">
        <v>479</v>
      </c>
      <c r="F826" s="387" t="s">
        <v>480</v>
      </c>
      <c r="G826" s="388"/>
      <c r="H826" s="388">
        <v>20</v>
      </c>
      <c r="I826" s="388">
        <v>20</v>
      </c>
      <c r="J826" s="388"/>
      <c r="K826" s="388"/>
      <c r="L826" s="388"/>
      <c r="M826" s="387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 spans="1:27" ht="13">
      <c r="A827" s="54">
        <v>2024</v>
      </c>
      <c r="B827" s="386">
        <v>45533</v>
      </c>
      <c r="C827" s="387" t="s">
        <v>474</v>
      </c>
      <c r="D827" s="387" t="s">
        <v>478</v>
      </c>
      <c r="E827" s="387" t="s">
        <v>479</v>
      </c>
      <c r="F827" s="387" t="s">
        <v>480</v>
      </c>
      <c r="G827" s="388"/>
      <c r="H827" s="467">
        <v>20</v>
      </c>
      <c r="I827" s="467">
        <v>20</v>
      </c>
      <c r="J827" s="388"/>
      <c r="K827" s="388"/>
      <c r="L827" s="388"/>
      <c r="M827" s="387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 spans="1:27" ht="13">
      <c r="A828" s="54">
        <v>2024</v>
      </c>
      <c r="B828" s="386">
        <v>45534</v>
      </c>
      <c r="C828" s="387" t="s">
        <v>481</v>
      </c>
      <c r="D828" s="387" t="s">
        <v>493</v>
      </c>
      <c r="E828" s="387" t="s">
        <v>479</v>
      </c>
      <c r="F828" s="387" t="s">
        <v>480</v>
      </c>
      <c r="G828" s="388"/>
      <c r="H828" s="467">
        <v>1.9</v>
      </c>
      <c r="I828" s="467">
        <v>1.9</v>
      </c>
      <c r="J828" s="388"/>
      <c r="K828" s="388"/>
      <c r="L828" s="388"/>
      <c r="M828" s="387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 spans="1:27" ht="13">
      <c r="A829" s="54">
        <v>2024</v>
      </c>
      <c r="B829" s="386">
        <v>45534</v>
      </c>
      <c r="C829" s="387" t="s">
        <v>481</v>
      </c>
      <c r="D829" s="387" t="s">
        <v>482</v>
      </c>
      <c r="E829" s="387" t="s">
        <v>495</v>
      </c>
      <c r="F829" s="387" t="s">
        <v>496</v>
      </c>
      <c r="G829" s="388"/>
      <c r="H829" s="467"/>
      <c r="I829" s="467"/>
      <c r="J829" s="388">
        <v>220014</v>
      </c>
      <c r="K829" s="388">
        <v>220014</v>
      </c>
      <c r="L829" s="388"/>
      <c r="M829" s="387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 spans="1:27" ht="13">
      <c r="A830" s="54">
        <v>2024</v>
      </c>
      <c r="B830" s="386">
        <v>45534</v>
      </c>
      <c r="C830" s="387" t="s">
        <v>481</v>
      </c>
      <c r="D830" s="387" t="s">
        <v>489</v>
      </c>
      <c r="E830" s="387" t="s">
        <v>463</v>
      </c>
      <c r="F830" s="387" t="s">
        <v>464</v>
      </c>
      <c r="G830" s="388"/>
      <c r="H830" s="388"/>
      <c r="I830" s="388"/>
      <c r="J830" s="388">
        <v>7000</v>
      </c>
      <c r="K830" s="388">
        <v>5737.7</v>
      </c>
      <c r="L830" s="388">
        <v>1262.29</v>
      </c>
      <c r="M830" s="387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 spans="1:27" ht="13">
      <c r="A831" s="54">
        <v>2024</v>
      </c>
      <c r="B831" s="386">
        <v>45534</v>
      </c>
      <c r="C831" s="387" t="s">
        <v>481</v>
      </c>
      <c r="D831" s="387" t="s">
        <v>484</v>
      </c>
      <c r="E831" s="387" t="s">
        <v>644</v>
      </c>
      <c r="F831" s="387" t="s">
        <v>488</v>
      </c>
      <c r="G831" s="388"/>
      <c r="H831" s="388"/>
      <c r="I831" s="388"/>
      <c r="J831" s="388">
        <v>68640</v>
      </c>
      <c r="K831" s="388">
        <v>68640</v>
      </c>
      <c r="L831" s="388"/>
      <c r="M831" s="387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 spans="1:27" ht="13">
      <c r="A832" s="54">
        <v>2024</v>
      </c>
      <c r="B832" s="386">
        <v>45534</v>
      </c>
      <c r="C832" s="387" t="s">
        <v>679</v>
      </c>
      <c r="D832" s="387" t="s">
        <v>482</v>
      </c>
      <c r="E832" s="387" t="s">
        <v>680</v>
      </c>
      <c r="F832" s="387" t="s">
        <v>459</v>
      </c>
      <c r="G832" s="388"/>
      <c r="H832" s="388">
        <v>1100</v>
      </c>
      <c r="I832" s="388">
        <v>1100</v>
      </c>
      <c r="J832" s="388"/>
      <c r="K832" s="388"/>
      <c r="L832" s="388"/>
      <c r="M832" s="387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 spans="1:27" ht="13">
      <c r="A833" s="54">
        <v>2024</v>
      </c>
      <c r="B833" s="386">
        <v>45534</v>
      </c>
      <c r="C833" s="387" t="s">
        <v>474</v>
      </c>
      <c r="D833" s="387" t="s">
        <v>482</v>
      </c>
      <c r="E833" s="387" t="s">
        <v>483</v>
      </c>
      <c r="F833" s="387" t="s">
        <v>459</v>
      </c>
      <c r="G833" s="388"/>
      <c r="H833" s="388">
        <v>1300</v>
      </c>
      <c r="I833" s="388">
        <v>1300</v>
      </c>
      <c r="J833" s="388"/>
      <c r="K833" s="388"/>
      <c r="L833" s="388"/>
      <c r="M833" s="387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 spans="1:27" ht="13">
      <c r="A834" s="54">
        <v>2024</v>
      </c>
      <c r="B834" s="386">
        <v>45534</v>
      </c>
      <c r="C834" s="387" t="s">
        <v>474</v>
      </c>
      <c r="D834" s="387" t="s">
        <v>482</v>
      </c>
      <c r="E834" s="387" t="s">
        <v>535</v>
      </c>
      <c r="F834" s="387" t="s">
        <v>459</v>
      </c>
      <c r="G834" s="388"/>
      <c r="H834" s="388">
        <v>1300</v>
      </c>
      <c r="I834" s="388">
        <v>1300</v>
      </c>
      <c r="J834" s="388"/>
      <c r="K834" s="388"/>
      <c r="L834" s="388"/>
      <c r="M834" s="387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 spans="1:27" ht="13">
      <c r="A835" s="54">
        <v>2024</v>
      </c>
      <c r="B835" s="386">
        <v>45534</v>
      </c>
      <c r="C835" s="387" t="s">
        <v>474</v>
      </c>
      <c r="D835" s="387" t="s">
        <v>482</v>
      </c>
      <c r="E835" s="387" t="s">
        <v>541</v>
      </c>
      <c r="F835" s="387" t="s">
        <v>459</v>
      </c>
      <c r="G835" s="388"/>
      <c r="H835" s="388">
        <v>1300</v>
      </c>
      <c r="I835" s="388">
        <v>1300</v>
      </c>
      <c r="J835" s="388"/>
      <c r="K835" s="388"/>
      <c r="L835" s="388"/>
      <c r="M835" s="387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 spans="1:27" ht="13">
      <c r="A836" s="54">
        <v>2024</v>
      </c>
      <c r="B836" s="386">
        <v>45534</v>
      </c>
      <c r="C836" s="387" t="s">
        <v>474</v>
      </c>
      <c r="D836" s="387" t="s">
        <v>482</v>
      </c>
      <c r="E836" s="387" t="s">
        <v>537</v>
      </c>
      <c r="F836" s="387" t="s">
        <v>459</v>
      </c>
      <c r="G836" s="388"/>
      <c r="H836" s="388">
        <v>900</v>
      </c>
      <c r="I836" s="388">
        <v>900</v>
      </c>
      <c r="J836" s="388"/>
      <c r="K836" s="388"/>
      <c r="L836" s="388"/>
      <c r="M836" s="387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 spans="1:27" ht="13">
      <c r="A837" s="54">
        <v>2024</v>
      </c>
      <c r="B837" s="386">
        <v>45534</v>
      </c>
      <c r="C837" s="387" t="s">
        <v>679</v>
      </c>
      <c r="D837" s="387" t="s">
        <v>478</v>
      </c>
      <c r="E837" s="387" t="s">
        <v>701</v>
      </c>
      <c r="F837" s="387" t="s">
        <v>539</v>
      </c>
      <c r="G837" s="526"/>
      <c r="H837" s="467">
        <f t="shared" ref="H837:I837" si="47">46.5/4</f>
        <v>11.625</v>
      </c>
      <c r="I837" s="467">
        <f t="shared" si="47"/>
        <v>11.625</v>
      </c>
      <c r="J837" s="388"/>
      <c r="K837" s="388"/>
      <c r="L837" s="388"/>
      <c r="M837" s="387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 spans="1:27" ht="13">
      <c r="A838" s="54">
        <v>2024</v>
      </c>
      <c r="B838" s="386">
        <v>45534</v>
      </c>
      <c r="C838" s="387" t="s">
        <v>474</v>
      </c>
      <c r="D838" s="387" t="s">
        <v>478</v>
      </c>
      <c r="E838" s="387" t="s">
        <v>701</v>
      </c>
      <c r="F838" s="387" t="s">
        <v>539</v>
      </c>
      <c r="G838" s="526"/>
      <c r="H838" s="467">
        <f t="shared" ref="H838:I838" si="48">46.5/4*3</f>
        <v>34.875</v>
      </c>
      <c r="I838" s="467">
        <f t="shared" si="48"/>
        <v>34.875</v>
      </c>
      <c r="J838" s="388"/>
      <c r="K838" s="388"/>
      <c r="L838" s="388"/>
      <c r="M838" s="387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 spans="1:27" ht="13">
      <c r="A839" s="54">
        <v>2024</v>
      </c>
      <c r="B839" s="386">
        <v>45534</v>
      </c>
      <c r="C839" s="387" t="s">
        <v>474</v>
      </c>
      <c r="D839" s="387" t="s">
        <v>478</v>
      </c>
      <c r="E839" s="387" t="s">
        <v>479</v>
      </c>
      <c r="F839" s="387" t="s">
        <v>547</v>
      </c>
      <c r="G839" s="526"/>
      <c r="H839" s="388">
        <v>20</v>
      </c>
      <c r="I839" s="388">
        <v>20</v>
      </c>
      <c r="J839" s="388"/>
      <c r="K839" s="388"/>
      <c r="L839" s="388"/>
      <c r="M839" s="387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 spans="1:27" ht="13">
      <c r="A840" s="54">
        <v>2024</v>
      </c>
      <c r="B840" s="386">
        <v>45534</v>
      </c>
      <c r="C840" s="387" t="s">
        <v>679</v>
      </c>
      <c r="D840" s="387" t="s">
        <v>478</v>
      </c>
      <c r="E840" s="387" t="s">
        <v>479</v>
      </c>
      <c r="F840" s="387" t="s">
        <v>480</v>
      </c>
      <c r="G840" s="388"/>
      <c r="H840" s="467">
        <v>19</v>
      </c>
      <c r="I840" s="467">
        <v>19</v>
      </c>
      <c r="J840" s="388"/>
      <c r="K840" s="388"/>
      <c r="L840" s="388"/>
      <c r="M840" s="387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 spans="1:27" ht="13">
      <c r="A841" s="54">
        <v>2024</v>
      </c>
      <c r="B841" s="386">
        <v>45534</v>
      </c>
      <c r="C841" s="387" t="s">
        <v>474</v>
      </c>
      <c r="D841" s="387" t="s">
        <v>478</v>
      </c>
      <c r="E841" s="387" t="s">
        <v>479</v>
      </c>
      <c r="F841" s="387" t="s">
        <v>480</v>
      </c>
      <c r="G841" s="388"/>
      <c r="H841" s="467">
        <f t="shared" ref="H841:I841" si="49">40+57</f>
        <v>97</v>
      </c>
      <c r="I841" s="467">
        <f t="shared" si="49"/>
        <v>97</v>
      </c>
      <c r="J841" s="388"/>
      <c r="K841" s="388"/>
      <c r="L841" s="388"/>
      <c r="M841" s="387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 spans="1:27" ht="13">
      <c r="A842" s="54">
        <v>2024</v>
      </c>
      <c r="B842" s="386">
        <v>45534</v>
      </c>
      <c r="C842" s="387" t="s">
        <v>481</v>
      </c>
      <c r="D842" s="387" t="s">
        <v>491</v>
      </c>
      <c r="E842" s="387" t="s">
        <v>601</v>
      </c>
      <c r="F842" s="387" t="s">
        <v>576</v>
      </c>
      <c r="G842" s="387"/>
      <c r="H842" s="388">
        <v>149.34</v>
      </c>
      <c r="I842" s="388">
        <v>149.34</v>
      </c>
      <c r="J842" s="388"/>
      <c r="K842" s="388"/>
      <c r="L842" s="388"/>
      <c r="M842" s="387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 spans="1:27" ht="13">
      <c r="A843" s="54">
        <v>2024</v>
      </c>
      <c r="B843" s="386">
        <v>45534</v>
      </c>
      <c r="C843" s="387" t="s">
        <v>481</v>
      </c>
      <c r="D843" s="387" t="s">
        <v>491</v>
      </c>
      <c r="E843" s="387" t="s">
        <v>638</v>
      </c>
      <c r="F843" s="387" t="s">
        <v>576</v>
      </c>
      <c r="G843" s="387"/>
      <c r="H843" s="388">
        <v>98.59</v>
      </c>
      <c r="I843" s="388">
        <v>98.59</v>
      </c>
      <c r="J843" s="388"/>
      <c r="K843" s="388"/>
      <c r="L843" s="388"/>
      <c r="M843" s="387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 spans="1:27" ht="13">
      <c r="A844" s="54">
        <v>2024</v>
      </c>
      <c r="B844" s="386">
        <v>45534</v>
      </c>
      <c r="C844" s="387" t="s">
        <v>481</v>
      </c>
      <c r="D844" s="387" t="s">
        <v>491</v>
      </c>
      <c r="E844" s="507" t="s">
        <v>654</v>
      </c>
      <c r="F844" s="387" t="s">
        <v>576</v>
      </c>
      <c r="G844" s="387"/>
      <c r="H844" s="388">
        <f t="shared" ref="H844:I844" si="50">39.76+39.7</f>
        <v>79.460000000000008</v>
      </c>
      <c r="I844" s="388">
        <f t="shared" si="50"/>
        <v>79.460000000000008</v>
      </c>
      <c r="J844" s="388"/>
      <c r="K844" s="388"/>
      <c r="L844" s="388"/>
      <c r="M844" s="387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 spans="1:27" ht="13">
      <c r="A845" s="54">
        <v>2024</v>
      </c>
      <c r="B845" s="386">
        <v>45534</v>
      </c>
      <c r="C845" s="387" t="s">
        <v>481</v>
      </c>
      <c r="D845" s="387" t="s">
        <v>491</v>
      </c>
      <c r="E845" s="387" t="s">
        <v>534</v>
      </c>
      <c r="F845" s="387" t="s">
        <v>576</v>
      </c>
      <c r="G845" s="387"/>
      <c r="H845" s="388">
        <v>15.99</v>
      </c>
      <c r="I845" s="388">
        <v>15.99</v>
      </c>
      <c r="J845" s="388"/>
      <c r="K845" s="388"/>
      <c r="L845" s="388"/>
      <c r="M845" s="387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 spans="1:27" ht="13">
      <c r="A846" s="54">
        <v>2024</v>
      </c>
      <c r="B846" s="386">
        <v>45534</v>
      </c>
      <c r="C846" s="387" t="s">
        <v>481</v>
      </c>
      <c r="D846" s="387" t="s">
        <v>491</v>
      </c>
      <c r="E846" s="387" t="s">
        <v>633</v>
      </c>
      <c r="F846" s="387" t="s">
        <v>576</v>
      </c>
      <c r="G846" s="387"/>
      <c r="H846" s="388">
        <v>43.2</v>
      </c>
      <c r="I846" s="388">
        <v>43.2</v>
      </c>
      <c r="J846" s="388"/>
      <c r="K846" s="388"/>
      <c r="L846" s="388"/>
      <c r="M846" s="387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 spans="1:27" ht="13">
      <c r="A847" s="54">
        <v>2024</v>
      </c>
      <c r="B847" s="386">
        <v>45534</v>
      </c>
      <c r="C847" s="387" t="s">
        <v>481</v>
      </c>
      <c r="D847" s="387" t="s">
        <v>491</v>
      </c>
      <c r="E847" s="387" t="s">
        <v>602</v>
      </c>
      <c r="F847" s="387" t="s">
        <v>576</v>
      </c>
      <c r="G847" s="387"/>
      <c r="H847" s="388">
        <v>145.5</v>
      </c>
      <c r="I847" s="388">
        <v>145.5</v>
      </c>
      <c r="J847" s="388"/>
      <c r="K847" s="388"/>
      <c r="L847" s="388"/>
      <c r="M847" s="387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 spans="1:27" ht="13">
      <c r="A848" s="54">
        <v>2024</v>
      </c>
      <c r="B848" s="386">
        <v>45534</v>
      </c>
      <c r="C848" s="387" t="s">
        <v>481</v>
      </c>
      <c r="D848" s="387" t="s">
        <v>491</v>
      </c>
      <c r="E848" s="387" t="s">
        <v>591</v>
      </c>
      <c r="F848" s="387" t="s">
        <v>576</v>
      </c>
      <c r="G848" s="387"/>
      <c r="H848" s="388">
        <v>20</v>
      </c>
      <c r="I848" s="388">
        <v>20</v>
      </c>
      <c r="J848" s="388"/>
      <c r="K848" s="388"/>
      <c r="L848" s="388"/>
      <c r="M848" s="387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 spans="1:27" ht="13">
      <c r="A849" s="54">
        <v>2024</v>
      </c>
      <c r="B849" s="386">
        <v>45534</v>
      </c>
      <c r="C849" s="387" t="s">
        <v>481</v>
      </c>
      <c r="D849" s="387" t="s">
        <v>491</v>
      </c>
      <c r="E849" s="387" t="s">
        <v>498</v>
      </c>
      <c r="F849" s="387" t="s">
        <v>576</v>
      </c>
      <c r="G849" s="387"/>
      <c r="H849" s="388">
        <v>8.66</v>
      </c>
      <c r="I849" s="388">
        <v>8.66</v>
      </c>
      <c r="J849" s="388"/>
      <c r="K849" s="388"/>
      <c r="L849" s="388"/>
      <c r="M849" s="387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 spans="1:27" ht="13">
      <c r="A850" s="54">
        <v>2024</v>
      </c>
      <c r="B850" s="386">
        <v>45534</v>
      </c>
      <c r="C850" s="387" t="s">
        <v>481</v>
      </c>
      <c r="D850" s="387" t="s">
        <v>491</v>
      </c>
      <c r="E850" s="387" t="s">
        <v>645</v>
      </c>
      <c r="F850" s="387" t="s">
        <v>576</v>
      </c>
      <c r="G850" s="387"/>
      <c r="H850" s="388">
        <v>12.99</v>
      </c>
      <c r="I850" s="388">
        <v>12.99</v>
      </c>
      <c r="J850" s="388"/>
      <c r="K850" s="388"/>
      <c r="L850" s="388"/>
      <c r="M850" s="387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 spans="1:27" ht="13">
      <c r="A851" s="54">
        <v>2024</v>
      </c>
      <c r="B851" s="386">
        <v>45534</v>
      </c>
      <c r="C851" s="387" t="s">
        <v>481</v>
      </c>
      <c r="D851" s="387" t="s">
        <v>491</v>
      </c>
      <c r="E851" s="387" t="s">
        <v>639</v>
      </c>
      <c r="F851" s="387" t="s">
        <v>576</v>
      </c>
      <c r="G851" s="387"/>
      <c r="H851" s="388">
        <v>15</v>
      </c>
      <c r="I851" s="388">
        <v>15</v>
      </c>
      <c r="J851" s="388"/>
      <c r="K851" s="388"/>
      <c r="L851" s="388"/>
      <c r="M851" s="387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 spans="1:27" ht="13">
      <c r="A852" s="54">
        <v>2024</v>
      </c>
      <c r="B852" s="386">
        <v>45534</v>
      </c>
      <c r="C852" s="387" t="s">
        <v>481</v>
      </c>
      <c r="D852" s="387" t="s">
        <v>491</v>
      </c>
      <c r="E852" s="387" t="s">
        <v>592</v>
      </c>
      <c r="F852" s="387" t="s">
        <v>576</v>
      </c>
      <c r="G852" s="387"/>
      <c r="H852" s="388">
        <v>52</v>
      </c>
      <c r="I852" s="388">
        <v>52</v>
      </c>
      <c r="J852" s="388"/>
      <c r="K852" s="388"/>
      <c r="L852" s="388"/>
      <c r="M852" s="387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 spans="1:27" ht="13">
      <c r="A853" s="54">
        <v>2024</v>
      </c>
      <c r="B853" s="386">
        <v>45534</v>
      </c>
      <c r="C853" s="387" t="s">
        <v>481</v>
      </c>
      <c r="D853" s="387" t="s">
        <v>491</v>
      </c>
      <c r="E853" s="507" t="s">
        <v>709</v>
      </c>
      <c r="F853" s="387" t="s">
        <v>576</v>
      </c>
      <c r="G853" s="387"/>
      <c r="H853" s="388">
        <v>20</v>
      </c>
      <c r="I853" s="388">
        <v>20</v>
      </c>
      <c r="J853" s="388"/>
      <c r="K853" s="388"/>
      <c r="L853" s="388"/>
      <c r="M853" s="387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 spans="1:27" ht="13">
      <c r="A854" s="54">
        <v>2024</v>
      </c>
      <c r="B854" s="472">
        <v>45537</v>
      </c>
      <c r="C854" s="473" t="s">
        <v>481</v>
      </c>
      <c r="D854" s="473" t="s">
        <v>484</v>
      </c>
      <c r="E854" s="473" t="s">
        <v>479</v>
      </c>
      <c r="F854" s="473" t="s">
        <v>480</v>
      </c>
      <c r="G854" s="473"/>
      <c r="H854" s="476">
        <v>40</v>
      </c>
      <c r="I854" s="476">
        <v>40</v>
      </c>
      <c r="J854" s="476"/>
      <c r="K854" s="476"/>
      <c r="L854" s="476"/>
      <c r="M854" s="473"/>
      <c r="N854" s="45"/>
      <c r="O854" s="59"/>
      <c r="P854" s="68"/>
      <c r="Q854" s="45"/>
      <c r="R854" s="45"/>
      <c r="S854" s="49"/>
      <c r="T854" s="45"/>
      <c r="U854" s="45"/>
      <c r="V854" s="45"/>
      <c r="W854" s="45"/>
      <c r="X854" s="45"/>
      <c r="Y854" s="45"/>
      <c r="Z854" s="45"/>
      <c r="AA854" s="45"/>
    </row>
    <row r="855" spans="1:27" ht="13">
      <c r="A855" s="54">
        <v>2024</v>
      </c>
      <c r="B855" s="472">
        <v>45547</v>
      </c>
      <c r="C855" s="473" t="s">
        <v>481</v>
      </c>
      <c r="D855" s="473" t="s">
        <v>493</v>
      </c>
      <c r="E855" s="473" t="s">
        <v>63</v>
      </c>
      <c r="F855" s="473" t="s">
        <v>480</v>
      </c>
      <c r="G855" s="473"/>
      <c r="H855" s="476">
        <v>1.9</v>
      </c>
      <c r="I855" s="476">
        <v>1.9</v>
      </c>
      <c r="J855" s="476"/>
      <c r="K855" s="476"/>
      <c r="L855" s="476"/>
      <c r="M855" s="473"/>
      <c r="N855" s="45"/>
      <c r="O855" s="59"/>
      <c r="P855" s="68"/>
      <c r="Q855" s="45"/>
      <c r="R855" s="45"/>
      <c r="S855" s="49"/>
      <c r="T855" s="45"/>
      <c r="U855" s="45"/>
      <c r="V855" s="45"/>
      <c r="W855" s="45"/>
      <c r="X855" s="45"/>
      <c r="Y855" s="45"/>
      <c r="Z855" s="45"/>
      <c r="AA855" s="45"/>
    </row>
    <row r="856" spans="1:27" ht="13">
      <c r="A856" s="54">
        <v>2024</v>
      </c>
      <c r="B856" s="472">
        <v>45548</v>
      </c>
      <c r="C856" s="473" t="s">
        <v>481</v>
      </c>
      <c r="D856" s="473" t="s">
        <v>493</v>
      </c>
      <c r="E856" s="473" t="s">
        <v>479</v>
      </c>
      <c r="F856" s="473" t="s">
        <v>660</v>
      </c>
      <c r="G856" s="473"/>
      <c r="H856" s="476"/>
      <c r="I856" s="476"/>
      <c r="J856" s="476">
        <v>1264</v>
      </c>
      <c r="K856" s="476">
        <v>1264</v>
      </c>
      <c r="L856" s="476"/>
      <c r="M856" s="473"/>
      <c r="N856" s="45"/>
      <c r="O856" s="59"/>
      <c r="P856" s="68"/>
      <c r="Q856" s="45"/>
      <c r="R856" s="45"/>
      <c r="S856" s="49"/>
      <c r="T856" s="45"/>
      <c r="U856" s="45"/>
      <c r="V856" s="45"/>
      <c r="W856" s="45"/>
      <c r="X856" s="45"/>
      <c r="Y856" s="45"/>
      <c r="Z856" s="45"/>
      <c r="AA856" s="45"/>
    </row>
    <row r="857" spans="1:27" ht="13">
      <c r="A857" s="54">
        <v>2024</v>
      </c>
      <c r="B857" s="472">
        <v>45553</v>
      </c>
      <c r="C857" s="473" t="s">
        <v>481</v>
      </c>
      <c r="D857" s="473" t="s">
        <v>494</v>
      </c>
      <c r="E857" s="473" t="s">
        <v>521</v>
      </c>
      <c r="F857" s="473" t="s">
        <v>544</v>
      </c>
      <c r="G857" s="473"/>
      <c r="H857" s="476"/>
      <c r="I857" s="476"/>
      <c r="J857" s="476">
        <v>991</v>
      </c>
      <c r="K857" s="476">
        <f>J857-L857</f>
        <v>812.29</v>
      </c>
      <c r="L857" s="476">
        <v>178.71</v>
      </c>
      <c r="M857" s="473"/>
      <c r="N857" s="45"/>
      <c r="O857" s="469" t="s">
        <v>457</v>
      </c>
      <c r="P857" s="470"/>
      <c r="Q857" s="45"/>
      <c r="R857" s="45"/>
      <c r="S857" s="491" t="s">
        <v>669</v>
      </c>
      <c r="T857" s="492"/>
      <c r="U857" s="45"/>
      <c r="V857" s="45"/>
      <c r="W857" s="45"/>
      <c r="X857" s="45"/>
      <c r="Y857" s="45"/>
      <c r="Z857" s="45"/>
      <c r="AA857" s="45"/>
    </row>
    <row r="858" spans="1:27" ht="13">
      <c r="A858" s="54">
        <v>2024</v>
      </c>
      <c r="B858" s="472">
        <v>45553</v>
      </c>
      <c r="C858" s="473" t="s">
        <v>481</v>
      </c>
      <c r="D858" s="475" t="s">
        <v>494</v>
      </c>
      <c r="E858" s="475" t="s">
        <v>502</v>
      </c>
      <c r="F858" s="475" t="s">
        <v>522</v>
      </c>
      <c r="G858" s="476"/>
      <c r="H858" s="476"/>
      <c r="I858" s="476"/>
      <c r="J858" s="476">
        <v>75488</v>
      </c>
      <c r="K858" s="476">
        <v>75488</v>
      </c>
      <c r="L858" s="476"/>
      <c r="M858" s="473"/>
      <c r="N858" s="45"/>
      <c r="O858" s="470">
        <f>SUM(Facturacion!I117:I121)</f>
        <v>120397.94360000001</v>
      </c>
      <c r="P858" s="470"/>
      <c r="Q858" s="45"/>
      <c r="R858" s="45"/>
      <c r="S858" s="491" t="s">
        <v>411</v>
      </c>
      <c r="T858" s="470">
        <f>SUM(K856:K889)</f>
        <v>492143.11</v>
      </c>
      <c r="U858" s="45"/>
      <c r="V858" s="45"/>
      <c r="W858" s="45"/>
      <c r="X858" s="45"/>
      <c r="Y858" s="45"/>
      <c r="Z858" s="45"/>
      <c r="AA858" s="45"/>
    </row>
    <row r="859" spans="1:27" ht="13">
      <c r="A859" s="54">
        <v>2024</v>
      </c>
      <c r="B859" s="472">
        <v>45553</v>
      </c>
      <c r="C859" s="473" t="s">
        <v>481</v>
      </c>
      <c r="D859" s="475" t="s">
        <v>494</v>
      </c>
      <c r="E859" s="475" t="s">
        <v>502</v>
      </c>
      <c r="F859" s="475" t="s">
        <v>543</v>
      </c>
      <c r="G859" s="476"/>
      <c r="H859" s="476"/>
      <c r="I859" s="476"/>
      <c r="J859" s="476">
        <v>4140</v>
      </c>
      <c r="K859" s="476">
        <v>4140</v>
      </c>
      <c r="L859" s="476"/>
      <c r="M859" s="473"/>
      <c r="N859" s="45"/>
      <c r="O859" s="469" t="s">
        <v>461</v>
      </c>
      <c r="P859" s="469" t="s">
        <v>462</v>
      </c>
      <c r="Q859" s="45"/>
      <c r="R859" s="45"/>
      <c r="S859" s="469" t="s">
        <v>584</v>
      </c>
      <c r="T859" s="470">
        <f>SUM(I856:I889)</f>
        <v>6157.8899999999994</v>
      </c>
      <c r="U859" s="45"/>
      <c r="V859" s="45"/>
      <c r="W859" s="45"/>
      <c r="X859" s="45"/>
      <c r="Y859" s="45"/>
      <c r="Z859" s="45"/>
      <c r="AA859" s="45"/>
    </row>
    <row r="860" spans="1:27" ht="13">
      <c r="A860" s="54">
        <v>2024</v>
      </c>
      <c r="B860" s="472">
        <v>45561</v>
      </c>
      <c r="C860" s="473" t="s">
        <v>481</v>
      </c>
      <c r="D860" s="473" t="s">
        <v>494</v>
      </c>
      <c r="E860" s="473" t="s">
        <v>512</v>
      </c>
      <c r="F860" s="473" t="s">
        <v>528</v>
      </c>
      <c r="G860" s="476"/>
      <c r="H860" s="476"/>
      <c r="I860" s="476"/>
      <c r="J860" s="476">
        <v>114320</v>
      </c>
      <c r="K860" s="476">
        <v>114320</v>
      </c>
      <c r="L860" s="476"/>
      <c r="M860" s="473"/>
      <c r="N860" s="45"/>
      <c r="O860" s="470">
        <f>SUM(L854:L889)</f>
        <v>1642.1871999999998</v>
      </c>
      <c r="P860" s="470">
        <f>(O858-O860)+P834</f>
        <v>118755.75640000001</v>
      </c>
      <c r="Q860" s="45"/>
      <c r="R860" s="45"/>
      <c r="S860" s="491"/>
      <c r="T860" s="492"/>
      <c r="U860" s="45"/>
      <c r="V860" s="45"/>
      <c r="W860" s="45"/>
      <c r="X860" s="45"/>
      <c r="Y860" s="45"/>
      <c r="Z860" s="45"/>
      <c r="AA860" s="45"/>
    </row>
    <row r="861" spans="1:27" ht="13">
      <c r="A861" s="54">
        <v>2024</v>
      </c>
      <c r="B861" s="472">
        <v>45561</v>
      </c>
      <c r="C861" s="473" t="s">
        <v>481</v>
      </c>
      <c r="D861" s="473" t="s">
        <v>494</v>
      </c>
      <c r="E861" s="473" t="s">
        <v>512</v>
      </c>
      <c r="F861" s="473" t="s">
        <v>574</v>
      </c>
      <c r="G861" s="476"/>
      <c r="H861" s="476"/>
      <c r="I861" s="476"/>
      <c r="J861" s="476">
        <v>903</v>
      </c>
      <c r="K861" s="476">
        <v>903</v>
      </c>
      <c r="L861" s="476"/>
      <c r="M861" s="473"/>
      <c r="N861" s="45"/>
      <c r="U861" s="45"/>
      <c r="V861" s="45"/>
      <c r="W861" s="45"/>
      <c r="X861" s="45"/>
      <c r="Y861" s="45"/>
      <c r="Z861" s="45"/>
      <c r="AA861" s="45"/>
    </row>
    <row r="862" spans="1:27" ht="13">
      <c r="A862" s="54">
        <v>2024</v>
      </c>
      <c r="B862" s="472">
        <v>45561</v>
      </c>
      <c r="C862" s="473" t="s">
        <v>481</v>
      </c>
      <c r="D862" s="473" t="s">
        <v>493</v>
      </c>
      <c r="E862" s="473" t="s">
        <v>479</v>
      </c>
      <c r="F862" s="475" t="s">
        <v>624</v>
      </c>
      <c r="G862" s="476"/>
      <c r="H862" s="476">
        <v>26.64</v>
      </c>
      <c r="I862" s="476">
        <v>21.84</v>
      </c>
      <c r="J862" s="476"/>
      <c r="K862" s="476"/>
      <c r="L862" s="476">
        <f>4.8*M862</f>
        <v>201.18719999999999</v>
      </c>
      <c r="M862" s="473">
        <v>41.914000000000001</v>
      </c>
      <c r="N862" s="45"/>
      <c r="U862" s="45"/>
      <c r="V862" s="45"/>
      <c r="W862" s="45"/>
      <c r="X862" s="45"/>
      <c r="Y862" s="45"/>
      <c r="Z862" s="45"/>
      <c r="AA862" s="45"/>
    </row>
    <row r="863" spans="1:27" ht="13">
      <c r="A863" s="54">
        <v>2024</v>
      </c>
      <c r="B863" s="472">
        <v>45561</v>
      </c>
      <c r="C863" s="473" t="s">
        <v>481</v>
      </c>
      <c r="D863" s="473" t="s">
        <v>493</v>
      </c>
      <c r="E863" s="473" t="s">
        <v>479</v>
      </c>
      <c r="F863" s="473" t="s">
        <v>480</v>
      </c>
      <c r="G863" s="476"/>
      <c r="H863" s="476">
        <v>1.9</v>
      </c>
      <c r="I863" s="476">
        <v>1.9</v>
      </c>
      <c r="J863" s="476"/>
      <c r="K863" s="476"/>
      <c r="L863" s="476"/>
      <c r="M863" s="473"/>
      <c r="N863" s="45"/>
      <c r="U863" s="45"/>
      <c r="V863" s="45"/>
      <c r="W863" s="45"/>
      <c r="X863" s="45"/>
      <c r="Y863" s="45"/>
      <c r="Z863" s="45"/>
      <c r="AA863" s="45"/>
    </row>
    <row r="864" spans="1:27" ht="13">
      <c r="A864" s="54">
        <v>2024</v>
      </c>
      <c r="B864" s="472">
        <v>45562</v>
      </c>
      <c r="C864" s="473" t="s">
        <v>481</v>
      </c>
      <c r="D864" s="473" t="s">
        <v>484</v>
      </c>
      <c r="E864" s="473" t="s">
        <v>479</v>
      </c>
      <c r="F864" s="473" t="s">
        <v>480</v>
      </c>
      <c r="G864" s="476"/>
      <c r="H864" s="476">
        <v>40</v>
      </c>
      <c r="I864" s="476">
        <v>40</v>
      </c>
      <c r="J864" s="476"/>
      <c r="K864" s="476"/>
      <c r="L864" s="476"/>
      <c r="M864" s="473"/>
      <c r="N864" s="45"/>
      <c r="U864" s="45"/>
      <c r="V864" s="45"/>
      <c r="W864" s="45"/>
      <c r="X864" s="45"/>
      <c r="Y864" s="45"/>
      <c r="Z864" s="45"/>
      <c r="AA864" s="45"/>
    </row>
    <row r="865" spans="1:27" ht="13">
      <c r="A865" s="54">
        <v>2024</v>
      </c>
      <c r="B865" s="472">
        <v>45565</v>
      </c>
      <c r="C865" s="473" t="s">
        <v>481</v>
      </c>
      <c r="D865" s="473" t="s">
        <v>489</v>
      </c>
      <c r="E865" s="473" t="s">
        <v>463</v>
      </c>
      <c r="F865" s="473" t="s">
        <v>464</v>
      </c>
      <c r="G865" s="476"/>
      <c r="H865" s="476"/>
      <c r="I865" s="476"/>
      <c r="J865" s="476">
        <v>7000</v>
      </c>
      <c r="K865" s="476">
        <v>5737.7</v>
      </c>
      <c r="L865" s="476">
        <v>1262.29</v>
      </c>
      <c r="M865" s="473"/>
      <c r="N865" s="45"/>
      <c r="U865" s="45"/>
      <c r="V865" s="45"/>
      <c r="W865" s="45"/>
      <c r="X865" s="45"/>
      <c r="Y865" s="45"/>
      <c r="Z865" s="45"/>
      <c r="AA865" s="45"/>
    </row>
    <row r="866" spans="1:27" ht="13">
      <c r="A866" s="54">
        <v>2024</v>
      </c>
      <c r="B866" s="472">
        <v>45565</v>
      </c>
      <c r="C866" s="473" t="s">
        <v>481</v>
      </c>
      <c r="D866" s="473" t="s">
        <v>493</v>
      </c>
      <c r="E866" s="473" t="s">
        <v>479</v>
      </c>
      <c r="F866" s="473" t="s">
        <v>539</v>
      </c>
      <c r="G866" s="473"/>
      <c r="H866" s="476"/>
      <c r="I866" s="476"/>
      <c r="J866" s="476">
        <v>824.12</v>
      </c>
      <c r="K866" s="476">
        <v>824.12</v>
      </c>
      <c r="L866" s="476"/>
      <c r="M866" s="473"/>
      <c r="N866" s="45"/>
      <c r="U866" s="45"/>
      <c r="V866" s="45"/>
      <c r="W866" s="45"/>
      <c r="X866" s="45"/>
      <c r="Y866" s="45"/>
      <c r="Z866" s="45"/>
      <c r="AA866" s="45"/>
    </row>
    <row r="867" spans="1:27" ht="13">
      <c r="A867" s="54">
        <v>2024</v>
      </c>
      <c r="B867" s="472">
        <v>45565</v>
      </c>
      <c r="C867" s="473" t="s">
        <v>481</v>
      </c>
      <c r="D867" s="473" t="s">
        <v>484</v>
      </c>
      <c r="E867" s="473" t="s">
        <v>644</v>
      </c>
      <c r="F867" s="473" t="s">
        <v>488</v>
      </c>
      <c r="G867" s="476"/>
      <c r="H867" s="476"/>
      <c r="I867" s="476"/>
      <c r="J867" s="476">
        <v>68640</v>
      </c>
      <c r="K867" s="476">
        <v>68640</v>
      </c>
      <c r="L867" s="476"/>
      <c r="M867" s="473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 spans="1:27" ht="13">
      <c r="A868" s="54">
        <v>2024</v>
      </c>
      <c r="B868" s="472">
        <v>45565</v>
      </c>
      <c r="C868" s="473" t="s">
        <v>481</v>
      </c>
      <c r="D868" s="473" t="s">
        <v>482</v>
      </c>
      <c r="E868" s="473" t="s">
        <v>495</v>
      </c>
      <c r="F868" s="473" t="s">
        <v>496</v>
      </c>
      <c r="G868" s="476"/>
      <c r="H868" s="474"/>
      <c r="I868" s="474"/>
      <c r="J868" s="476">
        <v>220014</v>
      </c>
      <c r="K868" s="476">
        <v>220014</v>
      </c>
      <c r="L868" s="476"/>
      <c r="M868" s="473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 spans="1:27" ht="13">
      <c r="A869" s="54">
        <v>2024</v>
      </c>
      <c r="B869" s="472">
        <v>45565</v>
      </c>
      <c r="C869" s="473" t="s">
        <v>679</v>
      </c>
      <c r="D869" s="473" t="s">
        <v>482</v>
      </c>
      <c r="E869" s="473" t="s">
        <v>680</v>
      </c>
      <c r="F869" s="473" t="s">
        <v>459</v>
      </c>
      <c r="G869" s="476"/>
      <c r="H869" s="476">
        <v>404</v>
      </c>
      <c r="I869" s="476">
        <v>404</v>
      </c>
      <c r="J869" s="476"/>
      <c r="K869" s="476"/>
      <c r="L869" s="476"/>
      <c r="M869" s="473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 spans="1:27" ht="13">
      <c r="A870" s="54">
        <v>2024</v>
      </c>
      <c r="B870" s="472">
        <v>45565</v>
      </c>
      <c r="C870" s="473" t="s">
        <v>474</v>
      </c>
      <c r="D870" s="473" t="s">
        <v>482</v>
      </c>
      <c r="E870" s="473" t="s">
        <v>483</v>
      </c>
      <c r="F870" s="473" t="s">
        <v>459</v>
      </c>
      <c r="G870" s="476"/>
      <c r="H870" s="476">
        <v>1300</v>
      </c>
      <c r="I870" s="476">
        <v>1300</v>
      </c>
      <c r="J870" s="476"/>
      <c r="K870" s="476"/>
      <c r="L870" s="476"/>
      <c r="M870" s="473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 spans="1:27" ht="13">
      <c r="A871" s="54">
        <v>2024</v>
      </c>
      <c r="B871" s="472">
        <v>45565</v>
      </c>
      <c r="C871" s="473" t="s">
        <v>474</v>
      </c>
      <c r="D871" s="473" t="s">
        <v>482</v>
      </c>
      <c r="E871" s="473" t="s">
        <v>535</v>
      </c>
      <c r="F871" s="473" t="s">
        <v>459</v>
      </c>
      <c r="G871" s="476"/>
      <c r="H871" s="476">
        <v>1300</v>
      </c>
      <c r="I871" s="476">
        <v>1300</v>
      </c>
      <c r="J871" s="476"/>
      <c r="K871" s="476"/>
      <c r="L871" s="476"/>
      <c r="M871" s="473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 spans="1:27" ht="13">
      <c r="A872" s="54">
        <v>2024</v>
      </c>
      <c r="B872" s="472">
        <v>45565</v>
      </c>
      <c r="C872" s="473" t="s">
        <v>474</v>
      </c>
      <c r="D872" s="473" t="s">
        <v>482</v>
      </c>
      <c r="E872" s="473" t="s">
        <v>541</v>
      </c>
      <c r="F872" s="473" t="s">
        <v>459</v>
      </c>
      <c r="G872" s="476"/>
      <c r="H872" s="476">
        <v>1300</v>
      </c>
      <c r="I872" s="476">
        <v>1300</v>
      </c>
      <c r="J872" s="476"/>
      <c r="K872" s="476"/>
      <c r="L872" s="476"/>
      <c r="M872" s="473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 spans="1:27" ht="13">
      <c r="A873" s="54">
        <v>2024</v>
      </c>
      <c r="B873" s="472">
        <v>45565</v>
      </c>
      <c r="C873" s="473" t="s">
        <v>474</v>
      </c>
      <c r="D873" s="473" t="s">
        <v>482</v>
      </c>
      <c r="E873" s="473" t="s">
        <v>537</v>
      </c>
      <c r="F873" s="473" t="s">
        <v>459</v>
      </c>
      <c r="G873" s="476"/>
      <c r="H873" s="476">
        <v>900</v>
      </c>
      <c r="I873" s="476">
        <v>900</v>
      </c>
      <c r="J873" s="476"/>
      <c r="K873" s="476"/>
      <c r="L873" s="476"/>
      <c r="M873" s="473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 spans="1:27" ht="13">
      <c r="A874" s="54">
        <v>2024</v>
      </c>
      <c r="B874" s="472">
        <v>45565</v>
      </c>
      <c r="C874" s="473" t="s">
        <v>679</v>
      </c>
      <c r="D874" s="473" t="s">
        <v>478</v>
      </c>
      <c r="E874" s="473" t="s">
        <v>701</v>
      </c>
      <c r="F874" s="473" t="s">
        <v>539</v>
      </c>
      <c r="G874" s="495"/>
      <c r="H874" s="474">
        <f t="shared" ref="H874:I874" si="51">46.5/4</f>
        <v>11.625</v>
      </c>
      <c r="I874" s="474">
        <f t="shared" si="51"/>
        <v>11.625</v>
      </c>
      <c r="J874" s="476"/>
      <c r="K874" s="476"/>
      <c r="L874" s="476"/>
      <c r="M874" s="473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 spans="1:27" ht="13">
      <c r="A875" s="54">
        <v>2024</v>
      </c>
      <c r="B875" s="472">
        <v>45565</v>
      </c>
      <c r="C875" s="473" t="s">
        <v>474</v>
      </c>
      <c r="D875" s="473" t="s">
        <v>478</v>
      </c>
      <c r="E875" s="473" t="s">
        <v>701</v>
      </c>
      <c r="F875" s="473" t="s">
        <v>539</v>
      </c>
      <c r="G875" s="495"/>
      <c r="H875" s="474">
        <f t="shared" ref="H875:I875" si="52">46.5/4*3</f>
        <v>34.875</v>
      </c>
      <c r="I875" s="474">
        <f t="shared" si="52"/>
        <v>34.875</v>
      </c>
      <c r="J875" s="476"/>
      <c r="K875" s="476"/>
      <c r="L875" s="476"/>
      <c r="M875" s="473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 spans="1:27" ht="13">
      <c r="A876" s="54">
        <v>2024</v>
      </c>
      <c r="B876" s="472">
        <v>45565</v>
      </c>
      <c r="C876" s="473" t="s">
        <v>481</v>
      </c>
      <c r="D876" s="473" t="s">
        <v>491</v>
      </c>
      <c r="E876" s="473" t="s">
        <v>601</v>
      </c>
      <c r="F876" s="473" t="s">
        <v>576</v>
      </c>
      <c r="G876" s="473"/>
      <c r="H876" s="476">
        <v>148.54</v>
      </c>
      <c r="I876" s="476">
        <v>148.54</v>
      </c>
      <c r="J876" s="476"/>
      <c r="K876" s="476"/>
      <c r="L876" s="476"/>
      <c r="M876" s="473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 spans="1:27" ht="13">
      <c r="A877" s="54">
        <v>2024</v>
      </c>
      <c r="B877" s="472">
        <v>45565</v>
      </c>
      <c r="C877" s="473" t="s">
        <v>481</v>
      </c>
      <c r="D877" s="473" t="s">
        <v>491</v>
      </c>
      <c r="E877" s="473" t="s">
        <v>638</v>
      </c>
      <c r="F877" s="473" t="s">
        <v>576</v>
      </c>
      <c r="G877" s="473"/>
      <c r="H877" s="476">
        <v>94.52</v>
      </c>
      <c r="I877" s="476">
        <v>94.52</v>
      </c>
      <c r="J877" s="476"/>
      <c r="K877" s="476"/>
      <c r="L877" s="476"/>
      <c r="M877" s="473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 spans="1:27" ht="13">
      <c r="A878" s="54">
        <v>2024</v>
      </c>
      <c r="B878" s="472">
        <v>45565</v>
      </c>
      <c r="C878" s="473" t="s">
        <v>481</v>
      </c>
      <c r="D878" s="473" t="s">
        <v>491</v>
      </c>
      <c r="E878" s="496" t="s">
        <v>654</v>
      </c>
      <c r="F878" s="473" t="s">
        <v>576</v>
      </c>
      <c r="G878" s="473"/>
      <c r="H878" s="476">
        <f t="shared" ref="H878:I878" si="53">39.7+38.43</f>
        <v>78.13</v>
      </c>
      <c r="I878" s="476">
        <f t="shared" si="53"/>
        <v>78.13</v>
      </c>
      <c r="J878" s="476"/>
      <c r="K878" s="476"/>
      <c r="L878" s="476"/>
      <c r="M878" s="473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 spans="1:27" ht="13">
      <c r="A879" s="54">
        <v>2024</v>
      </c>
      <c r="B879" s="472">
        <v>45565</v>
      </c>
      <c r="C879" s="473" t="s">
        <v>481</v>
      </c>
      <c r="D879" s="473" t="s">
        <v>491</v>
      </c>
      <c r="E879" s="473" t="s">
        <v>534</v>
      </c>
      <c r="F879" s="473" t="s">
        <v>576</v>
      </c>
      <c r="G879" s="473"/>
      <c r="H879" s="476">
        <v>15.99</v>
      </c>
      <c r="I879" s="476">
        <v>15.99</v>
      </c>
      <c r="J879" s="476"/>
      <c r="K879" s="476"/>
      <c r="L879" s="476"/>
      <c r="M879" s="473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 spans="1:27" ht="13">
      <c r="A880" s="54">
        <v>2024</v>
      </c>
      <c r="B880" s="472">
        <v>45565</v>
      </c>
      <c r="C880" s="473" t="s">
        <v>481</v>
      </c>
      <c r="D880" s="473" t="s">
        <v>491</v>
      </c>
      <c r="E880" s="473" t="s">
        <v>633</v>
      </c>
      <c r="F880" s="473" t="s">
        <v>576</v>
      </c>
      <c r="G880" s="473"/>
      <c r="H880" s="476">
        <v>43.2</v>
      </c>
      <c r="I880" s="476">
        <v>43.2</v>
      </c>
      <c r="J880" s="476"/>
      <c r="K880" s="476"/>
      <c r="L880" s="476"/>
      <c r="M880" s="473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 spans="1:27" ht="13">
      <c r="A881" s="54">
        <v>2024</v>
      </c>
      <c r="B881" s="472">
        <v>45565</v>
      </c>
      <c r="C881" s="473" t="s">
        <v>481</v>
      </c>
      <c r="D881" s="473" t="s">
        <v>491</v>
      </c>
      <c r="E881" s="473" t="s">
        <v>602</v>
      </c>
      <c r="F881" s="473" t="s">
        <v>576</v>
      </c>
      <c r="G881" s="473"/>
      <c r="H881" s="476">
        <v>209.63</v>
      </c>
      <c r="I881" s="476">
        <v>209.63</v>
      </c>
      <c r="J881" s="476"/>
      <c r="K881" s="476"/>
      <c r="L881" s="476"/>
      <c r="M881" s="473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 spans="1:27" ht="13">
      <c r="A882" s="54">
        <v>2024</v>
      </c>
      <c r="B882" s="472">
        <v>45565</v>
      </c>
      <c r="C882" s="473" t="s">
        <v>481</v>
      </c>
      <c r="D882" s="473" t="s">
        <v>491</v>
      </c>
      <c r="E882" s="473" t="s">
        <v>591</v>
      </c>
      <c r="F882" s="473" t="s">
        <v>576</v>
      </c>
      <c r="G882" s="473"/>
      <c r="H882" s="476">
        <v>20</v>
      </c>
      <c r="I882" s="476">
        <v>20</v>
      </c>
      <c r="J882" s="476"/>
      <c r="K882" s="476"/>
      <c r="L882" s="476"/>
      <c r="M882" s="473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 spans="1:27" ht="13">
      <c r="A883" s="54">
        <v>2024</v>
      </c>
      <c r="B883" s="472">
        <v>45565</v>
      </c>
      <c r="C883" s="473" t="s">
        <v>481</v>
      </c>
      <c r="D883" s="473" t="s">
        <v>491</v>
      </c>
      <c r="E883" s="473" t="s">
        <v>498</v>
      </c>
      <c r="F883" s="473" t="s">
        <v>576</v>
      </c>
      <c r="G883" s="473"/>
      <c r="H883" s="476">
        <v>8.65</v>
      </c>
      <c r="I883" s="476">
        <v>8.65</v>
      </c>
      <c r="J883" s="476"/>
      <c r="K883" s="476"/>
      <c r="L883" s="476"/>
      <c r="M883" s="473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 spans="1:27" ht="13">
      <c r="A884" s="54">
        <v>2024</v>
      </c>
      <c r="B884" s="472">
        <v>45565</v>
      </c>
      <c r="C884" s="473" t="s">
        <v>481</v>
      </c>
      <c r="D884" s="473" t="s">
        <v>491</v>
      </c>
      <c r="E884" s="473" t="s">
        <v>639</v>
      </c>
      <c r="F884" s="473" t="s">
        <v>576</v>
      </c>
      <c r="G884" s="473"/>
      <c r="H884" s="476">
        <v>15</v>
      </c>
      <c r="I884" s="476">
        <v>15</v>
      </c>
      <c r="J884" s="476"/>
      <c r="K884" s="476"/>
      <c r="L884" s="476"/>
      <c r="M884" s="473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 spans="1:27" ht="13">
      <c r="A885" s="54">
        <v>2024</v>
      </c>
      <c r="B885" s="472">
        <v>45565</v>
      </c>
      <c r="C885" s="473" t="s">
        <v>481</v>
      </c>
      <c r="D885" s="473" t="s">
        <v>491</v>
      </c>
      <c r="E885" s="473" t="s">
        <v>592</v>
      </c>
      <c r="F885" s="473" t="s">
        <v>576</v>
      </c>
      <c r="G885" s="473"/>
      <c r="H885" s="476">
        <v>52</v>
      </c>
      <c r="I885" s="476">
        <v>52</v>
      </c>
      <c r="J885" s="476"/>
      <c r="K885" s="476"/>
      <c r="L885" s="476"/>
      <c r="M885" s="473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 spans="1:27" ht="13">
      <c r="A886" s="54">
        <v>2024</v>
      </c>
      <c r="B886" s="472">
        <v>45565</v>
      </c>
      <c r="C886" s="473" t="s">
        <v>481</v>
      </c>
      <c r="D886" s="473" t="s">
        <v>491</v>
      </c>
      <c r="E886" s="496" t="s">
        <v>709</v>
      </c>
      <c r="F886" s="473" t="s">
        <v>576</v>
      </c>
      <c r="G886" s="473"/>
      <c r="H886" s="476">
        <v>20</v>
      </c>
      <c r="I886" s="476">
        <v>20</v>
      </c>
      <c r="J886" s="476"/>
      <c r="K886" s="476"/>
      <c r="L886" s="476"/>
      <c r="M886" s="473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 spans="1:27" ht="13">
      <c r="A887" s="54">
        <v>2024</v>
      </c>
      <c r="B887" s="472">
        <v>45565</v>
      </c>
      <c r="C887" s="473" t="s">
        <v>481</v>
      </c>
      <c r="D887" s="473" t="s">
        <v>491</v>
      </c>
      <c r="E887" s="473" t="s">
        <v>646</v>
      </c>
      <c r="F887" s="473" t="s">
        <v>549</v>
      </c>
      <c r="G887" s="473"/>
      <c r="H887" s="476">
        <v>21.99</v>
      </c>
      <c r="I887" s="476">
        <v>21.99</v>
      </c>
      <c r="J887" s="476"/>
      <c r="K887" s="476"/>
      <c r="L887" s="476"/>
      <c r="M887" s="473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 spans="1:27" ht="13">
      <c r="A888" s="54">
        <v>2024</v>
      </c>
      <c r="B888" s="472">
        <v>45565</v>
      </c>
      <c r="C888" s="473" t="s">
        <v>679</v>
      </c>
      <c r="D888" s="473" t="s">
        <v>478</v>
      </c>
      <c r="E888" s="473" t="s">
        <v>479</v>
      </c>
      <c r="F888" s="473" t="s">
        <v>480</v>
      </c>
      <c r="G888" s="476"/>
      <c r="H888" s="474">
        <v>19</v>
      </c>
      <c r="I888" s="474">
        <v>19</v>
      </c>
      <c r="J888" s="476"/>
      <c r="K888" s="476"/>
      <c r="L888" s="476"/>
      <c r="M888" s="473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 spans="1:27" ht="13">
      <c r="A889" s="527">
        <v>2024</v>
      </c>
      <c r="B889" s="472">
        <v>45565</v>
      </c>
      <c r="C889" s="473" t="s">
        <v>474</v>
      </c>
      <c r="D889" s="473" t="s">
        <v>478</v>
      </c>
      <c r="E889" s="473" t="s">
        <v>479</v>
      </c>
      <c r="F889" s="473" t="s">
        <v>480</v>
      </c>
      <c r="G889" s="476"/>
      <c r="H889" s="474">
        <f t="shared" ref="H889:I889" si="54">40+57</f>
        <v>97</v>
      </c>
      <c r="I889" s="474">
        <f t="shared" si="54"/>
        <v>97</v>
      </c>
      <c r="J889" s="476"/>
      <c r="K889" s="476"/>
      <c r="L889" s="476"/>
      <c r="M889" s="473"/>
      <c r="N889" s="492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 spans="1:27" ht="13">
      <c r="A890" s="54">
        <v>2024</v>
      </c>
      <c r="B890" s="353">
        <v>45566</v>
      </c>
      <c r="C890" s="354" t="s">
        <v>481</v>
      </c>
      <c r="D890" s="354" t="s">
        <v>493</v>
      </c>
      <c r="E890" s="354" t="s">
        <v>479</v>
      </c>
      <c r="F890" s="354" t="s">
        <v>480</v>
      </c>
      <c r="G890" s="354"/>
      <c r="H890" s="355">
        <v>25</v>
      </c>
      <c r="I890" s="355">
        <v>25</v>
      </c>
      <c r="J890" s="355"/>
      <c r="K890" s="355"/>
      <c r="L890" s="355"/>
      <c r="M890" s="354"/>
      <c r="N890" s="45"/>
      <c r="U890" s="45"/>
      <c r="V890" s="45"/>
      <c r="W890" s="45"/>
      <c r="X890" s="45"/>
      <c r="Y890" s="45"/>
      <c r="Z890" s="45"/>
      <c r="AA890" s="45"/>
    </row>
    <row r="891" spans="1:27" ht="13">
      <c r="A891" s="54">
        <v>2024</v>
      </c>
      <c r="B891" s="353">
        <v>45572</v>
      </c>
      <c r="C891" s="354" t="s">
        <v>481</v>
      </c>
      <c r="D891" s="354" t="s">
        <v>493</v>
      </c>
      <c r="E891" s="354" t="s">
        <v>479</v>
      </c>
      <c r="F891" s="354" t="s">
        <v>660</v>
      </c>
      <c r="G891" s="354"/>
      <c r="H891" s="355"/>
      <c r="I891" s="355"/>
      <c r="J891" s="355">
        <v>4519.3500000000004</v>
      </c>
      <c r="K891" s="355">
        <v>4519.3500000000004</v>
      </c>
      <c r="L891" s="355"/>
      <c r="M891" s="354"/>
      <c r="N891" s="45"/>
      <c r="U891" s="45"/>
      <c r="V891" s="45"/>
      <c r="W891" s="45"/>
      <c r="X891" s="45"/>
      <c r="Y891" s="45"/>
      <c r="Z891" s="45"/>
      <c r="AA891" s="45"/>
    </row>
    <row r="892" spans="1:27" ht="13">
      <c r="A892" s="54">
        <v>2024</v>
      </c>
      <c r="B892" s="353">
        <v>45575</v>
      </c>
      <c r="C892" s="354" t="s">
        <v>481</v>
      </c>
      <c r="D892" s="354" t="s">
        <v>489</v>
      </c>
      <c r="E892" s="354" t="s">
        <v>521</v>
      </c>
      <c r="F892" s="354" t="s">
        <v>579</v>
      </c>
      <c r="G892" s="354"/>
      <c r="H892" s="355">
        <v>197.59</v>
      </c>
      <c r="I892" s="528">
        <v>161.96</v>
      </c>
      <c r="J892" s="355"/>
      <c r="K892" s="355"/>
      <c r="L892" s="355">
        <f>35.63*M892</f>
        <v>1489.1914800000002</v>
      </c>
      <c r="M892" s="354">
        <v>41.795999999999999</v>
      </c>
      <c r="N892" s="45"/>
      <c r="U892" s="45"/>
      <c r="V892" s="45"/>
      <c r="W892" s="45"/>
      <c r="X892" s="45"/>
      <c r="Y892" s="45"/>
      <c r="Z892" s="45"/>
      <c r="AA892" s="45"/>
    </row>
    <row r="893" spans="1:27" ht="13">
      <c r="A893" s="54">
        <v>2024</v>
      </c>
      <c r="B893" s="353">
        <v>45575</v>
      </c>
      <c r="C893" s="354" t="s">
        <v>481</v>
      </c>
      <c r="D893" s="354" t="s">
        <v>493</v>
      </c>
      <c r="E893" s="354" t="s">
        <v>479</v>
      </c>
      <c r="F893" s="354" t="s">
        <v>480</v>
      </c>
      <c r="G893" s="354"/>
      <c r="H893" s="355">
        <v>25</v>
      </c>
      <c r="I893" s="355">
        <v>25</v>
      </c>
      <c r="J893" s="355"/>
      <c r="K893" s="529"/>
      <c r="L893" s="529"/>
      <c r="M893" s="354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 spans="1:27" ht="13">
      <c r="A894" s="54">
        <v>2024</v>
      </c>
      <c r="B894" s="353">
        <v>45576</v>
      </c>
      <c r="C894" s="354" t="s">
        <v>481</v>
      </c>
      <c r="D894" s="354" t="s">
        <v>493</v>
      </c>
      <c r="E894" s="354" t="s">
        <v>710</v>
      </c>
      <c r="F894" s="354" t="s">
        <v>711</v>
      </c>
      <c r="G894" s="354"/>
      <c r="H894" s="355"/>
      <c r="I894" s="355"/>
      <c r="J894" s="530">
        <v>4760</v>
      </c>
      <c r="K894" s="483">
        <v>3901.64</v>
      </c>
      <c r="L894" s="483">
        <v>858.36</v>
      </c>
      <c r="M894" s="531"/>
      <c r="N894" s="45"/>
      <c r="O894" s="469" t="s">
        <v>457</v>
      </c>
      <c r="P894" s="470"/>
      <c r="Q894" s="45"/>
      <c r="R894" s="45"/>
      <c r="S894" s="491" t="s">
        <v>669</v>
      </c>
      <c r="T894" s="492"/>
      <c r="U894" s="45"/>
      <c r="V894" s="45"/>
      <c r="W894" s="45"/>
      <c r="X894" s="45"/>
      <c r="Y894" s="45"/>
      <c r="Z894" s="45"/>
      <c r="AA894" s="45"/>
    </row>
    <row r="895" spans="1:27" ht="13">
      <c r="A895" s="54">
        <v>2024</v>
      </c>
      <c r="B895" s="353">
        <v>45576</v>
      </c>
      <c r="C895" s="354" t="s">
        <v>481</v>
      </c>
      <c r="D895" s="354" t="s">
        <v>493</v>
      </c>
      <c r="E895" s="354" t="s">
        <v>710</v>
      </c>
      <c r="F895" s="354" t="s">
        <v>712</v>
      </c>
      <c r="G895" s="354"/>
      <c r="H895" s="355"/>
      <c r="I895" s="355"/>
      <c r="J895" s="530">
        <v>2620</v>
      </c>
      <c r="K895" s="355">
        <f>J895-L895</f>
        <v>2147.54</v>
      </c>
      <c r="L895" s="483">
        <v>472.46</v>
      </c>
      <c r="M895" s="354"/>
      <c r="N895" s="45"/>
      <c r="O895" s="470">
        <f>SUM(Facturacion!I122:I126)</f>
        <v>158129.90819999998</v>
      </c>
      <c r="P895" s="470"/>
      <c r="Q895" s="45"/>
      <c r="R895" s="45"/>
      <c r="S895" s="491" t="s">
        <v>411</v>
      </c>
      <c r="T895" s="470">
        <f>SUM(K890:K925)</f>
        <v>304253.65000000002</v>
      </c>
      <c r="U895" s="45"/>
      <c r="V895" s="45"/>
      <c r="W895" s="45"/>
      <c r="X895" s="45"/>
      <c r="Y895" s="45"/>
      <c r="Z895" s="45"/>
      <c r="AA895" s="45"/>
    </row>
    <row r="896" spans="1:27" ht="13">
      <c r="A896" s="54">
        <v>2024</v>
      </c>
      <c r="B896" s="353">
        <v>45581</v>
      </c>
      <c r="C896" s="354" t="s">
        <v>481</v>
      </c>
      <c r="D896" s="354" t="s">
        <v>489</v>
      </c>
      <c r="E896" s="354" t="s">
        <v>521</v>
      </c>
      <c r="F896" s="354" t="s">
        <v>713</v>
      </c>
      <c r="G896" s="354"/>
      <c r="H896" s="355">
        <v>-19.149999999999999</v>
      </c>
      <c r="I896" s="355">
        <v>-15.7</v>
      </c>
      <c r="J896" s="355"/>
      <c r="K896" s="355"/>
      <c r="L896" s="355">
        <f>-3.45*M896</f>
        <v>-143.82705000000001</v>
      </c>
      <c r="M896" s="354">
        <v>41.689</v>
      </c>
      <c r="N896" s="45"/>
      <c r="O896" s="469" t="s">
        <v>461</v>
      </c>
      <c r="P896" s="469" t="s">
        <v>462</v>
      </c>
      <c r="Q896" s="45"/>
      <c r="R896" s="45"/>
      <c r="S896" s="469" t="s">
        <v>584</v>
      </c>
      <c r="T896" s="470">
        <f>SUM(I890:I925)</f>
        <v>7747.46</v>
      </c>
      <c r="U896" s="45"/>
      <c r="V896" s="45"/>
      <c r="W896" s="45"/>
      <c r="X896" s="45"/>
      <c r="Y896" s="45"/>
      <c r="Z896" s="45"/>
      <c r="AA896" s="45"/>
    </row>
    <row r="897" spans="1:27" ht="13">
      <c r="A897" s="54">
        <v>2024</v>
      </c>
      <c r="B897" s="353">
        <v>45583</v>
      </c>
      <c r="C897" s="354" t="s">
        <v>481</v>
      </c>
      <c r="D897" s="354" t="s">
        <v>494</v>
      </c>
      <c r="E897" s="354" t="s">
        <v>521</v>
      </c>
      <c r="F897" s="354" t="s">
        <v>544</v>
      </c>
      <c r="G897" s="354"/>
      <c r="H897" s="355"/>
      <c r="I897" s="355"/>
      <c r="J897" s="355">
        <v>953</v>
      </c>
      <c r="K897" s="355">
        <v>781.34</v>
      </c>
      <c r="L897" s="355">
        <v>171.89</v>
      </c>
      <c r="M897" s="354"/>
      <c r="N897" s="45"/>
      <c r="O897" s="470">
        <f>SUM(L890:L925)</f>
        <v>4515.5454300000001</v>
      </c>
      <c r="P897" s="470">
        <f>(O895-O897)</f>
        <v>153614.36276999998</v>
      </c>
      <c r="Q897" s="45"/>
      <c r="R897" s="45"/>
      <c r="S897" s="491"/>
      <c r="T897" s="492"/>
      <c r="U897" s="45"/>
      <c r="V897" s="45"/>
      <c r="W897" s="45"/>
      <c r="X897" s="45"/>
      <c r="Y897" s="45"/>
      <c r="Z897" s="45"/>
      <c r="AA897" s="45"/>
    </row>
    <row r="898" spans="1:27" ht="13">
      <c r="A898" s="54">
        <v>2024</v>
      </c>
      <c r="B898" s="353">
        <v>45593</v>
      </c>
      <c r="C898" s="354" t="s">
        <v>481</v>
      </c>
      <c r="D898" s="354" t="s">
        <v>493</v>
      </c>
      <c r="E898" s="354" t="s">
        <v>479</v>
      </c>
      <c r="F898" s="481" t="s">
        <v>624</v>
      </c>
      <c r="G898" s="354"/>
      <c r="H898" s="355">
        <v>54.09</v>
      </c>
      <c r="I898" s="355">
        <v>44.34</v>
      </c>
      <c r="J898" s="355"/>
      <c r="K898" s="355"/>
      <c r="L898" s="355">
        <f>9.75*M898</f>
        <v>405.17099999999999</v>
      </c>
      <c r="M898" s="354">
        <v>41.555999999999997</v>
      </c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 spans="1:27" ht="13">
      <c r="A899" s="54">
        <v>2024</v>
      </c>
      <c r="B899" s="353">
        <v>45596</v>
      </c>
      <c r="C899" s="354" t="s">
        <v>481</v>
      </c>
      <c r="D899" s="354" t="s">
        <v>493</v>
      </c>
      <c r="E899" s="354" t="s">
        <v>63</v>
      </c>
      <c r="F899" s="354" t="s">
        <v>539</v>
      </c>
      <c r="G899" s="354"/>
      <c r="H899" s="355"/>
      <c r="I899" s="355"/>
      <c r="J899" s="355">
        <v>827.08</v>
      </c>
      <c r="K899" s="355">
        <v>827.08</v>
      </c>
      <c r="L899" s="355"/>
      <c r="M899" s="354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 spans="1:27" ht="13">
      <c r="A900" s="54">
        <v>2024</v>
      </c>
      <c r="B900" s="353">
        <v>45596</v>
      </c>
      <c r="C900" s="354" t="s">
        <v>481</v>
      </c>
      <c r="D900" s="354" t="s">
        <v>484</v>
      </c>
      <c r="E900" s="354" t="s">
        <v>644</v>
      </c>
      <c r="F900" s="354" t="s">
        <v>488</v>
      </c>
      <c r="G900" s="355"/>
      <c r="H900" s="355"/>
      <c r="I900" s="355"/>
      <c r="J900" s="355">
        <v>66325</v>
      </c>
      <c r="K900" s="355">
        <v>66325</v>
      </c>
      <c r="L900" s="355"/>
      <c r="M900" s="354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 spans="1:27" ht="13">
      <c r="A901" s="54">
        <v>2024</v>
      </c>
      <c r="B901" s="353">
        <v>45596</v>
      </c>
      <c r="C901" s="354" t="s">
        <v>481</v>
      </c>
      <c r="D901" s="354" t="s">
        <v>482</v>
      </c>
      <c r="E901" s="354" t="s">
        <v>495</v>
      </c>
      <c r="F901" s="354" t="s">
        <v>496</v>
      </c>
      <c r="G901" s="355"/>
      <c r="H901" s="483"/>
      <c r="I901" s="483"/>
      <c r="J901" s="355">
        <v>220014</v>
      </c>
      <c r="K901" s="355">
        <v>220014</v>
      </c>
      <c r="L901" s="355"/>
      <c r="M901" s="354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 spans="1:27" ht="13">
      <c r="A902" s="54">
        <v>2024</v>
      </c>
      <c r="B902" s="353">
        <v>45596</v>
      </c>
      <c r="C902" s="354" t="s">
        <v>679</v>
      </c>
      <c r="D902" s="354" t="s">
        <v>482</v>
      </c>
      <c r="E902" s="354" t="s">
        <v>680</v>
      </c>
      <c r="F902" s="354" t="s">
        <v>459</v>
      </c>
      <c r="G902" s="355"/>
      <c r="H902" s="355">
        <v>1100</v>
      </c>
      <c r="I902" s="355">
        <v>1100</v>
      </c>
      <c r="J902" s="355"/>
      <c r="K902" s="355"/>
      <c r="L902" s="355"/>
      <c r="M902" s="354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 spans="1:27" ht="13">
      <c r="A903" s="54">
        <v>2024</v>
      </c>
      <c r="B903" s="353">
        <v>45596</v>
      </c>
      <c r="C903" s="354" t="s">
        <v>474</v>
      </c>
      <c r="D903" s="354" t="s">
        <v>482</v>
      </c>
      <c r="E903" s="354" t="s">
        <v>483</v>
      </c>
      <c r="F903" s="354" t="s">
        <v>459</v>
      </c>
      <c r="G903" s="355"/>
      <c r="H903" s="355">
        <v>1300</v>
      </c>
      <c r="I903" s="355">
        <v>1300</v>
      </c>
      <c r="J903" s="355"/>
      <c r="K903" s="355"/>
      <c r="L903" s="355"/>
      <c r="M903" s="354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 spans="1:27" ht="13">
      <c r="A904" s="54">
        <v>2024</v>
      </c>
      <c r="B904" s="353">
        <v>45596</v>
      </c>
      <c r="C904" s="354" t="s">
        <v>474</v>
      </c>
      <c r="D904" s="354" t="s">
        <v>482</v>
      </c>
      <c r="E904" s="354" t="s">
        <v>535</v>
      </c>
      <c r="F904" s="354" t="s">
        <v>459</v>
      </c>
      <c r="G904" s="355"/>
      <c r="H904" s="355">
        <v>1300</v>
      </c>
      <c r="I904" s="355">
        <v>1300</v>
      </c>
      <c r="J904" s="355"/>
      <c r="K904" s="355"/>
      <c r="L904" s="355"/>
      <c r="M904" s="354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 spans="1:27" ht="13">
      <c r="A905" s="54">
        <v>2024</v>
      </c>
      <c r="B905" s="353">
        <v>45596</v>
      </c>
      <c r="C905" s="354" t="s">
        <v>474</v>
      </c>
      <c r="D905" s="354" t="s">
        <v>482</v>
      </c>
      <c r="E905" s="354" t="s">
        <v>541</v>
      </c>
      <c r="F905" s="354" t="s">
        <v>459</v>
      </c>
      <c r="G905" s="355"/>
      <c r="H905" s="355">
        <v>1300</v>
      </c>
      <c r="I905" s="355">
        <v>1300</v>
      </c>
      <c r="J905" s="355"/>
      <c r="K905" s="355"/>
      <c r="L905" s="355"/>
      <c r="M905" s="354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 spans="1:27" ht="13">
      <c r="A906" s="54">
        <v>2024</v>
      </c>
      <c r="B906" s="353">
        <v>45596</v>
      </c>
      <c r="C906" s="354" t="s">
        <v>474</v>
      </c>
      <c r="D906" s="354" t="s">
        <v>482</v>
      </c>
      <c r="E906" s="354" t="s">
        <v>537</v>
      </c>
      <c r="F906" s="354" t="s">
        <v>459</v>
      </c>
      <c r="G906" s="355"/>
      <c r="H906" s="355">
        <v>900</v>
      </c>
      <c r="I906" s="355">
        <v>900</v>
      </c>
      <c r="J906" s="355"/>
      <c r="K906" s="355"/>
      <c r="L906" s="355"/>
      <c r="M906" s="354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 spans="1:27" ht="13">
      <c r="A907" s="54">
        <v>2024</v>
      </c>
      <c r="B907" s="353">
        <v>45596</v>
      </c>
      <c r="C907" s="354" t="s">
        <v>679</v>
      </c>
      <c r="D907" s="354" t="s">
        <v>478</v>
      </c>
      <c r="E907" s="354" t="s">
        <v>701</v>
      </c>
      <c r="F907" s="354" t="s">
        <v>539</v>
      </c>
      <c r="G907" s="532"/>
      <c r="H907" s="483">
        <f t="shared" ref="H907:I907" si="55">46.5/4</f>
        <v>11.625</v>
      </c>
      <c r="I907" s="483">
        <f t="shared" si="55"/>
        <v>11.625</v>
      </c>
      <c r="J907" s="355"/>
      <c r="K907" s="355"/>
      <c r="L907" s="355"/>
      <c r="M907" s="354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 spans="1:27" ht="13">
      <c r="A908" s="54">
        <v>2024</v>
      </c>
      <c r="B908" s="353">
        <v>45596</v>
      </c>
      <c r="C908" s="354" t="s">
        <v>474</v>
      </c>
      <c r="D908" s="354" t="s">
        <v>478</v>
      </c>
      <c r="E908" s="354" t="s">
        <v>701</v>
      </c>
      <c r="F908" s="354" t="s">
        <v>539</v>
      </c>
      <c r="G908" s="532"/>
      <c r="H908" s="483">
        <f t="shared" ref="H908:I908" si="56">46.5/4*3</f>
        <v>34.875</v>
      </c>
      <c r="I908" s="483">
        <f t="shared" si="56"/>
        <v>34.875</v>
      </c>
      <c r="J908" s="355"/>
      <c r="K908" s="355"/>
      <c r="L908" s="355"/>
      <c r="M908" s="354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 spans="1:27" ht="13">
      <c r="A909" s="54">
        <v>2024</v>
      </c>
      <c r="B909" s="353">
        <v>45596</v>
      </c>
      <c r="C909" s="354" t="s">
        <v>474</v>
      </c>
      <c r="D909" s="354" t="s">
        <v>478</v>
      </c>
      <c r="E909" s="354" t="s">
        <v>479</v>
      </c>
      <c r="F909" s="354" t="s">
        <v>547</v>
      </c>
      <c r="G909" s="354"/>
      <c r="H909" s="355">
        <v>20</v>
      </c>
      <c r="I909" s="355">
        <v>20</v>
      </c>
      <c r="J909" s="355"/>
      <c r="K909" s="355"/>
      <c r="L909" s="355"/>
      <c r="M909" s="354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 spans="1:27" ht="13">
      <c r="A910" s="54">
        <v>2024</v>
      </c>
      <c r="B910" s="353">
        <v>45596</v>
      </c>
      <c r="C910" s="354" t="s">
        <v>481</v>
      </c>
      <c r="D910" s="354" t="s">
        <v>491</v>
      </c>
      <c r="E910" s="354" t="s">
        <v>601</v>
      </c>
      <c r="F910" s="354" t="s">
        <v>576</v>
      </c>
      <c r="G910" s="355"/>
      <c r="H910" s="355">
        <v>149.27000000000001</v>
      </c>
      <c r="I910" s="355">
        <v>149.27000000000001</v>
      </c>
      <c r="J910" s="355"/>
      <c r="K910" s="355"/>
      <c r="L910" s="355"/>
      <c r="M910" s="354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 spans="1:27" ht="13">
      <c r="A911" s="54">
        <v>2024</v>
      </c>
      <c r="B911" s="353">
        <v>45596</v>
      </c>
      <c r="C911" s="354" t="s">
        <v>481</v>
      </c>
      <c r="D911" s="354" t="s">
        <v>491</v>
      </c>
      <c r="E911" s="354" t="s">
        <v>638</v>
      </c>
      <c r="F911" s="354" t="s">
        <v>576</v>
      </c>
      <c r="G911" s="355"/>
      <c r="H911" s="355">
        <v>119.96</v>
      </c>
      <c r="I911" s="355">
        <v>119.96</v>
      </c>
      <c r="J911" s="355"/>
      <c r="K911" s="355"/>
      <c r="L911" s="355"/>
      <c r="M911" s="354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 spans="1:27" ht="13">
      <c r="A912" s="54">
        <v>2024</v>
      </c>
      <c r="B912" s="353">
        <v>45596</v>
      </c>
      <c r="C912" s="354" t="s">
        <v>481</v>
      </c>
      <c r="D912" s="354" t="s">
        <v>491</v>
      </c>
      <c r="E912" s="493" t="s">
        <v>654</v>
      </c>
      <c r="F912" s="354" t="s">
        <v>576</v>
      </c>
      <c r="G912" s="355"/>
      <c r="H912" s="355">
        <f t="shared" ref="H912:I912" si="57">38.54+38.58</f>
        <v>77.12</v>
      </c>
      <c r="I912" s="355">
        <f t="shared" si="57"/>
        <v>77.12</v>
      </c>
      <c r="J912" s="355"/>
      <c r="K912" s="355"/>
      <c r="L912" s="355"/>
      <c r="M912" s="354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 spans="1:27" ht="13">
      <c r="A913" s="54">
        <v>2024</v>
      </c>
      <c r="B913" s="353">
        <v>45596</v>
      </c>
      <c r="C913" s="354" t="s">
        <v>481</v>
      </c>
      <c r="D913" s="354" t="s">
        <v>491</v>
      </c>
      <c r="E913" s="354" t="s">
        <v>534</v>
      </c>
      <c r="F913" s="354" t="s">
        <v>576</v>
      </c>
      <c r="G913" s="355"/>
      <c r="H913" s="355">
        <v>15.99</v>
      </c>
      <c r="I913" s="355">
        <v>15.99</v>
      </c>
      <c r="J913" s="355"/>
      <c r="K913" s="355"/>
      <c r="L913" s="355"/>
      <c r="M913" s="354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 spans="1:27" ht="13">
      <c r="A914" s="54">
        <v>2024</v>
      </c>
      <c r="B914" s="353">
        <v>45596</v>
      </c>
      <c r="C914" s="354" t="s">
        <v>481</v>
      </c>
      <c r="D914" s="354" t="s">
        <v>491</v>
      </c>
      <c r="E914" s="354" t="s">
        <v>602</v>
      </c>
      <c r="F914" s="354" t="s">
        <v>576</v>
      </c>
      <c r="G914" s="355"/>
      <c r="H914" s="355">
        <v>128.51</v>
      </c>
      <c r="I914" s="355">
        <v>128.51</v>
      </c>
      <c r="J914" s="355"/>
      <c r="K914" s="355"/>
      <c r="L914" s="355"/>
      <c r="M914" s="354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 spans="1:27" ht="13">
      <c r="A915" s="54">
        <v>2024</v>
      </c>
      <c r="B915" s="353">
        <v>45596</v>
      </c>
      <c r="C915" s="354" t="s">
        <v>481</v>
      </c>
      <c r="D915" s="354" t="s">
        <v>491</v>
      </c>
      <c r="E915" s="354" t="s">
        <v>591</v>
      </c>
      <c r="F915" s="354" t="s">
        <v>576</v>
      </c>
      <c r="G915" s="355"/>
      <c r="H915" s="355">
        <v>20</v>
      </c>
      <c r="I915" s="355">
        <v>20</v>
      </c>
      <c r="J915" s="355"/>
      <c r="K915" s="355"/>
      <c r="L915" s="355"/>
      <c r="M915" s="354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 spans="1:27" ht="13">
      <c r="A916" s="54">
        <v>2024</v>
      </c>
      <c r="B916" s="353">
        <v>45596</v>
      </c>
      <c r="C916" s="354" t="s">
        <v>481</v>
      </c>
      <c r="D916" s="354" t="s">
        <v>491</v>
      </c>
      <c r="E916" s="354" t="s">
        <v>498</v>
      </c>
      <c r="F916" s="354" t="s">
        <v>576</v>
      </c>
      <c r="G916" s="355"/>
      <c r="H916" s="355">
        <v>8.4</v>
      </c>
      <c r="I916" s="355">
        <v>8.4</v>
      </c>
      <c r="J916" s="355"/>
      <c r="K916" s="355"/>
      <c r="L916" s="355"/>
      <c r="M916" s="354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 spans="1:27" ht="13">
      <c r="A917" s="54">
        <v>2024</v>
      </c>
      <c r="B917" s="353">
        <v>45596</v>
      </c>
      <c r="C917" s="354" t="s">
        <v>481</v>
      </c>
      <c r="D917" s="354" t="s">
        <v>491</v>
      </c>
      <c r="E917" s="354" t="s">
        <v>639</v>
      </c>
      <c r="F917" s="354" t="s">
        <v>576</v>
      </c>
      <c r="G917" s="355"/>
      <c r="H917" s="355">
        <v>15</v>
      </c>
      <c r="I917" s="355">
        <v>15</v>
      </c>
      <c r="J917" s="355"/>
      <c r="K917" s="355"/>
      <c r="L917" s="355"/>
      <c r="M917" s="354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 spans="1:27" ht="13">
      <c r="A918" s="54">
        <v>2024</v>
      </c>
      <c r="B918" s="353">
        <v>45596</v>
      </c>
      <c r="C918" s="354" t="s">
        <v>481</v>
      </c>
      <c r="D918" s="354" t="s">
        <v>491</v>
      </c>
      <c r="E918" s="354" t="s">
        <v>592</v>
      </c>
      <c r="F918" s="354" t="s">
        <v>576</v>
      </c>
      <c r="G918" s="355"/>
      <c r="H918" s="355">
        <v>52</v>
      </c>
      <c r="I918" s="355">
        <v>52</v>
      </c>
      <c r="J918" s="355"/>
      <c r="K918" s="355"/>
      <c r="L918" s="355"/>
      <c r="M918" s="354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 spans="1:27" ht="13">
      <c r="A919" s="54">
        <v>2024</v>
      </c>
      <c r="B919" s="353">
        <v>45596</v>
      </c>
      <c r="C919" s="354" t="s">
        <v>481</v>
      </c>
      <c r="D919" s="354" t="s">
        <v>491</v>
      </c>
      <c r="E919" s="493" t="s">
        <v>709</v>
      </c>
      <c r="F919" s="354" t="s">
        <v>576</v>
      </c>
      <c r="G919" s="355"/>
      <c r="H919" s="355">
        <v>20</v>
      </c>
      <c r="I919" s="355">
        <v>20</v>
      </c>
      <c r="J919" s="355"/>
      <c r="K919" s="355"/>
      <c r="L919" s="355"/>
      <c r="M919" s="354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 spans="1:27" ht="13">
      <c r="A920" s="54">
        <v>2024</v>
      </c>
      <c r="B920" s="353">
        <v>45596</v>
      </c>
      <c r="C920" s="354" t="s">
        <v>481</v>
      </c>
      <c r="D920" s="354" t="s">
        <v>491</v>
      </c>
      <c r="E920" s="354" t="s">
        <v>645</v>
      </c>
      <c r="F920" s="354" t="s">
        <v>714</v>
      </c>
      <c r="G920" s="355"/>
      <c r="H920" s="355">
        <f t="shared" ref="H920:I920" si="58">13.99+13.99+27.98</f>
        <v>55.96</v>
      </c>
      <c r="I920" s="355">
        <f t="shared" si="58"/>
        <v>55.96</v>
      </c>
      <c r="J920" s="355"/>
      <c r="K920" s="355"/>
      <c r="L920" s="355"/>
      <c r="M920" s="354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 spans="1:27" ht="13">
      <c r="A921" s="54">
        <v>2024</v>
      </c>
      <c r="B921" s="353">
        <v>45596</v>
      </c>
      <c r="C921" s="354" t="s">
        <v>474</v>
      </c>
      <c r="D921" s="354" t="s">
        <v>551</v>
      </c>
      <c r="E921" s="354" t="s">
        <v>703</v>
      </c>
      <c r="F921" s="354" t="s">
        <v>586</v>
      </c>
      <c r="G921" s="355"/>
      <c r="H921" s="355">
        <f t="shared" ref="H921:I921" si="59">15.1+707.05</f>
        <v>722.15</v>
      </c>
      <c r="I921" s="355">
        <f t="shared" si="59"/>
        <v>722.15</v>
      </c>
      <c r="J921" s="355"/>
      <c r="K921" s="355"/>
      <c r="L921" s="355"/>
      <c r="M921" s="354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 spans="1:27" ht="13">
      <c r="A922" s="54">
        <v>2024</v>
      </c>
      <c r="B922" s="533">
        <v>45596</v>
      </c>
      <c r="C922" s="534" t="s">
        <v>481</v>
      </c>
      <c r="D922" s="534" t="s">
        <v>489</v>
      </c>
      <c r="E922" s="534" t="s">
        <v>463</v>
      </c>
      <c r="F922" s="354" t="s">
        <v>464</v>
      </c>
      <c r="G922" s="529"/>
      <c r="H922" s="529"/>
      <c r="I922" s="529"/>
      <c r="J922" s="529">
        <v>7000</v>
      </c>
      <c r="K922" s="529">
        <v>5737.7</v>
      </c>
      <c r="L922" s="529">
        <v>1262.3</v>
      </c>
      <c r="M922" s="534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 spans="1:27" ht="13">
      <c r="A923" s="54">
        <v>2024</v>
      </c>
      <c r="B923" s="533">
        <v>45596</v>
      </c>
      <c r="C923" s="354" t="s">
        <v>679</v>
      </c>
      <c r="D923" s="354" t="s">
        <v>478</v>
      </c>
      <c r="E923" s="354" t="s">
        <v>479</v>
      </c>
      <c r="F923" s="354" t="s">
        <v>480</v>
      </c>
      <c r="G923" s="355"/>
      <c r="H923" s="483">
        <v>19</v>
      </c>
      <c r="I923" s="483">
        <v>19</v>
      </c>
      <c r="J923" s="529"/>
      <c r="K923" s="529"/>
      <c r="L923" s="529"/>
      <c r="M923" s="534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 spans="1:27" ht="13">
      <c r="A924" s="54">
        <v>2024</v>
      </c>
      <c r="B924" s="533">
        <v>45596</v>
      </c>
      <c r="C924" s="354" t="s">
        <v>474</v>
      </c>
      <c r="D924" s="354" t="s">
        <v>478</v>
      </c>
      <c r="E924" s="354" t="s">
        <v>479</v>
      </c>
      <c r="F924" s="354" t="s">
        <v>480</v>
      </c>
      <c r="G924" s="355"/>
      <c r="H924" s="483">
        <f t="shared" ref="H924:I924" si="60">40+57</f>
        <v>97</v>
      </c>
      <c r="I924" s="483">
        <f t="shared" si="60"/>
        <v>97</v>
      </c>
      <c r="J924" s="529"/>
      <c r="K924" s="529"/>
      <c r="L924" s="529"/>
      <c r="M924" s="534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 spans="1:27" ht="13">
      <c r="A925" s="54">
        <v>2024</v>
      </c>
      <c r="B925" s="535">
        <v>45597</v>
      </c>
      <c r="C925" s="536" t="s">
        <v>481</v>
      </c>
      <c r="D925" s="536" t="s">
        <v>478</v>
      </c>
      <c r="E925" s="536" t="s">
        <v>479</v>
      </c>
      <c r="F925" s="536" t="s">
        <v>480</v>
      </c>
      <c r="G925" s="536"/>
      <c r="H925" s="537">
        <v>40</v>
      </c>
      <c r="I925" s="537">
        <v>40</v>
      </c>
      <c r="J925" s="537"/>
      <c r="K925" s="537"/>
      <c r="L925" s="537"/>
      <c r="M925" s="536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 spans="1:27" ht="13">
      <c r="A926" s="54">
        <v>2024</v>
      </c>
      <c r="B926" s="535">
        <v>45603</v>
      </c>
      <c r="C926" s="536" t="s">
        <v>481</v>
      </c>
      <c r="D926" s="536" t="s">
        <v>493</v>
      </c>
      <c r="E926" s="536" t="s">
        <v>63</v>
      </c>
      <c r="F926" s="536" t="s">
        <v>480</v>
      </c>
      <c r="G926" s="536"/>
      <c r="H926" s="537">
        <v>25</v>
      </c>
      <c r="I926" s="537">
        <v>25</v>
      </c>
      <c r="J926" s="537"/>
      <c r="K926" s="537"/>
      <c r="L926" s="537"/>
      <c r="M926" s="536"/>
      <c r="N926" s="45"/>
      <c r="O926" s="110" t="s">
        <v>457</v>
      </c>
      <c r="P926" s="470"/>
      <c r="Q926" s="45"/>
      <c r="R926" s="45"/>
      <c r="S926" s="491" t="s">
        <v>669</v>
      </c>
      <c r="T926" s="538"/>
      <c r="U926" s="45"/>
      <c r="V926" s="45"/>
      <c r="W926" s="45"/>
      <c r="X926" s="45"/>
      <c r="Y926" s="45"/>
      <c r="Z926" s="45"/>
      <c r="AA926" s="45"/>
    </row>
    <row r="927" spans="1:27" ht="13">
      <c r="A927" s="54">
        <v>2024</v>
      </c>
      <c r="B927" s="535">
        <v>45609</v>
      </c>
      <c r="C927" s="536" t="s">
        <v>481</v>
      </c>
      <c r="D927" s="536" t="s">
        <v>493</v>
      </c>
      <c r="E927" s="539" t="s">
        <v>715</v>
      </c>
      <c r="F927" s="536" t="s">
        <v>716</v>
      </c>
      <c r="G927" s="536"/>
      <c r="H927" s="537"/>
      <c r="I927" s="537"/>
      <c r="J927" s="537">
        <v>17293</v>
      </c>
      <c r="K927" s="537">
        <f>J927-L927</f>
        <v>14174.53</v>
      </c>
      <c r="L927" s="540">
        <v>3118.47</v>
      </c>
      <c r="M927" s="536"/>
      <c r="N927" s="45"/>
      <c r="O927" s="470">
        <f>SUM(Facturacion!I127:I133)</f>
        <v>189265.94060000003</v>
      </c>
      <c r="P927" s="470"/>
      <c r="Q927" s="45"/>
      <c r="R927" s="45"/>
      <c r="S927" s="491" t="s">
        <v>411</v>
      </c>
      <c r="T927" s="470">
        <f>SUM(K926:K969)</f>
        <v>610916.54</v>
      </c>
      <c r="U927" s="45"/>
      <c r="V927" s="45"/>
      <c r="W927" s="45"/>
      <c r="X927" s="45"/>
      <c r="Y927" s="45"/>
      <c r="Z927" s="45"/>
      <c r="AA927" s="45"/>
    </row>
    <row r="928" spans="1:27" ht="13">
      <c r="A928" s="54">
        <v>2024</v>
      </c>
      <c r="B928" s="541">
        <v>45611</v>
      </c>
      <c r="C928" s="542" t="s">
        <v>481</v>
      </c>
      <c r="D928" s="542" t="s">
        <v>493</v>
      </c>
      <c r="E928" s="536" t="s">
        <v>479</v>
      </c>
      <c r="F928" s="536" t="s">
        <v>660</v>
      </c>
      <c r="G928" s="542"/>
      <c r="H928" s="543"/>
      <c r="I928" s="543"/>
      <c r="J928" s="543">
        <v>1320</v>
      </c>
      <c r="K928" s="537">
        <v>1320</v>
      </c>
      <c r="L928" s="537"/>
      <c r="M928" s="542"/>
      <c r="N928" s="45"/>
      <c r="O928" s="469" t="s">
        <v>461</v>
      </c>
      <c r="P928" s="469" t="s">
        <v>462</v>
      </c>
      <c r="Q928" s="45"/>
      <c r="R928" s="45"/>
      <c r="S928" s="469" t="s">
        <v>584</v>
      </c>
      <c r="T928" s="470">
        <f>SUM(I926:I969)</f>
        <v>7717.4099999999989</v>
      </c>
      <c r="U928" s="45"/>
      <c r="V928" s="45"/>
      <c r="W928" s="45"/>
      <c r="X928" s="45"/>
      <c r="Y928" s="45"/>
      <c r="Z928" s="45"/>
      <c r="AA928" s="45"/>
    </row>
    <row r="929" spans="1:27" ht="13">
      <c r="A929" s="54">
        <v>2024</v>
      </c>
      <c r="B929" s="541">
        <v>45611</v>
      </c>
      <c r="C929" s="542" t="s">
        <v>481</v>
      </c>
      <c r="D929" s="542" t="s">
        <v>493</v>
      </c>
      <c r="E929" s="542" t="s">
        <v>63</v>
      </c>
      <c r="F929" s="536" t="s">
        <v>480</v>
      </c>
      <c r="G929" s="542"/>
      <c r="H929" s="543">
        <v>1.9</v>
      </c>
      <c r="I929" s="543">
        <v>1.9</v>
      </c>
      <c r="J929" s="543"/>
      <c r="K929" s="543"/>
      <c r="L929" s="543"/>
      <c r="M929" s="542"/>
      <c r="N929" s="45"/>
      <c r="O929" s="470">
        <f>SUM(L926:L951)</f>
        <v>5354.5825999999997</v>
      </c>
      <c r="P929" s="470">
        <f>(O927-O929)</f>
        <v>183911.35800000004</v>
      </c>
      <c r="Q929" s="45"/>
      <c r="R929" s="45"/>
      <c r="S929" s="491"/>
      <c r="T929" s="492"/>
      <c r="U929" s="45"/>
      <c r="V929" s="45"/>
      <c r="W929" s="45"/>
      <c r="X929" s="45"/>
      <c r="Y929" s="45"/>
      <c r="Z929" s="45"/>
      <c r="AA929" s="45"/>
    </row>
    <row r="930" spans="1:27" ht="13">
      <c r="A930" s="54">
        <v>2024</v>
      </c>
      <c r="B930" s="541">
        <v>45615</v>
      </c>
      <c r="C930" s="542" t="s">
        <v>481</v>
      </c>
      <c r="D930" s="542" t="s">
        <v>493</v>
      </c>
      <c r="E930" s="542" t="s">
        <v>63</v>
      </c>
      <c r="F930" s="536" t="s">
        <v>480</v>
      </c>
      <c r="G930" s="542"/>
      <c r="H930" s="543">
        <v>1.9</v>
      </c>
      <c r="I930" s="543">
        <v>1.9</v>
      </c>
      <c r="J930" s="543"/>
      <c r="K930" s="543"/>
      <c r="L930" s="543"/>
      <c r="M930" s="542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 spans="1:27" ht="13">
      <c r="A931" s="54">
        <v>2024</v>
      </c>
      <c r="B931" s="541">
        <v>45616</v>
      </c>
      <c r="C931" s="542" t="s">
        <v>481</v>
      </c>
      <c r="D931" s="542" t="s">
        <v>494</v>
      </c>
      <c r="E931" s="542" t="s">
        <v>502</v>
      </c>
      <c r="F931" s="536" t="s">
        <v>543</v>
      </c>
      <c r="G931" s="542"/>
      <c r="H931" s="543"/>
      <c r="I931" s="540"/>
      <c r="J931" s="543">
        <v>4140</v>
      </c>
      <c r="K931" s="543">
        <v>4140</v>
      </c>
      <c r="L931" s="544"/>
      <c r="M931" s="542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 spans="1:27" ht="13">
      <c r="A932" s="54">
        <v>2024</v>
      </c>
      <c r="B932" s="541">
        <v>45616</v>
      </c>
      <c r="C932" s="542" t="s">
        <v>481</v>
      </c>
      <c r="D932" s="542" t="s">
        <v>494</v>
      </c>
      <c r="E932" s="542" t="s">
        <v>502</v>
      </c>
      <c r="F932" s="536" t="s">
        <v>522</v>
      </c>
      <c r="G932" s="542"/>
      <c r="H932" s="543"/>
      <c r="I932" s="540"/>
      <c r="J932" s="543">
        <v>75488</v>
      </c>
      <c r="K932" s="543">
        <v>75488</v>
      </c>
      <c r="L932" s="544"/>
      <c r="M932" s="542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 spans="1:27" ht="13">
      <c r="A933" s="54">
        <v>2024</v>
      </c>
      <c r="B933" s="541">
        <v>45616</v>
      </c>
      <c r="C933" s="542" t="s">
        <v>481</v>
      </c>
      <c r="D933" s="542" t="s">
        <v>494</v>
      </c>
      <c r="E933" s="542" t="s">
        <v>512</v>
      </c>
      <c r="F933" s="536" t="s">
        <v>528</v>
      </c>
      <c r="G933" s="542"/>
      <c r="H933" s="543"/>
      <c r="I933" s="537"/>
      <c r="J933" s="543">
        <v>183911</v>
      </c>
      <c r="K933" s="543">
        <v>183911</v>
      </c>
      <c r="L933" s="544"/>
      <c r="M933" s="542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 spans="1:27" ht="13">
      <c r="A934" s="54">
        <v>2024</v>
      </c>
      <c r="B934" s="541">
        <v>45616</v>
      </c>
      <c r="C934" s="542" t="s">
        <v>481</v>
      </c>
      <c r="D934" s="542" t="s">
        <v>494</v>
      </c>
      <c r="E934" s="542" t="s">
        <v>512</v>
      </c>
      <c r="F934" s="536" t="s">
        <v>574</v>
      </c>
      <c r="G934" s="542"/>
      <c r="H934" s="543"/>
      <c r="I934" s="543"/>
      <c r="J934" s="543">
        <v>903</v>
      </c>
      <c r="K934" s="543">
        <v>903</v>
      </c>
      <c r="L934" s="544"/>
      <c r="M934" s="542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 spans="1:27" ht="13">
      <c r="A935" s="54">
        <v>2024</v>
      </c>
      <c r="B935" s="541">
        <v>45616</v>
      </c>
      <c r="C935" s="542" t="s">
        <v>481</v>
      </c>
      <c r="D935" s="542" t="s">
        <v>494</v>
      </c>
      <c r="E935" s="542" t="s">
        <v>521</v>
      </c>
      <c r="F935" s="536" t="s">
        <v>544</v>
      </c>
      <c r="G935" s="542"/>
      <c r="H935" s="543"/>
      <c r="I935" s="543"/>
      <c r="J935" s="543">
        <v>953</v>
      </c>
      <c r="K935" s="543">
        <f>J935-L935</f>
        <v>781.11</v>
      </c>
      <c r="L935" s="540">
        <v>171.89</v>
      </c>
      <c r="M935" s="542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 spans="1:27" ht="13">
      <c r="A936" s="54">
        <v>2024</v>
      </c>
      <c r="B936" s="541">
        <v>45622</v>
      </c>
      <c r="C936" s="542" t="s">
        <v>481</v>
      </c>
      <c r="D936" s="542" t="s">
        <v>493</v>
      </c>
      <c r="E936" s="542" t="s">
        <v>63</v>
      </c>
      <c r="F936" s="536" t="s">
        <v>480</v>
      </c>
      <c r="G936" s="542"/>
      <c r="H936" s="543">
        <v>1.9</v>
      </c>
      <c r="I936" s="543">
        <v>1.9</v>
      </c>
      <c r="J936" s="543"/>
      <c r="K936" s="543"/>
      <c r="L936" s="537"/>
      <c r="M936" s="542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 spans="1:27" ht="13">
      <c r="A937" s="54">
        <v>2024</v>
      </c>
      <c r="B937" s="541">
        <v>45622</v>
      </c>
      <c r="C937" s="536" t="s">
        <v>481</v>
      </c>
      <c r="D937" s="536" t="s">
        <v>493</v>
      </c>
      <c r="E937" s="536" t="s">
        <v>479</v>
      </c>
      <c r="F937" s="539" t="s">
        <v>624</v>
      </c>
      <c r="G937" s="536"/>
      <c r="H937" s="537">
        <v>57.12</v>
      </c>
      <c r="I937" s="537">
        <v>46.8</v>
      </c>
      <c r="J937" s="537"/>
      <c r="K937" s="537"/>
      <c r="L937" s="537">
        <f>10.3*M937</f>
        <v>441.27260000000001</v>
      </c>
      <c r="M937" s="536">
        <v>42.841999999999999</v>
      </c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 spans="1:27" ht="13">
      <c r="A938" s="54">
        <v>2024</v>
      </c>
      <c r="B938" s="541">
        <v>45625</v>
      </c>
      <c r="C938" s="536" t="s">
        <v>481</v>
      </c>
      <c r="D938" s="536" t="s">
        <v>493</v>
      </c>
      <c r="E938" s="536" t="s">
        <v>479</v>
      </c>
      <c r="F938" s="536" t="s">
        <v>717</v>
      </c>
      <c r="G938" s="536"/>
      <c r="H938" s="537"/>
      <c r="I938" s="537"/>
      <c r="J938" s="537">
        <v>1999.99</v>
      </c>
      <c r="K938" s="537">
        <f>J938-L938</f>
        <v>1639.3400000000001</v>
      </c>
      <c r="L938" s="537">
        <v>360.65</v>
      </c>
      <c r="M938" s="536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 spans="1:27" ht="13">
      <c r="A939" s="54">
        <v>2024</v>
      </c>
      <c r="B939" s="541">
        <v>45625</v>
      </c>
      <c r="C939" s="536" t="s">
        <v>481</v>
      </c>
      <c r="D939" s="536" t="s">
        <v>493</v>
      </c>
      <c r="E939" s="536" t="s">
        <v>63</v>
      </c>
      <c r="F939" s="536" t="s">
        <v>539</v>
      </c>
      <c r="G939" s="536"/>
      <c r="H939" s="537"/>
      <c r="I939" s="537"/>
      <c r="J939" s="537">
        <v>829.86</v>
      </c>
      <c r="K939" s="537">
        <v>829.86</v>
      </c>
      <c r="L939" s="537"/>
      <c r="M939" s="536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 spans="1:27" ht="13">
      <c r="A940" s="54">
        <v>2024</v>
      </c>
      <c r="B940" s="541">
        <v>45626</v>
      </c>
      <c r="C940" s="536" t="s">
        <v>481</v>
      </c>
      <c r="D940" s="536" t="s">
        <v>489</v>
      </c>
      <c r="E940" s="536" t="s">
        <v>463</v>
      </c>
      <c r="F940" s="536" t="s">
        <v>464</v>
      </c>
      <c r="G940" s="537"/>
      <c r="H940" s="537"/>
      <c r="I940" s="537"/>
      <c r="J940" s="537">
        <v>7000</v>
      </c>
      <c r="K940" s="537">
        <v>5737.7</v>
      </c>
      <c r="L940" s="537">
        <v>1262.3</v>
      </c>
      <c r="M940" s="536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 spans="1:27" ht="13">
      <c r="A941" s="54">
        <v>2024</v>
      </c>
      <c r="B941" s="541">
        <v>45626</v>
      </c>
      <c r="C941" s="536" t="s">
        <v>481</v>
      </c>
      <c r="D941" s="536" t="s">
        <v>482</v>
      </c>
      <c r="E941" s="536" t="s">
        <v>495</v>
      </c>
      <c r="F941" s="536" t="s">
        <v>496</v>
      </c>
      <c r="G941" s="537"/>
      <c r="H941" s="540"/>
      <c r="I941" s="540"/>
      <c r="J941" s="537">
        <v>220014</v>
      </c>
      <c r="K941" s="537">
        <v>220014</v>
      </c>
      <c r="L941" s="537"/>
      <c r="M941" s="536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 spans="1:27" ht="13">
      <c r="A942" s="54">
        <v>2024</v>
      </c>
      <c r="B942" s="541">
        <v>45626</v>
      </c>
      <c r="C942" s="536" t="s">
        <v>481</v>
      </c>
      <c r="D942" s="536" t="s">
        <v>484</v>
      </c>
      <c r="E942" s="536" t="s">
        <v>644</v>
      </c>
      <c r="F942" s="536" t="s">
        <v>665</v>
      </c>
      <c r="G942" s="537"/>
      <c r="H942" s="537"/>
      <c r="I942" s="537"/>
      <c r="J942" s="537">
        <v>35653</v>
      </c>
      <c r="K942" s="545">
        <v>35653</v>
      </c>
      <c r="L942" s="537"/>
      <c r="M942" s="536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 spans="1:27" ht="13">
      <c r="A943" s="54">
        <v>2024</v>
      </c>
      <c r="B943" s="541">
        <v>45626</v>
      </c>
      <c r="C943" s="536" t="s">
        <v>481</v>
      </c>
      <c r="D943" s="536" t="s">
        <v>484</v>
      </c>
      <c r="E943" s="536" t="s">
        <v>644</v>
      </c>
      <c r="F943" s="536" t="s">
        <v>488</v>
      </c>
      <c r="G943" s="537"/>
      <c r="H943" s="537"/>
      <c r="I943" s="537"/>
      <c r="J943" s="537">
        <v>66325</v>
      </c>
      <c r="K943" s="537">
        <v>66325</v>
      </c>
      <c r="L943" s="537"/>
      <c r="M943" s="536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 spans="1:27" ht="13">
      <c r="A944" s="54">
        <v>2024</v>
      </c>
      <c r="B944" s="541">
        <v>45626</v>
      </c>
      <c r="C944" s="536" t="s">
        <v>679</v>
      </c>
      <c r="D944" s="536" t="s">
        <v>482</v>
      </c>
      <c r="E944" s="536" t="s">
        <v>680</v>
      </c>
      <c r="F944" s="536" t="s">
        <v>459</v>
      </c>
      <c r="G944" s="537"/>
      <c r="H944" s="537">
        <v>1100</v>
      </c>
      <c r="I944" s="537">
        <v>1100</v>
      </c>
      <c r="J944" s="537"/>
      <c r="K944" s="537"/>
      <c r="L944" s="537"/>
      <c r="M944" s="536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 spans="1:27" ht="13">
      <c r="A945" s="54">
        <v>2024</v>
      </c>
      <c r="B945" s="541">
        <v>45626</v>
      </c>
      <c r="C945" s="536" t="s">
        <v>474</v>
      </c>
      <c r="D945" s="536" t="s">
        <v>482</v>
      </c>
      <c r="E945" s="536" t="s">
        <v>483</v>
      </c>
      <c r="F945" s="536" t="s">
        <v>459</v>
      </c>
      <c r="G945" s="537"/>
      <c r="H945" s="537">
        <v>1300</v>
      </c>
      <c r="I945" s="537">
        <v>1300</v>
      </c>
      <c r="J945" s="537"/>
      <c r="K945" s="537"/>
      <c r="L945" s="537"/>
      <c r="M945" s="536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 spans="1:27" ht="13">
      <c r="A946" s="54">
        <v>2024</v>
      </c>
      <c r="B946" s="541">
        <v>45626</v>
      </c>
      <c r="C946" s="536" t="s">
        <v>474</v>
      </c>
      <c r="D946" s="536" t="s">
        <v>482</v>
      </c>
      <c r="E946" s="536" t="s">
        <v>535</v>
      </c>
      <c r="F946" s="536" t="s">
        <v>459</v>
      </c>
      <c r="G946" s="537"/>
      <c r="H946" s="537">
        <v>1300</v>
      </c>
      <c r="I946" s="537">
        <v>1300</v>
      </c>
      <c r="J946" s="537"/>
      <c r="K946" s="537"/>
      <c r="L946" s="537"/>
      <c r="M946" s="536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 spans="1:27" ht="13">
      <c r="A947" s="54">
        <v>2024</v>
      </c>
      <c r="B947" s="541">
        <v>45626</v>
      </c>
      <c r="C947" s="536" t="s">
        <v>474</v>
      </c>
      <c r="D947" s="536" t="s">
        <v>482</v>
      </c>
      <c r="E947" s="536" t="s">
        <v>541</v>
      </c>
      <c r="F947" s="536" t="s">
        <v>459</v>
      </c>
      <c r="G947" s="537"/>
      <c r="H947" s="537">
        <v>1300</v>
      </c>
      <c r="I947" s="537">
        <v>1300</v>
      </c>
      <c r="J947" s="537"/>
      <c r="K947" s="537"/>
      <c r="L947" s="537"/>
      <c r="M947" s="536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 spans="1:27" ht="13">
      <c r="A948" s="54">
        <v>2024</v>
      </c>
      <c r="B948" s="541">
        <v>45626</v>
      </c>
      <c r="C948" s="536" t="s">
        <v>474</v>
      </c>
      <c r="D948" s="536" t="s">
        <v>482</v>
      </c>
      <c r="E948" s="536" t="s">
        <v>537</v>
      </c>
      <c r="F948" s="536" t="s">
        <v>459</v>
      </c>
      <c r="G948" s="537"/>
      <c r="H948" s="537">
        <v>900</v>
      </c>
      <c r="I948" s="537">
        <v>900</v>
      </c>
      <c r="J948" s="537"/>
      <c r="K948" s="537"/>
      <c r="L948" s="537"/>
      <c r="M948" s="536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 spans="1:27" ht="13">
      <c r="A949" s="54">
        <v>2024</v>
      </c>
      <c r="B949" s="541">
        <v>45626</v>
      </c>
      <c r="C949" s="536" t="s">
        <v>679</v>
      </c>
      <c r="D949" s="536" t="s">
        <v>478</v>
      </c>
      <c r="E949" s="536" t="s">
        <v>701</v>
      </c>
      <c r="F949" s="536" t="s">
        <v>539</v>
      </c>
      <c r="G949" s="546"/>
      <c r="H949" s="540">
        <f t="shared" ref="H949:I949" si="61">38.7/4</f>
        <v>9.6750000000000007</v>
      </c>
      <c r="I949" s="540">
        <f t="shared" si="61"/>
        <v>9.6750000000000007</v>
      </c>
      <c r="J949" s="537"/>
      <c r="K949" s="537"/>
      <c r="L949" s="537"/>
      <c r="M949" s="536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  <row r="950" spans="1:27" ht="13">
      <c r="A950" s="54">
        <v>2024</v>
      </c>
      <c r="B950" s="541">
        <v>45626</v>
      </c>
      <c r="C950" s="536" t="s">
        <v>474</v>
      </c>
      <c r="D950" s="536" t="s">
        <v>478</v>
      </c>
      <c r="E950" s="536" t="s">
        <v>701</v>
      </c>
      <c r="F950" s="536" t="s">
        <v>539</v>
      </c>
      <c r="G950" s="546"/>
      <c r="H950" s="540">
        <f t="shared" ref="H950:I950" si="62">38.7/4*3</f>
        <v>29.025000000000002</v>
      </c>
      <c r="I950" s="540">
        <f t="shared" si="62"/>
        <v>29.025000000000002</v>
      </c>
      <c r="J950" s="537"/>
      <c r="K950" s="537"/>
      <c r="L950" s="537"/>
      <c r="M950" s="536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</row>
    <row r="951" spans="1:27" ht="13">
      <c r="A951" s="54">
        <v>2024</v>
      </c>
      <c r="B951" s="541">
        <v>45626</v>
      </c>
      <c r="C951" s="536" t="s">
        <v>474</v>
      </c>
      <c r="D951" s="536" t="s">
        <v>478</v>
      </c>
      <c r="E951" s="536" t="s">
        <v>479</v>
      </c>
      <c r="F951" s="536" t="s">
        <v>547</v>
      </c>
      <c r="G951" s="536"/>
      <c r="H951" s="537">
        <v>20</v>
      </c>
      <c r="I951" s="537">
        <v>20</v>
      </c>
      <c r="J951" s="537"/>
      <c r="K951" s="537"/>
      <c r="L951" s="537"/>
      <c r="M951" s="536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</row>
    <row r="952" spans="1:27" ht="13">
      <c r="A952" s="54">
        <v>2024</v>
      </c>
      <c r="B952" s="541">
        <v>45626</v>
      </c>
      <c r="C952" s="536" t="s">
        <v>481</v>
      </c>
      <c r="D952" s="536" t="s">
        <v>491</v>
      </c>
      <c r="E952" s="536" t="s">
        <v>601</v>
      </c>
      <c r="F952" s="536" t="s">
        <v>576</v>
      </c>
      <c r="G952" s="536"/>
      <c r="H952" s="537">
        <v>162.71</v>
      </c>
      <c r="I952" s="537">
        <v>162.71</v>
      </c>
      <c r="J952" s="537"/>
      <c r="K952" s="537"/>
      <c r="L952" s="537"/>
      <c r="M952" s="536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</row>
    <row r="953" spans="1:27" ht="13">
      <c r="A953" s="54">
        <v>2024</v>
      </c>
      <c r="B953" s="541">
        <v>45626</v>
      </c>
      <c r="C953" s="536" t="s">
        <v>481</v>
      </c>
      <c r="D953" s="536" t="s">
        <v>491</v>
      </c>
      <c r="E953" s="536" t="s">
        <v>638</v>
      </c>
      <c r="F953" s="536" t="s">
        <v>576</v>
      </c>
      <c r="G953" s="536"/>
      <c r="H953" s="537">
        <v>182.72</v>
      </c>
      <c r="I953" s="537">
        <v>182.72</v>
      </c>
      <c r="J953" s="537"/>
      <c r="K953" s="537"/>
      <c r="L953" s="537"/>
      <c r="M953" s="536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</row>
    <row r="954" spans="1:27" ht="13">
      <c r="A954" s="54">
        <v>2024</v>
      </c>
      <c r="B954" s="541">
        <v>45626</v>
      </c>
      <c r="C954" s="536" t="s">
        <v>481</v>
      </c>
      <c r="D954" s="536" t="s">
        <v>491</v>
      </c>
      <c r="E954" s="547" t="s">
        <v>654</v>
      </c>
      <c r="F954" s="536" t="s">
        <v>576</v>
      </c>
      <c r="G954" s="536"/>
      <c r="H954" s="537">
        <f t="shared" ref="H954:I954" si="63">38.89+37.6</f>
        <v>76.490000000000009</v>
      </c>
      <c r="I954" s="537">
        <f t="shared" si="63"/>
        <v>76.490000000000009</v>
      </c>
      <c r="J954" s="537"/>
      <c r="K954" s="537"/>
      <c r="L954" s="537"/>
      <c r="M954" s="536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</row>
    <row r="955" spans="1:27" ht="13">
      <c r="A955" s="54">
        <v>2024</v>
      </c>
      <c r="B955" s="541">
        <v>45626</v>
      </c>
      <c r="C955" s="536" t="s">
        <v>481</v>
      </c>
      <c r="D955" s="536" t="s">
        <v>491</v>
      </c>
      <c r="E955" s="536" t="s">
        <v>534</v>
      </c>
      <c r="F955" s="536" t="s">
        <v>576</v>
      </c>
      <c r="G955" s="536"/>
      <c r="H955" s="537">
        <v>15.99</v>
      </c>
      <c r="I955" s="537">
        <v>15.99</v>
      </c>
      <c r="J955" s="537"/>
      <c r="K955" s="537"/>
      <c r="L955" s="537"/>
      <c r="M955" s="536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</row>
    <row r="956" spans="1:27" ht="13">
      <c r="A956" s="54">
        <v>2024</v>
      </c>
      <c r="B956" s="541">
        <v>45626</v>
      </c>
      <c r="C956" s="536" t="s">
        <v>481</v>
      </c>
      <c r="D956" s="536" t="s">
        <v>491</v>
      </c>
      <c r="E956" s="536" t="s">
        <v>602</v>
      </c>
      <c r="F956" s="536" t="s">
        <v>576</v>
      </c>
      <c r="G956" s="536"/>
      <c r="H956" s="537">
        <f t="shared" ref="H956:I956" si="64">79.66+100</f>
        <v>179.66</v>
      </c>
      <c r="I956" s="537">
        <f t="shared" si="64"/>
        <v>179.66</v>
      </c>
      <c r="J956" s="537"/>
      <c r="K956" s="537"/>
      <c r="L956" s="537"/>
      <c r="M956" s="536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</row>
    <row r="957" spans="1:27" ht="13">
      <c r="A957" s="54">
        <v>2024</v>
      </c>
      <c r="B957" s="541">
        <v>45626</v>
      </c>
      <c r="C957" s="536" t="s">
        <v>481</v>
      </c>
      <c r="D957" s="536" t="s">
        <v>491</v>
      </c>
      <c r="E957" s="536" t="s">
        <v>591</v>
      </c>
      <c r="F957" s="536" t="s">
        <v>576</v>
      </c>
      <c r="G957" s="536"/>
      <c r="H957" s="537">
        <v>20</v>
      </c>
      <c r="I957" s="537">
        <v>20</v>
      </c>
      <c r="J957" s="537"/>
      <c r="K957" s="537"/>
      <c r="L957" s="537"/>
      <c r="M957" s="536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</row>
    <row r="958" spans="1:27" ht="13">
      <c r="A958" s="54">
        <v>2024</v>
      </c>
      <c r="B958" s="541">
        <v>45626</v>
      </c>
      <c r="C958" s="536" t="s">
        <v>481</v>
      </c>
      <c r="D958" s="536" t="s">
        <v>491</v>
      </c>
      <c r="E958" s="536" t="s">
        <v>498</v>
      </c>
      <c r="F958" s="536" t="s">
        <v>576</v>
      </c>
      <c r="G958" s="536"/>
      <c r="H958" s="537">
        <v>8.2799999999999994</v>
      </c>
      <c r="I958" s="537">
        <v>8.2799999999999994</v>
      </c>
      <c r="J958" s="537"/>
      <c r="K958" s="537"/>
      <c r="L958" s="537"/>
      <c r="M958" s="536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</row>
    <row r="959" spans="1:27" ht="13">
      <c r="A959" s="54">
        <v>2024</v>
      </c>
      <c r="B959" s="541">
        <v>45626</v>
      </c>
      <c r="C959" s="536" t="s">
        <v>481</v>
      </c>
      <c r="D959" s="536" t="s">
        <v>491</v>
      </c>
      <c r="E959" s="536" t="s">
        <v>639</v>
      </c>
      <c r="F959" s="536" t="s">
        <v>576</v>
      </c>
      <c r="G959" s="536"/>
      <c r="H959" s="537">
        <v>15</v>
      </c>
      <c r="I959" s="537">
        <v>15</v>
      </c>
      <c r="J959" s="537"/>
      <c r="K959" s="537"/>
      <c r="L959" s="537"/>
      <c r="M959" s="536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</row>
    <row r="960" spans="1:27" ht="13">
      <c r="A960" s="54">
        <v>2024</v>
      </c>
      <c r="B960" s="541">
        <v>45626</v>
      </c>
      <c r="C960" s="536" t="s">
        <v>481</v>
      </c>
      <c r="D960" s="536" t="s">
        <v>491</v>
      </c>
      <c r="E960" s="536" t="s">
        <v>592</v>
      </c>
      <c r="F960" s="536" t="s">
        <v>576</v>
      </c>
      <c r="G960" s="536"/>
      <c r="H960" s="537">
        <v>52</v>
      </c>
      <c r="I960" s="537">
        <v>52</v>
      </c>
      <c r="J960" s="537"/>
      <c r="K960" s="537"/>
      <c r="L960" s="537"/>
      <c r="M960" s="536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</row>
    <row r="961" spans="1:27" ht="13">
      <c r="A961" s="54">
        <v>2024</v>
      </c>
      <c r="B961" s="541">
        <v>45626</v>
      </c>
      <c r="C961" s="536" t="s">
        <v>481</v>
      </c>
      <c r="D961" s="536" t="s">
        <v>491</v>
      </c>
      <c r="E961" s="547" t="s">
        <v>709</v>
      </c>
      <c r="F961" s="536" t="s">
        <v>576</v>
      </c>
      <c r="G961" s="536"/>
      <c r="H961" s="537">
        <v>20</v>
      </c>
      <c r="I961" s="537">
        <v>20</v>
      </c>
      <c r="J961" s="537"/>
      <c r="K961" s="537"/>
      <c r="L961" s="537"/>
      <c r="M961" s="536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</row>
    <row r="962" spans="1:27" ht="13">
      <c r="A962" s="54">
        <v>2024</v>
      </c>
      <c r="B962" s="541">
        <v>45626</v>
      </c>
      <c r="C962" s="536" t="s">
        <v>481</v>
      </c>
      <c r="D962" s="536" t="s">
        <v>491</v>
      </c>
      <c r="E962" s="536" t="s">
        <v>718</v>
      </c>
      <c r="F962" s="536" t="s">
        <v>549</v>
      </c>
      <c r="G962" s="536"/>
      <c r="H962" s="537">
        <v>21.99</v>
      </c>
      <c r="I962" s="537">
        <v>21.99</v>
      </c>
      <c r="J962" s="537"/>
      <c r="K962" s="537"/>
      <c r="L962" s="537"/>
      <c r="M962" s="536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</row>
    <row r="963" spans="1:27" ht="13">
      <c r="A963" s="54">
        <v>2024</v>
      </c>
      <c r="B963" s="541">
        <v>45626</v>
      </c>
      <c r="C963" s="536" t="s">
        <v>481</v>
      </c>
      <c r="D963" s="536" t="s">
        <v>491</v>
      </c>
      <c r="E963" s="536" t="s">
        <v>633</v>
      </c>
      <c r="F963" s="536" t="s">
        <v>576</v>
      </c>
      <c r="G963" s="536"/>
      <c r="H963" s="537">
        <v>43.2</v>
      </c>
      <c r="I963" s="537">
        <v>43.2</v>
      </c>
      <c r="J963" s="537"/>
      <c r="K963" s="537"/>
      <c r="L963" s="537"/>
      <c r="M963" s="536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</row>
    <row r="964" spans="1:27" ht="13">
      <c r="A964" s="54">
        <v>2024</v>
      </c>
      <c r="B964" s="541">
        <v>45626</v>
      </c>
      <c r="C964" s="536" t="s">
        <v>481</v>
      </c>
      <c r="D964" s="536" t="s">
        <v>491</v>
      </c>
      <c r="E964" s="536" t="s">
        <v>719</v>
      </c>
      <c r="F964" s="536" t="s">
        <v>576</v>
      </c>
      <c r="G964" s="536"/>
      <c r="H964" s="537">
        <v>25.51</v>
      </c>
      <c r="I964" s="537">
        <v>25.51</v>
      </c>
      <c r="J964" s="537"/>
      <c r="K964" s="537"/>
      <c r="L964" s="537"/>
      <c r="M964" s="536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</row>
    <row r="965" spans="1:27" ht="13">
      <c r="A965" s="54">
        <v>2024</v>
      </c>
      <c r="B965" s="541">
        <v>45626</v>
      </c>
      <c r="C965" s="536" t="s">
        <v>474</v>
      </c>
      <c r="D965" s="536" t="s">
        <v>551</v>
      </c>
      <c r="E965" s="536" t="s">
        <v>510</v>
      </c>
      <c r="F965" s="536" t="s">
        <v>706</v>
      </c>
      <c r="G965" s="536"/>
      <c r="H965" s="537">
        <v>549.08000000000004</v>
      </c>
      <c r="I965" s="537">
        <v>549.08000000000004</v>
      </c>
      <c r="J965" s="537"/>
      <c r="K965" s="537"/>
      <c r="L965" s="537"/>
      <c r="M965" s="536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</row>
    <row r="966" spans="1:27" ht="13">
      <c r="A966" s="54">
        <v>2024</v>
      </c>
      <c r="B966" s="541">
        <v>45626</v>
      </c>
      <c r="C966" s="536" t="s">
        <v>481</v>
      </c>
      <c r="D966" s="536" t="s">
        <v>491</v>
      </c>
      <c r="E966" s="536" t="s">
        <v>532</v>
      </c>
      <c r="F966" s="536" t="s">
        <v>549</v>
      </c>
      <c r="G966" s="536"/>
      <c r="H966" s="537">
        <v>172.58</v>
      </c>
      <c r="I966" s="537">
        <v>172.58</v>
      </c>
      <c r="J966" s="537"/>
      <c r="K966" s="537"/>
      <c r="L966" s="537"/>
      <c r="M966" s="536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</row>
    <row r="967" spans="1:27" ht="13">
      <c r="A967" s="54">
        <v>2024</v>
      </c>
      <c r="B967" s="541">
        <v>45626</v>
      </c>
      <c r="C967" s="536" t="s">
        <v>481</v>
      </c>
      <c r="D967" s="536" t="s">
        <v>491</v>
      </c>
      <c r="E967" s="536" t="s">
        <v>532</v>
      </c>
      <c r="F967" s="536" t="s">
        <v>576</v>
      </c>
      <c r="G967" s="536"/>
      <c r="H967" s="537">
        <v>20</v>
      </c>
      <c r="I967" s="537">
        <v>20</v>
      </c>
      <c r="J967" s="537"/>
      <c r="K967" s="537"/>
      <c r="L967" s="537"/>
      <c r="M967" s="536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</row>
    <row r="968" spans="1:27" ht="13">
      <c r="A968" s="54">
        <v>2024</v>
      </c>
      <c r="B968" s="548">
        <v>45628</v>
      </c>
      <c r="C968" s="549" t="s">
        <v>679</v>
      </c>
      <c r="D968" s="549" t="s">
        <v>478</v>
      </c>
      <c r="E968" s="549" t="s">
        <v>479</v>
      </c>
      <c r="F968" s="549" t="s">
        <v>480</v>
      </c>
      <c r="G968" s="549"/>
      <c r="H968" s="550">
        <v>19</v>
      </c>
      <c r="I968" s="550">
        <v>19</v>
      </c>
      <c r="J968" s="551"/>
      <c r="K968" s="551"/>
      <c r="L968" s="551"/>
      <c r="M968" s="549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</row>
    <row r="969" spans="1:27" ht="13">
      <c r="A969" s="54">
        <v>2024</v>
      </c>
      <c r="B969" s="548">
        <v>45628</v>
      </c>
      <c r="C969" s="549" t="s">
        <v>474</v>
      </c>
      <c r="D969" s="549" t="s">
        <v>478</v>
      </c>
      <c r="E969" s="549" t="s">
        <v>479</v>
      </c>
      <c r="F969" s="549" t="s">
        <v>480</v>
      </c>
      <c r="G969" s="549"/>
      <c r="H969" s="550">
        <f t="shared" ref="H969:I969" si="65">40+57</f>
        <v>97</v>
      </c>
      <c r="I969" s="550">
        <f t="shared" si="65"/>
        <v>97</v>
      </c>
      <c r="J969" s="551"/>
      <c r="K969" s="551"/>
      <c r="L969" s="551"/>
      <c r="M969" s="549"/>
      <c r="N969" s="45"/>
      <c r="O969" s="110" t="s">
        <v>457</v>
      </c>
      <c r="P969" s="470"/>
      <c r="Q969" s="45"/>
      <c r="R969" s="45"/>
      <c r="S969" s="491" t="s">
        <v>669</v>
      </c>
      <c r="T969" s="492"/>
      <c r="U969" s="45"/>
      <c r="V969" s="45"/>
      <c r="W969" s="45"/>
      <c r="X969" s="45"/>
      <c r="Y969" s="45"/>
      <c r="Z969" s="45"/>
      <c r="AA969" s="45"/>
    </row>
    <row r="970" spans="1:27" ht="13">
      <c r="A970" s="54">
        <v>2024</v>
      </c>
      <c r="B970" s="548">
        <v>45629</v>
      </c>
      <c r="C970" s="549" t="s">
        <v>474</v>
      </c>
      <c r="D970" s="549" t="s">
        <v>551</v>
      </c>
      <c r="E970" s="549" t="s">
        <v>493</v>
      </c>
      <c r="F970" s="549" t="s">
        <v>658</v>
      </c>
      <c r="G970" s="549"/>
      <c r="H970" s="551">
        <v>9</v>
      </c>
      <c r="I970" s="551">
        <v>9</v>
      </c>
      <c r="J970" s="551"/>
      <c r="K970" s="551"/>
      <c r="L970" s="551"/>
      <c r="M970" s="549"/>
      <c r="N970" s="45"/>
      <c r="O970" s="552">
        <f>SUM(Facturacion!I134:I138)</f>
        <v>110445.5484</v>
      </c>
      <c r="P970" s="470"/>
      <c r="Q970" s="45"/>
      <c r="R970" s="45"/>
      <c r="S970" s="491" t="s">
        <v>411</v>
      </c>
      <c r="T970" s="552">
        <f>SUM(K970:K1017)</f>
        <v>509966.39000000007</v>
      </c>
      <c r="U970" s="45"/>
      <c r="V970" s="45"/>
      <c r="W970" s="45"/>
      <c r="X970" s="45"/>
      <c r="Y970" s="45"/>
      <c r="Z970" s="45"/>
      <c r="AA970" s="45"/>
    </row>
    <row r="971" spans="1:27" ht="13">
      <c r="A971" s="54">
        <v>2024</v>
      </c>
      <c r="B971" s="548">
        <v>45631</v>
      </c>
      <c r="C971" s="549" t="s">
        <v>481</v>
      </c>
      <c r="D971" s="549" t="s">
        <v>493</v>
      </c>
      <c r="E971" s="549" t="s">
        <v>479</v>
      </c>
      <c r="F971" s="549" t="s">
        <v>480</v>
      </c>
      <c r="G971" s="549"/>
      <c r="H971" s="551">
        <v>25</v>
      </c>
      <c r="I971" s="551">
        <v>25</v>
      </c>
      <c r="J971" s="551"/>
      <c r="K971" s="551"/>
      <c r="L971" s="551"/>
      <c r="M971" s="549"/>
      <c r="N971" s="45"/>
      <c r="O971" s="469" t="s">
        <v>461</v>
      </c>
      <c r="P971" s="469" t="s">
        <v>462</v>
      </c>
      <c r="Q971" s="45"/>
      <c r="R971" s="45"/>
      <c r="S971" s="469" t="s">
        <v>584</v>
      </c>
      <c r="T971" s="552">
        <f>SUM(I970:I1017)</f>
        <v>7339.1699999999983</v>
      </c>
      <c r="U971" s="45"/>
      <c r="V971" s="45"/>
      <c r="W971" s="45"/>
      <c r="X971" s="45"/>
      <c r="Y971" s="45"/>
      <c r="Z971" s="45"/>
      <c r="AA971" s="45"/>
    </row>
    <row r="972" spans="1:27" ht="13">
      <c r="A972" s="54">
        <v>2024</v>
      </c>
      <c r="B972" s="553">
        <v>45642</v>
      </c>
      <c r="C972" s="549" t="s">
        <v>481</v>
      </c>
      <c r="D972" s="549" t="s">
        <v>493</v>
      </c>
      <c r="E972" s="549" t="s">
        <v>479</v>
      </c>
      <c r="F972" s="549" t="s">
        <v>539</v>
      </c>
      <c r="G972" s="549"/>
      <c r="H972" s="551"/>
      <c r="I972" s="551"/>
      <c r="J972" s="551">
        <v>1320</v>
      </c>
      <c r="K972" s="551">
        <v>1320</v>
      </c>
      <c r="L972" s="551"/>
      <c r="M972" s="549"/>
      <c r="N972" s="45"/>
      <c r="O972" s="552">
        <f>SUM(L969:L1017)</f>
        <v>3235.5541200000002</v>
      </c>
      <c r="P972" s="552">
        <f>(O970-O972)</f>
        <v>107209.99428</v>
      </c>
      <c r="Q972" s="45"/>
      <c r="R972" s="45"/>
      <c r="S972" s="492"/>
      <c r="T972" s="492"/>
      <c r="U972" s="45"/>
      <c r="V972" s="45"/>
      <c r="W972" s="45"/>
      <c r="X972" s="45"/>
      <c r="Y972" s="45"/>
      <c r="Z972" s="45"/>
      <c r="AA972" s="45"/>
    </row>
    <row r="973" spans="1:27" ht="13">
      <c r="A973" s="54">
        <v>2024</v>
      </c>
      <c r="B973" s="553">
        <v>45642</v>
      </c>
      <c r="C973" s="549" t="s">
        <v>481</v>
      </c>
      <c r="D973" s="549" t="s">
        <v>475</v>
      </c>
      <c r="E973" s="549" t="s">
        <v>720</v>
      </c>
      <c r="F973" s="549" t="s">
        <v>721</v>
      </c>
      <c r="G973" s="549"/>
      <c r="H973" s="551"/>
      <c r="I973" s="551"/>
      <c r="J973" s="551">
        <v>4209</v>
      </c>
      <c r="K973" s="551">
        <f t="shared" ref="K973:K974" si="66">J973-L973</f>
        <v>3450</v>
      </c>
      <c r="L973" s="551">
        <v>759</v>
      </c>
      <c r="M973" s="549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</row>
    <row r="974" spans="1:27" ht="13">
      <c r="A974" s="54">
        <v>2024</v>
      </c>
      <c r="B974" s="553">
        <v>45645</v>
      </c>
      <c r="C974" s="549" t="s">
        <v>481</v>
      </c>
      <c r="D974" s="549" t="s">
        <v>494</v>
      </c>
      <c r="E974" s="549" t="s">
        <v>521</v>
      </c>
      <c r="F974" s="549" t="s">
        <v>544</v>
      </c>
      <c r="G974" s="549"/>
      <c r="H974" s="551"/>
      <c r="I974" s="551"/>
      <c r="J974" s="551">
        <v>953</v>
      </c>
      <c r="K974" s="551">
        <f t="shared" si="66"/>
        <v>781.01</v>
      </c>
      <c r="L974" s="551">
        <v>171.99</v>
      </c>
      <c r="M974" s="549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</row>
    <row r="975" spans="1:27" ht="13">
      <c r="A975" s="54">
        <v>2024</v>
      </c>
      <c r="B975" s="553">
        <v>45652</v>
      </c>
      <c r="C975" s="549" t="s">
        <v>481</v>
      </c>
      <c r="D975" s="549" t="s">
        <v>493</v>
      </c>
      <c r="E975" s="549" t="s">
        <v>479</v>
      </c>
      <c r="F975" s="549" t="s">
        <v>480</v>
      </c>
      <c r="G975" s="549"/>
      <c r="H975" s="551">
        <v>41.9</v>
      </c>
      <c r="I975" s="551">
        <v>41.9</v>
      </c>
      <c r="J975" s="551"/>
      <c r="K975" s="551"/>
      <c r="L975" s="551"/>
      <c r="M975" s="549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</row>
    <row r="976" spans="1:27" ht="13">
      <c r="A976" s="54">
        <v>2024</v>
      </c>
      <c r="B976" s="553">
        <v>45652</v>
      </c>
      <c r="C976" s="549" t="s">
        <v>481</v>
      </c>
      <c r="D976" s="549" t="s">
        <v>494</v>
      </c>
      <c r="E976" s="549" t="s">
        <v>502</v>
      </c>
      <c r="F976" s="549" t="s">
        <v>522</v>
      </c>
      <c r="G976" s="549"/>
      <c r="H976" s="551"/>
      <c r="I976" s="551"/>
      <c r="J976" s="551">
        <v>84140</v>
      </c>
      <c r="K976" s="551">
        <v>84140</v>
      </c>
      <c r="L976" s="551"/>
      <c r="M976" s="549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</row>
    <row r="977" spans="1:27" ht="13">
      <c r="A977" s="54">
        <v>2024</v>
      </c>
      <c r="B977" s="553">
        <v>45652</v>
      </c>
      <c r="C977" s="549" t="s">
        <v>481</v>
      </c>
      <c r="D977" s="549" t="s">
        <v>494</v>
      </c>
      <c r="E977" s="549" t="s">
        <v>502</v>
      </c>
      <c r="F977" s="549" t="s">
        <v>543</v>
      </c>
      <c r="G977" s="549"/>
      <c r="H977" s="551"/>
      <c r="I977" s="551"/>
      <c r="J977" s="551">
        <v>7178</v>
      </c>
      <c r="K977" s="551">
        <v>7178</v>
      </c>
      <c r="L977" s="551"/>
      <c r="M977" s="549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</row>
    <row r="978" spans="1:27" ht="13">
      <c r="A978" s="54">
        <v>2024</v>
      </c>
      <c r="B978" s="553">
        <v>45652</v>
      </c>
      <c r="C978" s="549" t="s">
        <v>481</v>
      </c>
      <c r="D978" s="549" t="s">
        <v>494</v>
      </c>
      <c r="E978" s="549" t="s">
        <v>512</v>
      </c>
      <c r="F978" s="549" t="s">
        <v>528</v>
      </c>
      <c r="G978" s="549"/>
      <c r="H978" s="551"/>
      <c r="I978" s="551"/>
      <c r="J978" s="551">
        <v>107210</v>
      </c>
      <c r="K978" s="551">
        <v>107210</v>
      </c>
      <c r="L978" s="551"/>
      <c r="M978" s="549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</row>
    <row r="979" spans="1:27" ht="13">
      <c r="A979" s="54">
        <v>2024</v>
      </c>
      <c r="B979" s="553">
        <v>45652</v>
      </c>
      <c r="C979" s="549" t="s">
        <v>481</v>
      </c>
      <c r="D979" s="549" t="s">
        <v>494</v>
      </c>
      <c r="E979" s="549" t="s">
        <v>512</v>
      </c>
      <c r="F979" s="549" t="s">
        <v>574</v>
      </c>
      <c r="G979" s="549"/>
      <c r="H979" s="551"/>
      <c r="I979" s="551"/>
      <c r="J979" s="551">
        <v>903</v>
      </c>
      <c r="K979" s="551">
        <v>903</v>
      </c>
      <c r="L979" s="551"/>
      <c r="M979" s="549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</row>
    <row r="980" spans="1:27" ht="13">
      <c r="A980" s="54">
        <v>2024</v>
      </c>
      <c r="B980" s="553">
        <v>45652</v>
      </c>
      <c r="C980" s="549" t="s">
        <v>481</v>
      </c>
      <c r="D980" s="549" t="s">
        <v>493</v>
      </c>
      <c r="E980" s="549" t="s">
        <v>479</v>
      </c>
      <c r="F980" s="549" t="s">
        <v>624</v>
      </c>
      <c r="G980" s="549"/>
      <c r="H980" s="551">
        <v>40.43</v>
      </c>
      <c r="I980" s="551">
        <v>33.14</v>
      </c>
      <c r="J980" s="551"/>
      <c r="K980" s="551"/>
      <c r="L980" s="551">
        <f>7.29*M980</f>
        <v>320.96411999999998</v>
      </c>
      <c r="M980" s="549">
        <v>44.027999999999999</v>
      </c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</row>
    <row r="981" spans="1:27" ht="13">
      <c r="A981" s="54">
        <v>2024</v>
      </c>
      <c r="B981" s="553">
        <v>45652</v>
      </c>
      <c r="C981" s="549" t="s">
        <v>481</v>
      </c>
      <c r="D981" s="549" t="s">
        <v>493</v>
      </c>
      <c r="E981" s="549" t="s">
        <v>479</v>
      </c>
      <c r="F981" s="549" t="s">
        <v>722</v>
      </c>
      <c r="G981" s="549"/>
      <c r="H981" s="551"/>
      <c r="I981" s="551"/>
      <c r="J981" s="551">
        <v>1999.99</v>
      </c>
      <c r="K981" s="551">
        <f>J981-L981</f>
        <v>1639.3400000000001</v>
      </c>
      <c r="L981" s="336">
        <v>360.65</v>
      </c>
      <c r="M981" s="549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</row>
    <row r="982" spans="1:27" ht="13">
      <c r="A982" s="54">
        <v>2024</v>
      </c>
      <c r="B982" s="553">
        <v>45653</v>
      </c>
      <c r="C982" s="549" t="s">
        <v>481</v>
      </c>
      <c r="D982" s="549" t="s">
        <v>489</v>
      </c>
      <c r="E982" s="549" t="s">
        <v>463</v>
      </c>
      <c r="F982" s="549" t="s">
        <v>464</v>
      </c>
      <c r="G982" s="551"/>
      <c r="H982" s="551"/>
      <c r="I982" s="551"/>
      <c r="J982" s="551">
        <v>7000</v>
      </c>
      <c r="K982" s="551">
        <v>5737.7</v>
      </c>
      <c r="L982" s="551">
        <v>1262.3</v>
      </c>
      <c r="M982" s="549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</row>
    <row r="983" spans="1:27" ht="13">
      <c r="A983" s="54">
        <v>2024</v>
      </c>
      <c r="B983" s="553">
        <v>45653</v>
      </c>
      <c r="C983" s="549" t="s">
        <v>481</v>
      </c>
      <c r="D983" s="549" t="s">
        <v>493</v>
      </c>
      <c r="E983" s="549" t="s">
        <v>479</v>
      </c>
      <c r="F983" s="549" t="s">
        <v>480</v>
      </c>
      <c r="G983" s="549"/>
      <c r="H983" s="551">
        <v>40</v>
      </c>
      <c r="I983" s="551">
        <v>40</v>
      </c>
      <c r="J983" s="551"/>
      <c r="K983" s="551"/>
      <c r="L983" s="551"/>
      <c r="M983" s="549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</row>
    <row r="984" spans="1:27" ht="13">
      <c r="A984" s="54">
        <v>2024</v>
      </c>
      <c r="B984" s="553">
        <v>45657</v>
      </c>
      <c r="C984" s="549" t="s">
        <v>481</v>
      </c>
      <c r="D984" s="549" t="s">
        <v>482</v>
      </c>
      <c r="E984" s="549" t="s">
        <v>495</v>
      </c>
      <c r="F984" s="549" t="s">
        <v>496</v>
      </c>
      <c r="G984" s="551"/>
      <c r="H984" s="550"/>
      <c r="I984" s="550"/>
      <c r="J984" s="551">
        <v>220014</v>
      </c>
      <c r="K984" s="551">
        <v>220014</v>
      </c>
      <c r="L984" s="551"/>
      <c r="M984" s="549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</row>
    <row r="985" spans="1:27" ht="13">
      <c r="A985" s="54">
        <v>2024</v>
      </c>
      <c r="B985" s="553">
        <v>45657</v>
      </c>
      <c r="C985" s="549" t="s">
        <v>481</v>
      </c>
      <c r="D985" s="549" t="s">
        <v>484</v>
      </c>
      <c r="E985" s="549" t="s">
        <v>644</v>
      </c>
      <c r="F985" s="549" t="s">
        <v>668</v>
      </c>
      <c r="G985" s="551"/>
      <c r="H985" s="551"/>
      <c r="I985" s="551"/>
      <c r="J985" s="551">
        <v>13318</v>
      </c>
      <c r="K985" s="336">
        <v>13318</v>
      </c>
      <c r="L985" s="551"/>
      <c r="M985" s="549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</row>
    <row r="986" spans="1:27" ht="13">
      <c r="A986" s="54">
        <v>2024</v>
      </c>
      <c r="B986" s="553">
        <v>45657</v>
      </c>
      <c r="C986" s="549" t="s">
        <v>481</v>
      </c>
      <c r="D986" s="549" t="s">
        <v>484</v>
      </c>
      <c r="E986" s="549" t="s">
        <v>644</v>
      </c>
      <c r="F986" s="549" t="s">
        <v>488</v>
      </c>
      <c r="G986" s="551"/>
      <c r="H986" s="551"/>
      <c r="I986" s="551"/>
      <c r="J986" s="551">
        <v>62636</v>
      </c>
      <c r="K986" s="551">
        <v>62636</v>
      </c>
      <c r="L986" s="551"/>
      <c r="M986" s="549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</row>
    <row r="987" spans="1:27" ht="13">
      <c r="A987" s="54">
        <v>2024</v>
      </c>
      <c r="B987" s="553">
        <v>45657</v>
      </c>
      <c r="C987" s="549" t="s">
        <v>679</v>
      </c>
      <c r="D987" s="549" t="s">
        <v>482</v>
      </c>
      <c r="E987" s="549" t="s">
        <v>680</v>
      </c>
      <c r="F987" s="549" t="s">
        <v>459</v>
      </c>
      <c r="G987" s="551"/>
      <c r="H987" s="551">
        <v>1100</v>
      </c>
      <c r="I987" s="551">
        <v>1100</v>
      </c>
      <c r="J987" s="551"/>
      <c r="K987" s="551"/>
      <c r="L987" s="551"/>
      <c r="M987" s="549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</row>
    <row r="988" spans="1:27" ht="13">
      <c r="A988" s="54">
        <v>2024</v>
      </c>
      <c r="B988" s="553">
        <v>45657</v>
      </c>
      <c r="C988" s="549" t="s">
        <v>474</v>
      </c>
      <c r="D988" s="549" t="s">
        <v>482</v>
      </c>
      <c r="E988" s="549" t="s">
        <v>483</v>
      </c>
      <c r="F988" s="549" t="s">
        <v>459</v>
      </c>
      <c r="G988" s="551"/>
      <c r="H988" s="551">
        <v>1300</v>
      </c>
      <c r="I988" s="551">
        <v>1300</v>
      </c>
      <c r="J988" s="551"/>
      <c r="K988" s="551"/>
      <c r="L988" s="551"/>
      <c r="M988" s="549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</row>
    <row r="989" spans="1:27" ht="13">
      <c r="A989" s="54">
        <v>2024</v>
      </c>
      <c r="B989" s="553">
        <v>45657</v>
      </c>
      <c r="C989" s="549" t="s">
        <v>474</v>
      </c>
      <c r="D989" s="549" t="s">
        <v>482</v>
      </c>
      <c r="E989" s="549" t="s">
        <v>535</v>
      </c>
      <c r="F989" s="549" t="s">
        <v>459</v>
      </c>
      <c r="G989" s="551"/>
      <c r="H989" s="551">
        <v>1300</v>
      </c>
      <c r="I989" s="551">
        <v>1300</v>
      </c>
      <c r="J989" s="551"/>
      <c r="K989" s="551"/>
      <c r="L989" s="551"/>
      <c r="M989" s="549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</row>
    <row r="990" spans="1:27" ht="13">
      <c r="A990" s="54">
        <v>2024</v>
      </c>
      <c r="B990" s="553">
        <v>45657</v>
      </c>
      <c r="C990" s="549" t="s">
        <v>474</v>
      </c>
      <c r="D990" s="549" t="s">
        <v>482</v>
      </c>
      <c r="E990" s="549" t="s">
        <v>541</v>
      </c>
      <c r="F990" s="549" t="s">
        <v>459</v>
      </c>
      <c r="G990" s="551"/>
      <c r="H990" s="551">
        <v>1300</v>
      </c>
      <c r="I990" s="551">
        <v>1300</v>
      </c>
      <c r="J990" s="551"/>
      <c r="K990" s="551"/>
      <c r="L990" s="551"/>
      <c r="M990" s="549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</row>
    <row r="991" spans="1:27" ht="13">
      <c r="A991" s="54">
        <v>2024</v>
      </c>
      <c r="B991" s="553">
        <v>45657</v>
      </c>
      <c r="C991" s="549" t="s">
        <v>474</v>
      </c>
      <c r="D991" s="549" t="s">
        <v>482</v>
      </c>
      <c r="E991" s="549" t="s">
        <v>537</v>
      </c>
      <c r="F991" s="549" t="s">
        <v>459</v>
      </c>
      <c r="G991" s="551"/>
      <c r="H991" s="551">
        <v>900</v>
      </c>
      <c r="I991" s="551">
        <v>900</v>
      </c>
      <c r="J991" s="551"/>
      <c r="K991" s="551"/>
      <c r="L991" s="551"/>
      <c r="M991" s="549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</row>
    <row r="992" spans="1:27" ht="13">
      <c r="A992" s="54">
        <v>2024</v>
      </c>
      <c r="B992" s="553">
        <v>45657</v>
      </c>
      <c r="C992" s="549" t="s">
        <v>679</v>
      </c>
      <c r="D992" s="549" t="s">
        <v>478</v>
      </c>
      <c r="E992" s="549" t="s">
        <v>701</v>
      </c>
      <c r="F992" s="549" t="s">
        <v>539</v>
      </c>
      <c r="G992" s="554"/>
      <c r="H992" s="550">
        <f t="shared" ref="H992:I992" si="67">49.7/4</f>
        <v>12.425000000000001</v>
      </c>
      <c r="I992" s="550">
        <f t="shared" si="67"/>
        <v>12.425000000000001</v>
      </c>
      <c r="J992" s="551"/>
      <c r="K992" s="551"/>
      <c r="L992" s="551"/>
      <c r="M992" s="549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</row>
    <row r="993" spans="1:27" ht="13">
      <c r="A993" s="54">
        <v>2024</v>
      </c>
      <c r="B993" s="553">
        <v>45657</v>
      </c>
      <c r="C993" s="549" t="s">
        <v>474</v>
      </c>
      <c r="D993" s="549" t="s">
        <v>478</v>
      </c>
      <c r="E993" s="549" t="s">
        <v>701</v>
      </c>
      <c r="F993" s="549" t="s">
        <v>539</v>
      </c>
      <c r="G993" s="554"/>
      <c r="H993" s="550">
        <f t="shared" ref="H993:I993" si="68">49.7/4*3</f>
        <v>37.275000000000006</v>
      </c>
      <c r="I993" s="550">
        <f t="shared" si="68"/>
        <v>37.275000000000006</v>
      </c>
      <c r="J993" s="551"/>
      <c r="K993" s="551"/>
      <c r="L993" s="551"/>
      <c r="M993" s="549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</row>
    <row r="994" spans="1:27" ht="13">
      <c r="A994" s="54">
        <v>2024</v>
      </c>
      <c r="B994" s="553">
        <v>45657</v>
      </c>
      <c r="C994" s="549" t="s">
        <v>474</v>
      </c>
      <c r="D994" s="549" t="s">
        <v>478</v>
      </c>
      <c r="E994" s="549" t="s">
        <v>479</v>
      </c>
      <c r="F994" s="549" t="s">
        <v>547</v>
      </c>
      <c r="G994" s="549"/>
      <c r="H994" s="551">
        <v>20</v>
      </c>
      <c r="I994" s="551">
        <v>20</v>
      </c>
      <c r="J994" s="551"/>
      <c r="K994" s="551"/>
      <c r="L994" s="551"/>
      <c r="M994" s="549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</row>
    <row r="995" spans="1:27" ht="13">
      <c r="A995" s="54">
        <v>2024</v>
      </c>
      <c r="B995" s="553">
        <v>45657</v>
      </c>
      <c r="C995" s="549" t="s">
        <v>679</v>
      </c>
      <c r="D995" s="549" t="s">
        <v>478</v>
      </c>
      <c r="E995" s="549" t="s">
        <v>479</v>
      </c>
      <c r="F995" s="549" t="s">
        <v>480</v>
      </c>
      <c r="G995" s="549"/>
      <c r="H995" s="550">
        <v>19</v>
      </c>
      <c r="I995" s="550">
        <v>19</v>
      </c>
      <c r="J995" s="551"/>
      <c r="K995" s="551"/>
      <c r="L995" s="551"/>
      <c r="M995" s="549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</row>
    <row r="996" spans="1:27" ht="13">
      <c r="A996" s="54">
        <v>2024</v>
      </c>
      <c r="B996" s="553">
        <v>45657</v>
      </c>
      <c r="C996" s="549" t="s">
        <v>474</v>
      </c>
      <c r="D996" s="549" t="s">
        <v>478</v>
      </c>
      <c r="E996" s="549" t="s">
        <v>479</v>
      </c>
      <c r="F996" s="549" t="s">
        <v>480</v>
      </c>
      <c r="G996" s="549"/>
      <c r="H996" s="550">
        <f t="shared" ref="H996:I996" si="69">40+57</f>
        <v>97</v>
      </c>
      <c r="I996" s="550">
        <f t="shared" si="69"/>
        <v>97</v>
      </c>
      <c r="J996" s="551"/>
      <c r="K996" s="551"/>
      <c r="L996" s="551"/>
      <c r="M996" s="549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</row>
    <row r="997" spans="1:27" ht="13">
      <c r="A997" s="54">
        <v>2024</v>
      </c>
      <c r="B997" s="553">
        <v>45657</v>
      </c>
      <c r="C997" s="549" t="s">
        <v>481</v>
      </c>
      <c r="D997" s="549" t="s">
        <v>491</v>
      </c>
      <c r="E997" s="549" t="s">
        <v>723</v>
      </c>
      <c r="F997" s="549" t="s">
        <v>576</v>
      </c>
      <c r="G997" s="549"/>
      <c r="H997" s="550">
        <v>189.19</v>
      </c>
      <c r="I997" s="550">
        <v>189.19</v>
      </c>
      <c r="J997" s="551"/>
      <c r="K997" s="551"/>
      <c r="L997" s="551"/>
      <c r="M997" s="549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</row>
    <row r="998" spans="1:27" ht="13">
      <c r="A998" s="54">
        <v>2024</v>
      </c>
      <c r="B998" s="553">
        <v>45657</v>
      </c>
      <c r="C998" s="549" t="s">
        <v>481</v>
      </c>
      <c r="D998" s="549" t="s">
        <v>491</v>
      </c>
      <c r="E998" s="549" t="s">
        <v>724</v>
      </c>
      <c r="F998" s="549" t="s">
        <v>576</v>
      </c>
      <c r="G998" s="549"/>
      <c r="H998" s="550">
        <v>138.28</v>
      </c>
      <c r="I998" s="550">
        <v>138.28</v>
      </c>
      <c r="J998" s="551"/>
      <c r="K998" s="551"/>
      <c r="L998" s="551"/>
      <c r="M998" s="549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</row>
    <row r="999" spans="1:27" ht="13">
      <c r="A999" s="54">
        <v>2024</v>
      </c>
      <c r="B999" s="553">
        <v>45657</v>
      </c>
      <c r="C999" s="549" t="s">
        <v>481</v>
      </c>
      <c r="D999" s="549" t="s">
        <v>491</v>
      </c>
      <c r="E999" s="555" t="s">
        <v>654</v>
      </c>
      <c r="F999" s="549" t="s">
        <v>576</v>
      </c>
      <c r="G999" s="549"/>
      <c r="H999" s="550">
        <f t="shared" ref="H999:I999" si="70">37.11+36</f>
        <v>73.11</v>
      </c>
      <c r="I999" s="550">
        <f t="shared" si="70"/>
        <v>73.11</v>
      </c>
      <c r="J999" s="551"/>
      <c r="K999" s="551"/>
      <c r="L999" s="551"/>
      <c r="M999" s="549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</row>
    <row r="1000" spans="1:27" ht="13">
      <c r="A1000" s="54">
        <v>2024</v>
      </c>
      <c r="B1000" s="553">
        <v>45657</v>
      </c>
      <c r="C1000" s="549" t="s">
        <v>481</v>
      </c>
      <c r="D1000" s="549" t="s">
        <v>491</v>
      </c>
      <c r="E1000" s="549" t="s">
        <v>534</v>
      </c>
      <c r="F1000" s="549" t="s">
        <v>576</v>
      </c>
      <c r="G1000" s="549"/>
      <c r="H1000" s="550">
        <v>15.99</v>
      </c>
      <c r="I1000" s="550">
        <v>15.99</v>
      </c>
      <c r="J1000" s="551"/>
      <c r="K1000" s="551"/>
      <c r="L1000" s="551"/>
      <c r="M1000" s="549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</row>
    <row r="1001" spans="1:27" ht="13">
      <c r="A1001" s="54">
        <v>2024</v>
      </c>
      <c r="B1001" s="553">
        <v>45657</v>
      </c>
      <c r="C1001" s="549" t="s">
        <v>481</v>
      </c>
      <c r="D1001" s="549" t="s">
        <v>491</v>
      </c>
      <c r="E1001" s="549" t="s">
        <v>602</v>
      </c>
      <c r="F1001" s="549" t="s">
        <v>576</v>
      </c>
      <c r="G1001" s="549"/>
      <c r="H1001" s="550">
        <v>80.010000000000005</v>
      </c>
      <c r="I1001" s="550">
        <v>80.010000000000005</v>
      </c>
      <c r="J1001" s="551"/>
      <c r="K1001" s="551"/>
      <c r="L1001" s="551"/>
      <c r="M1001" s="549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</row>
    <row r="1002" spans="1:27" ht="13">
      <c r="A1002" s="54">
        <v>2024</v>
      </c>
      <c r="B1002" s="553">
        <v>45657</v>
      </c>
      <c r="C1002" s="549" t="s">
        <v>481</v>
      </c>
      <c r="D1002" s="549" t="s">
        <v>491</v>
      </c>
      <c r="E1002" s="549" t="s">
        <v>591</v>
      </c>
      <c r="F1002" s="549" t="s">
        <v>576</v>
      </c>
      <c r="G1002" s="549"/>
      <c r="H1002" s="550">
        <v>20</v>
      </c>
      <c r="I1002" s="550">
        <v>20</v>
      </c>
      <c r="J1002" s="551"/>
      <c r="K1002" s="551"/>
      <c r="L1002" s="551"/>
      <c r="M1002" s="549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</row>
    <row r="1003" spans="1:27" ht="13">
      <c r="A1003" s="54">
        <v>2024</v>
      </c>
      <c r="B1003" s="553">
        <v>45657</v>
      </c>
      <c r="C1003" s="549" t="s">
        <v>481</v>
      </c>
      <c r="D1003" s="549" t="s">
        <v>491</v>
      </c>
      <c r="E1003" s="549" t="s">
        <v>498</v>
      </c>
      <c r="F1003" s="549" t="s">
        <v>576</v>
      </c>
      <c r="G1003" s="549"/>
      <c r="H1003" s="550">
        <v>8.02</v>
      </c>
      <c r="I1003" s="550">
        <v>8.02</v>
      </c>
      <c r="J1003" s="551"/>
      <c r="K1003" s="551"/>
      <c r="L1003" s="551"/>
      <c r="M1003" s="549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</row>
    <row r="1004" spans="1:27" ht="13">
      <c r="A1004" s="54">
        <v>2024</v>
      </c>
      <c r="B1004" s="553">
        <v>45657</v>
      </c>
      <c r="C1004" s="549" t="s">
        <v>481</v>
      </c>
      <c r="D1004" s="549" t="s">
        <v>491</v>
      </c>
      <c r="E1004" s="549" t="s">
        <v>639</v>
      </c>
      <c r="F1004" s="549" t="s">
        <v>576</v>
      </c>
      <c r="G1004" s="549"/>
      <c r="H1004" s="550">
        <v>15</v>
      </c>
      <c r="I1004" s="550">
        <v>15</v>
      </c>
      <c r="J1004" s="551"/>
      <c r="K1004" s="551"/>
      <c r="L1004" s="551"/>
      <c r="M1004" s="549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</row>
    <row r="1005" spans="1:27" ht="13">
      <c r="A1005" s="54">
        <v>2024</v>
      </c>
      <c r="B1005" s="553">
        <v>45657</v>
      </c>
      <c r="C1005" s="549" t="s">
        <v>481</v>
      </c>
      <c r="D1005" s="549" t="s">
        <v>491</v>
      </c>
      <c r="E1005" s="549" t="s">
        <v>592</v>
      </c>
      <c r="F1005" s="549" t="s">
        <v>576</v>
      </c>
      <c r="G1005" s="549"/>
      <c r="H1005" s="550">
        <v>52</v>
      </c>
      <c r="I1005" s="550">
        <v>52</v>
      </c>
      <c r="J1005" s="551"/>
      <c r="K1005" s="551"/>
      <c r="L1005" s="551"/>
      <c r="M1005" s="549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</row>
    <row r="1006" spans="1:27" ht="13">
      <c r="A1006" s="54">
        <v>2024</v>
      </c>
      <c r="B1006" s="553">
        <v>45657</v>
      </c>
      <c r="C1006" s="549" t="s">
        <v>481</v>
      </c>
      <c r="D1006" s="549" t="s">
        <v>491</v>
      </c>
      <c r="E1006" s="555" t="s">
        <v>709</v>
      </c>
      <c r="F1006" s="549" t="s">
        <v>576</v>
      </c>
      <c r="G1006" s="549"/>
      <c r="H1006" s="550">
        <v>20</v>
      </c>
      <c r="I1006" s="550">
        <v>20</v>
      </c>
      <c r="J1006" s="551"/>
      <c r="K1006" s="551"/>
      <c r="L1006" s="551"/>
      <c r="M1006" s="549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</row>
    <row r="1007" spans="1:27" ht="13">
      <c r="A1007" s="54">
        <v>2024</v>
      </c>
      <c r="B1007" s="553">
        <v>45657</v>
      </c>
      <c r="C1007" s="549" t="s">
        <v>481</v>
      </c>
      <c r="D1007" s="549" t="s">
        <v>491</v>
      </c>
      <c r="E1007" s="549" t="s">
        <v>633</v>
      </c>
      <c r="F1007" s="549" t="s">
        <v>576</v>
      </c>
      <c r="G1007" s="549"/>
      <c r="H1007" s="550">
        <v>43.2</v>
      </c>
      <c r="I1007" s="550">
        <v>43.2</v>
      </c>
      <c r="J1007" s="551"/>
      <c r="K1007" s="551"/>
      <c r="L1007" s="551"/>
      <c r="M1007" s="549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</row>
    <row r="1008" spans="1:27" ht="13">
      <c r="A1008" s="54">
        <v>2024</v>
      </c>
      <c r="B1008" s="553">
        <v>45657</v>
      </c>
      <c r="C1008" s="549" t="s">
        <v>481</v>
      </c>
      <c r="D1008" s="549" t="s">
        <v>491</v>
      </c>
      <c r="E1008" s="549" t="s">
        <v>719</v>
      </c>
      <c r="F1008" s="549" t="s">
        <v>576</v>
      </c>
      <c r="G1008" s="549"/>
      <c r="H1008" s="550">
        <v>90.77</v>
      </c>
      <c r="I1008" s="550">
        <v>90.77</v>
      </c>
      <c r="J1008" s="551"/>
      <c r="K1008" s="551"/>
      <c r="L1008" s="551"/>
      <c r="M1008" s="549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</row>
    <row r="1009" spans="1:27" ht="13">
      <c r="A1009" s="54">
        <v>2024</v>
      </c>
      <c r="B1009" s="553">
        <v>45657</v>
      </c>
      <c r="C1009" s="549" t="s">
        <v>481</v>
      </c>
      <c r="D1009" s="549" t="s">
        <v>491</v>
      </c>
      <c r="E1009" s="549" t="s">
        <v>725</v>
      </c>
      <c r="F1009" s="549" t="s">
        <v>549</v>
      </c>
      <c r="G1009" s="549"/>
      <c r="H1009" s="550">
        <v>1.1399999999999999</v>
      </c>
      <c r="I1009" s="550">
        <v>1.1399999999999999</v>
      </c>
      <c r="J1009" s="551"/>
      <c r="K1009" s="551"/>
      <c r="L1009" s="551"/>
      <c r="M1009" s="549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</row>
    <row r="1010" spans="1:27" ht="13">
      <c r="A1010" s="54">
        <v>2024</v>
      </c>
      <c r="B1010" s="553">
        <v>45657</v>
      </c>
      <c r="C1010" s="549" t="s">
        <v>474</v>
      </c>
      <c r="D1010" s="549" t="s">
        <v>551</v>
      </c>
      <c r="E1010" s="549" t="s">
        <v>567</v>
      </c>
      <c r="F1010" s="549" t="s">
        <v>568</v>
      </c>
      <c r="G1010" s="549"/>
      <c r="H1010" s="551">
        <f t="shared" ref="H1010:I1010" si="71">0.67+1.55+1.27+0.96+1.21+1.65+1.37+0.46+2.76+2.22+1.87+0.88</f>
        <v>16.87</v>
      </c>
      <c r="I1010" s="551">
        <f t="shared" si="71"/>
        <v>16.87</v>
      </c>
      <c r="J1010" s="551"/>
      <c r="K1010" s="551"/>
      <c r="L1010" s="551"/>
      <c r="M1010" s="549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</row>
    <row r="1011" spans="1:27" ht="13">
      <c r="A1011" s="54">
        <v>2024</v>
      </c>
      <c r="B1011" s="553">
        <v>45657</v>
      </c>
      <c r="C1011" s="549" t="s">
        <v>474</v>
      </c>
      <c r="D1011" s="549" t="s">
        <v>551</v>
      </c>
      <c r="E1011" s="549" t="s">
        <v>726</v>
      </c>
      <c r="F1011" s="549" t="s">
        <v>707</v>
      </c>
      <c r="G1011" s="549"/>
      <c r="H1011" s="551">
        <v>57.04</v>
      </c>
      <c r="I1011" s="551">
        <v>57.04</v>
      </c>
      <c r="J1011" s="551"/>
      <c r="K1011" s="551"/>
      <c r="L1011" s="551"/>
      <c r="M1011" s="549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</row>
    <row r="1012" spans="1:27" ht="13">
      <c r="A1012" s="54">
        <v>2024</v>
      </c>
      <c r="B1012" s="553">
        <v>45657</v>
      </c>
      <c r="C1012" s="549" t="s">
        <v>474</v>
      </c>
      <c r="D1012" s="549" t="s">
        <v>551</v>
      </c>
      <c r="E1012" s="549" t="s">
        <v>727</v>
      </c>
      <c r="F1012" s="549" t="s">
        <v>700</v>
      </c>
      <c r="G1012" s="549"/>
      <c r="H1012" s="551">
        <v>177.73</v>
      </c>
      <c r="I1012" s="551">
        <v>177.73</v>
      </c>
      <c r="J1012" s="551"/>
      <c r="K1012" s="551"/>
      <c r="L1012" s="551"/>
      <c r="M1012" s="549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</row>
    <row r="1013" spans="1:27" ht="13">
      <c r="A1013" s="54">
        <v>2024</v>
      </c>
      <c r="B1013" s="553">
        <v>45657</v>
      </c>
      <c r="C1013" s="549" t="s">
        <v>474</v>
      </c>
      <c r="D1013" s="549" t="s">
        <v>551</v>
      </c>
      <c r="E1013" s="549" t="s">
        <v>728</v>
      </c>
      <c r="F1013" s="549" t="s">
        <v>700</v>
      </c>
      <c r="G1013" s="549"/>
      <c r="H1013" s="551">
        <v>10.4</v>
      </c>
      <c r="I1013" s="551">
        <v>10.4</v>
      </c>
      <c r="J1013" s="551"/>
      <c r="K1013" s="551"/>
      <c r="L1013" s="551"/>
      <c r="M1013" s="549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</row>
    <row r="1014" spans="1:27" ht="13">
      <c r="A1014" s="54">
        <v>2024</v>
      </c>
      <c r="B1014" s="553">
        <v>45657</v>
      </c>
      <c r="C1014" s="549" t="s">
        <v>474</v>
      </c>
      <c r="D1014" s="549" t="s">
        <v>551</v>
      </c>
      <c r="E1014" s="549" t="s">
        <v>729</v>
      </c>
      <c r="F1014" s="549" t="s">
        <v>700</v>
      </c>
      <c r="G1014" s="549"/>
      <c r="H1014" s="551">
        <f t="shared" ref="H1014:I1014" si="72">9.65+10.92+17.43</f>
        <v>38</v>
      </c>
      <c r="I1014" s="551">
        <f t="shared" si="72"/>
        <v>38</v>
      </c>
      <c r="J1014" s="551"/>
      <c r="K1014" s="551"/>
      <c r="L1014" s="551"/>
      <c r="M1014" s="549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</row>
    <row r="1015" spans="1:27" ht="13">
      <c r="A1015" s="54">
        <v>2024</v>
      </c>
      <c r="B1015" s="553">
        <v>45657</v>
      </c>
      <c r="C1015" s="549" t="s">
        <v>474</v>
      </c>
      <c r="D1015" s="549" t="s">
        <v>551</v>
      </c>
      <c r="E1015" s="549" t="s">
        <v>730</v>
      </c>
      <c r="F1015" s="549" t="s">
        <v>700</v>
      </c>
      <c r="G1015" s="549"/>
      <c r="H1015" s="551">
        <v>43.53</v>
      </c>
      <c r="I1015" s="551">
        <v>43.53</v>
      </c>
      <c r="J1015" s="551"/>
      <c r="K1015" s="551"/>
      <c r="L1015" s="551"/>
      <c r="M1015" s="549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</row>
    <row r="1016" spans="1:27" ht="13">
      <c r="A1016" s="54">
        <v>2024</v>
      </c>
      <c r="B1016" s="553">
        <v>45657</v>
      </c>
      <c r="C1016" s="549" t="s">
        <v>474</v>
      </c>
      <c r="D1016" s="549" t="s">
        <v>551</v>
      </c>
      <c r="E1016" s="549" t="s">
        <v>731</v>
      </c>
      <c r="F1016" s="549" t="s">
        <v>700</v>
      </c>
      <c r="G1016" s="549"/>
      <c r="H1016" s="551">
        <v>14.15</v>
      </c>
      <c r="I1016" s="551">
        <v>14.15</v>
      </c>
      <c r="J1016" s="551"/>
      <c r="K1016" s="551"/>
      <c r="L1016" s="551"/>
      <c r="M1016" s="556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</row>
    <row r="1017" spans="1:27" ht="13">
      <c r="A1017" s="54">
        <v>2024</v>
      </c>
      <c r="B1017" s="557">
        <v>45657</v>
      </c>
      <c r="C1017" s="556" t="s">
        <v>481</v>
      </c>
      <c r="D1017" s="556" t="s">
        <v>493</v>
      </c>
      <c r="E1017" s="556" t="s">
        <v>479</v>
      </c>
      <c r="F1017" s="556" t="s">
        <v>732</v>
      </c>
      <c r="G1017" s="556"/>
      <c r="H1017" s="558"/>
      <c r="I1017" s="558"/>
      <c r="J1017" s="558">
        <v>1999.99</v>
      </c>
      <c r="K1017" s="558">
        <f>J1017-L1017</f>
        <v>1639.3400000000001</v>
      </c>
      <c r="L1017" s="559">
        <v>360.65</v>
      </c>
      <c r="M1017" s="560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</row>
    <row r="1018" spans="1:27" ht="13">
      <c r="A1018" s="501">
        <v>2025</v>
      </c>
      <c r="B1018" s="561">
        <v>45664</v>
      </c>
      <c r="C1018" s="562" t="s">
        <v>481</v>
      </c>
      <c r="D1018" s="562" t="s">
        <v>493</v>
      </c>
      <c r="E1018" s="562" t="s">
        <v>479</v>
      </c>
      <c r="F1018" s="562" t="s">
        <v>539</v>
      </c>
      <c r="G1018" s="562"/>
      <c r="H1018" s="563"/>
      <c r="I1018" s="563"/>
      <c r="J1018" s="564">
        <v>84.38</v>
      </c>
      <c r="K1018" s="563">
        <v>84.38</v>
      </c>
      <c r="L1018" s="563"/>
      <c r="M1018" s="463"/>
      <c r="N1018" s="45"/>
      <c r="O1018" s="45"/>
      <c r="P1018" s="341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</row>
    <row r="1019" spans="1:27" ht="13">
      <c r="A1019" s="54">
        <v>2025</v>
      </c>
      <c r="B1019" s="565">
        <v>45666</v>
      </c>
      <c r="C1019" s="387" t="s">
        <v>481</v>
      </c>
      <c r="D1019" s="387" t="s">
        <v>489</v>
      </c>
      <c r="E1019" s="387" t="s">
        <v>733</v>
      </c>
      <c r="F1019" s="387" t="s">
        <v>734</v>
      </c>
      <c r="G1019" s="387"/>
      <c r="H1019" s="388"/>
      <c r="I1019" s="388"/>
      <c r="J1019" s="388"/>
      <c r="K1019" s="388"/>
      <c r="L1019" s="467">
        <v>9340.85</v>
      </c>
      <c r="M1019" s="387"/>
      <c r="N1019" s="45"/>
      <c r="O1019" s="54"/>
      <c r="P1019" s="346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</row>
    <row r="1020" spans="1:27" ht="13">
      <c r="A1020" s="54">
        <v>2025</v>
      </c>
      <c r="B1020" s="565">
        <v>45673</v>
      </c>
      <c r="C1020" s="387" t="s">
        <v>481</v>
      </c>
      <c r="D1020" s="387" t="s">
        <v>493</v>
      </c>
      <c r="E1020" s="387" t="s">
        <v>479</v>
      </c>
      <c r="F1020" s="387" t="s">
        <v>539</v>
      </c>
      <c r="G1020" s="387"/>
      <c r="H1020" s="388"/>
      <c r="I1020" s="388"/>
      <c r="J1020" s="526">
        <v>1320</v>
      </c>
      <c r="K1020" s="388">
        <v>1320</v>
      </c>
      <c r="L1020" s="388"/>
      <c r="M1020" s="387"/>
      <c r="N1020" s="45"/>
      <c r="O1020" s="54"/>
      <c r="P1020" s="346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</row>
    <row r="1021" spans="1:27" ht="13">
      <c r="A1021" s="54">
        <v>2025</v>
      </c>
      <c r="B1021" s="565">
        <v>45678</v>
      </c>
      <c r="C1021" s="387" t="s">
        <v>481</v>
      </c>
      <c r="D1021" s="387" t="s">
        <v>493</v>
      </c>
      <c r="E1021" s="387" t="s">
        <v>479</v>
      </c>
      <c r="F1021" s="387" t="s">
        <v>480</v>
      </c>
      <c r="G1021" s="387"/>
      <c r="H1021" s="388">
        <v>25</v>
      </c>
      <c r="I1021" s="526">
        <v>25</v>
      </c>
      <c r="J1021" s="388"/>
      <c r="K1021" s="388"/>
      <c r="L1021" s="388"/>
      <c r="M1021" s="387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</row>
    <row r="1022" spans="1:27" ht="13">
      <c r="A1022" s="54">
        <v>2025</v>
      </c>
      <c r="B1022" s="565">
        <v>45679</v>
      </c>
      <c r="C1022" s="387" t="s">
        <v>481</v>
      </c>
      <c r="D1022" s="387" t="s">
        <v>489</v>
      </c>
      <c r="E1022" s="387" t="s">
        <v>735</v>
      </c>
      <c r="F1022" s="387" t="s">
        <v>736</v>
      </c>
      <c r="G1022" s="387"/>
      <c r="H1022" s="526">
        <v>945.5</v>
      </c>
      <c r="I1022" s="526">
        <v>775</v>
      </c>
      <c r="J1022" s="388"/>
      <c r="K1022" s="388"/>
      <c r="L1022" s="388">
        <f>170.5*M1022</f>
        <v>7458.3519999999999</v>
      </c>
      <c r="M1022" s="387">
        <v>43.744</v>
      </c>
      <c r="N1022" s="45"/>
      <c r="O1022" s="514" t="s">
        <v>457</v>
      </c>
      <c r="P1022" s="515"/>
      <c r="Q1022" s="45"/>
      <c r="R1022" s="45"/>
      <c r="S1022" s="491" t="s">
        <v>669</v>
      </c>
      <c r="T1022" s="492"/>
      <c r="U1022" s="45"/>
      <c r="V1022" s="45"/>
      <c r="W1022" s="45"/>
      <c r="X1022" s="45"/>
      <c r="Y1022" s="45"/>
      <c r="Z1022" s="45"/>
      <c r="AA1022" s="45"/>
    </row>
    <row r="1023" spans="1:27" ht="13">
      <c r="A1023" s="54">
        <v>2025</v>
      </c>
      <c r="B1023" s="386">
        <v>45679</v>
      </c>
      <c r="C1023" s="387" t="s">
        <v>481</v>
      </c>
      <c r="D1023" s="387" t="s">
        <v>494</v>
      </c>
      <c r="E1023" s="387" t="s">
        <v>521</v>
      </c>
      <c r="F1023" s="387" t="s">
        <v>544</v>
      </c>
      <c r="G1023" s="387"/>
      <c r="H1023" s="388"/>
      <c r="I1023" s="388"/>
      <c r="J1023" s="526">
        <v>1427</v>
      </c>
      <c r="K1023" s="388">
        <f>J1023-L1023</f>
        <v>1169.73</v>
      </c>
      <c r="L1023" s="467">
        <v>257.27</v>
      </c>
      <c r="M1023" s="387"/>
      <c r="N1023" s="45"/>
      <c r="O1023" s="566">
        <f>SUM(Facturacion!I139:I145)</f>
        <v>294608.51860000001</v>
      </c>
      <c r="P1023" s="515"/>
      <c r="Q1023" s="45"/>
      <c r="R1023" s="45"/>
      <c r="S1023" s="491" t="s">
        <v>411</v>
      </c>
      <c r="T1023" s="552">
        <f>SUM(K1018:K1060)</f>
        <v>904991.1100000001</v>
      </c>
      <c r="U1023" s="45"/>
      <c r="V1023" s="45"/>
      <c r="W1023" s="45"/>
      <c r="X1023" s="45"/>
      <c r="Y1023" s="45"/>
      <c r="Z1023" s="45"/>
      <c r="AA1023" s="45"/>
    </row>
    <row r="1024" spans="1:27" ht="13">
      <c r="A1024" s="54">
        <v>2025</v>
      </c>
      <c r="B1024" s="386">
        <v>45680</v>
      </c>
      <c r="C1024" s="387" t="s">
        <v>481</v>
      </c>
      <c r="D1024" s="387" t="s">
        <v>493</v>
      </c>
      <c r="E1024" s="387" t="s">
        <v>63</v>
      </c>
      <c r="F1024" s="387" t="s">
        <v>660</v>
      </c>
      <c r="G1024" s="387"/>
      <c r="H1024" s="526">
        <v>1.9</v>
      </c>
      <c r="I1024" s="388">
        <v>1.9</v>
      </c>
      <c r="J1024" s="388"/>
      <c r="K1024" s="388"/>
      <c r="L1024" s="467"/>
      <c r="M1024" s="387"/>
      <c r="N1024" s="45"/>
      <c r="O1024" s="514" t="s">
        <v>461</v>
      </c>
      <c r="P1024" s="514" t="s">
        <v>462</v>
      </c>
      <c r="Q1024" s="45"/>
      <c r="R1024" s="45"/>
      <c r="S1024" s="469" t="s">
        <v>584</v>
      </c>
      <c r="T1024" s="552">
        <f>SUM(I1018:I1060)</f>
        <v>7806.8700000000008</v>
      </c>
      <c r="U1024" s="45"/>
      <c r="V1024" s="45"/>
      <c r="W1024" s="45"/>
      <c r="X1024" s="45"/>
      <c r="Y1024" s="45"/>
      <c r="Z1024" s="45"/>
      <c r="AA1024" s="45"/>
    </row>
    <row r="1025" spans="1:27" ht="13">
      <c r="A1025" s="54">
        <v>2025</v>
      </c>
      <c r="B1025" s="386">
        <v>45681</v>
      </c>
      <c r="C1025" s="387" t="s">
        <v>481</v>
      </c>
      <c r="D1025" s="387" t="s">
        <v>493</v>
      </c>
      <c r="E1025" s="387" t="s">
        <v>63</v>
      </c>
      <c r="F1025" s="387" t="s">
        <v>660</v>
      </c>
      <c r="G1025" s="387"/>
      <c r="H1025" s="526">
        <v>1.9</v>
      </c>
      <c r="I1025" s="388">
        <v>1.9</v>
      </c>
      <c r="J1025" s="388"/>
      <c r="K1025" s="388"/>
      <c r="L1025" s="467"/>
      <c r="M1025" s="387"/>
      <c r="N1025" s="45"/>
      <c r="O1025" s="566">
        <f>SUM(L1018:L1058)</f>
        <v>18897.366720000002</v>
      </c>
      <c r="P1025" s="566">
        <f>(O1023-O1025)</f>
        <v>275711.15188000002</v>
      </c>
      <c r="Q1025" s="45"/>
      <c r="R1025" s="45"/>
      <c r="S1025" s="492"/>
      <c r="T1025" s="492"/>
      <c r="U1025" s="45"/>
      <c r="V1025" s="45"/>
      <c r="W1025" s="45"/>
      <c r="X1025" s="45"/>
      <c r="Y1025" s="45"/>
      <c r="Z1025" s="45"/>
      <c r="AA1025" s="45"/>
    </row>
    <row r="1026" spans="1:27" ht="13">
      <c r="A1026" s="54">
        <v>2025</v>
      </c>
      <c r="B1026" s="386">
        <v>45682</v>
      </c>
      <c r="C1026" s="387" t="s">
        <v>481</v>
      </c>
      <c r="D1026" s="387" t="s">
        <v>493</v>
      </c>
      <c r="E1026" s="387" t="s">
        <v>479</v>
      </c>
      <c r="F1026" s="387" t="s">
        <v>624</v>
      </c>
      <c r="G1026" s="387"/>
      <c r="H1026" s="467"/>
      <c r="I1026" s="467"/>
      <c r="J1026" s="388"/>
      <c r="K1026" s="567"/>
      <c r="L1026" s="467">
        <f>5.04*M1026</f>
        <v>217.94472000000002</v>
      </c>
      <c r="M1026" s="387">
        <v>43.243000000000002</v>
      </c>
      <c r="N1026" s="45"/>
      <c r="O1026" s="388">
        <v>27.95</v>
      </c>
      <c r="P1026" s="388">
        <v>22.91</v>
      </c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</row>
    <row r="1027" spans="1:27" ht="13">
      <c r="A1027" s="54">
        <v>2025</v>
      </c>
      <c r="B1027" s="386">
        <v>45682</v>
      </c>
      <c r="C1027" s="387" t="s">
        <v>481</v>
      </c>
      <c r="D1027" s="387" t="s">
        <v>494</v>
      </c>
      <c r="E1027" s="387" t="s">
        <v>502</v>
      </c>
      <c r="F1027" s="387" t="s">
        <v>522</v>
      </c>
      <c r="G1027" s="568"/>
      <c r="H1027" s="567"/>
      <c r="I1027" s="569"/>
      <c r="J1027" s="570">
        <v>79372</v>
      </c>
      <c r="K1027" s="467">
        <v>79372</v>
      </c>
      <c r="L1027" s="571"/>
      <c r="M1027" s="471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</row>
    <row r="1028" spans="1:27" ht="13">
      <c r="A1028" s="54">
        <v>2025</v>
      </c>
      <c r="B1028" s="386">
        <v>45682</v>
      </c>
      <c r="C1028" s="387" t="s">
        <v>481</v>
      </c>
      <c r="D1028" s="387" t="s">
        <v>494</v>
      </c>
      <c r="E1028" s="387" t="s">
        <v>502</v>
      </c>
      <c r="F1028" s="387" t="s">
        <v>543</v>
      </c>
      <c r="G1028" s="568"/>
      <c r="H1028" s="567"/>
      <c r="I1028" s="569"/>
      <c r="J1028" s="570">
        <v>4216</v>
      </c>
      <c r="K1028" s="467">
        <v>4216</v>
      </c>
      <c r="L1028" s="571"/>
      <c r="M1028" s="471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</row>
    <row r="1029" spans="1:27" ht="13">
      <c r="A1029" s="54">
        <v>2025</v>
      </c>
      <c r="B1029" s="386">
        <v>45682</v>
      </c>
      <c r="C1029" s="387" t="s">
        <v>481</v>
      </c>
      <c r="D1029" s="387" t="s">
        <v>494</v>
      </c>
      <c r="E1029" s="387" t="s">
        <v>512</v>
      </c>
      <c r="F1029" s="387" t="s">
        <v>528</v>
      </c>
      <c r="G1029" s="568"/>
      <c r="H1029" s="567"/>
      <c r="I1029" s="567"/>
      <c r="J1029" s="572">
        <v>275711</v>
      </c>
      <c r="K1029" s="573">
        <v>275711</v>
      </c>
      <c r="L1029" s="567"/>
      <c r="M1029" s="471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</row>
    <row r="1030" spans="1:27" ht="13">
      <c r="A1030" s="54">
        <v>2025</v>
      </c>
      <c r="B1030" s="386">
        <v>45682</v>
      </c>
      <c r="C1030" s="387" t="s">
        <v>481</v>
      </c>
      <c r="D1030" s="387" t="s">
        <v>494</v>
      </c>
      <c r="E1030" s="387" t="s">
        <v>512</v>
      </c>
      <c r="F1030" s="387" t="s">
        <v>574</v>
      </c>
      <c r="G1030" s="568"/>
      <c r="H1030" s="567"/>
      <c r="I1030" s="567"/>
      <c r="J1030" s="574">
        <v>903</v>
      </c>
      <c r="K1030" s="567">
        <v>903</v>
      </c>
      <c r="L1030" s="567"/>
      <c r="M1030" s="471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</row>
    <row r="1031" spans="1:27" ht="13">
      <c r="A1031" s="54">
        <v>2025</v>
      </c>
      <c r="B1031" s="575">
        <v>45684</v>
      </c>
      <c r="C1031" s="568" t="s">
        <v>481</v>
      </c>
      <c r="D1031" s="568" t="s">
        <v>493</v>
      </c>
      <c r="E1031" s="568" t="s">
        <v>479</v>
      </c>
      <c r="F1031" s="568" t="s">
        <v>732</v>
      </c>
      <c r="G1031" s="568"/>
      <c r="H1031" s="567"/>
      <c r="I1031" s="567"/>
      <c r="J1031" s="574">
        <v>1999.99</v>
      </c>
      <c r="K1031" s="567">
        <f>J1031-L1031</f>
        <v>1639.3400000000001</v>
      </c>
      <c r="L1031" s="567">
        <v>360.65</v>
      </c>
      <c r="M1031" s="471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</row>
    <row r="1032" spans="1:27" ht="13">
      <c r="A1032" s="54">
        <v>2025</v>
      </c>
      <c r="B1032" s="386">
        <v>45688</v>
      </c>
      <c r="C1032" s="387" t="s">
        <v>481</v>
      </c>
      <c r="D1032" s="387" t="s">
        <v>493</v>
      </c>
      <c r="E1032" s="387" t="s">
        <v>63</v>
      </c>
      <c r="F1032" s="387" t="s">
        <v>539</v>
      </c>
      <c r="G1032" s="387"/>
      <c r="H1032" s="388"/>
      <c r="I1032" s="388"/>
      <c r="J1032" s="526">
        <v>835.66</v>
      </c>
      <c r="K1032" s="388">
        <v>835.66</v>
      </c>
      <c r="L1032" s="388"/>
      <c r="M1032" s="387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</row>
    <row r="1033" spans="1:27" ht="13">
      <c r="A1033" s="54">
        <v>2025</v>
      </c>
      <c r="B1033" s="386">
        <v>45688</v>
      </c>
      <c r="C1033" s="387" t="s">
        <v>481</v>
      </c>
      <c r="D1033" s="387" t="s">
        <v>489</v>
      </c>
      <c r="E1033" s="387" t="s">
        <v>463</v>
      </c>
      <c r="F1033" s="387" t="s">
        <v>464</v>
      </c>
      <c r="G1033" s="388"/>
      <c r="H1033" s="388"/>
      <c r="I1033" s="388"/>
      <c r="J1033" s="526">
        <v>7000</v>
      </c>
      <c r="K1033" s="388">
        <v>5737.7</v>
      </c>
      <c r="L1033" s="388">
        <v>1262.3</v>
      </c>
      <c r="M1033" s="387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</row>
    <row r="1034" spans="1:27" ht="13">
      <c r="A1034" s="54">
        <v>2025</v>
      </c>
      <c r="B1034" s="386">
        <v>45688</v>
      </c>
      <c r="C1034" s="387" t="s">
        <v>474</v>
      </c>
      <c r="D1034" s="387" t="s">
        <v>478</v>
      </c>
      <c r="E1034" s="387" t="s">
        <v>479</v>
      </c>
      <c r="F1034" s="387" t="s">
        <v>547</v>
      </c>
      <c r="G1034" s="387"/>
      <c r="H1034" s="526">
        <v>20</v>
      </c>
      <c r="I1034" s="388">
        <v>20</v>
      </c>
      <c r="J1034" s="388"/>
      <c r="K1034" s="388"/>
      <c r="L1034" s="388"/>
      <c r="M1034" s="387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</row>
    <row r="1035" spans="1:27" ht="13">
      <c r="A1035" s="54">
        <v>2025</v>
      </c>
      <c r="B1035" s="386">
        <v>45688</v>
      </c>
      <c r="C1035" s="387" t="s">
        <v>679</v>
      </c>
      <c r="D1035" s="387" t="s">
        <v>478</v>
      </c>
      <c r="E1035" s="387" t="s">
        <v>479</v>
      </c>
      <c r="F1035" s="387" t="s">
        <v>480</v>
      </c>
      <c r="G1035" s="387"/>
      <c r="H1035" s="467">
        <v>19</v>
      </c>
      <c r="I1035" s="467">
        <v>19</v>
      </c>
      <c r="J1035" s="388"/>
      <c r="K1035" s="388"/>
      <c r="L1035" s="388"/>
      <c r="M1035" s="387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</row>
    <row r="1036" spans="1:27" ht="13">
      <c r="A1036" s="54">
        <v>2025</v>
      </c>
      <c r="B1036" s="386">
        <v>45688</v>
      </c>
      <c r="C1036" s="387" t="s">
        <v>474</v>
      </c>
      <c r="D1036" s="387" t="s">
        <v>478</v>
      </c>
      <c r="E1036" s="387" t="s">
        <v>479</v>
      </c>
      <c r="F1036" s="387" t="s">
        <v>480</v>
      </c>
      <c r="G1036" s="387"/>
      <c r="H1036" s="467">
        <f t="shared" ref="H1036:I1036" si="73">40+57</f>
        <v>97</v>
      </c>
      <c r="I1036" s="467">
        <f t="shared" si="73"/>
        <v>97</v>
      </c>
      <c r="J1036" s="388"/>
      <c r="K1036" s="388"/>
      <c r="L1036" s="388"/>
      <c r="M1036" s="387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</row>
    <row r="1037" spans="1:27" ht="13">
      <c r="A1037" s="54">
        <v>2025</v>
      </c>
      <c r="B1037" s="386">
        <v>45688</v>
      </c>
      <c r="C1037" s="387" t="s">
        <v>481</v>
      </c>
      <c r="D1037" s="387" t="s">
        <v>482</v>
      </c>
      <c r="E1037" s="387" t="s">
        <v>495</v>
      </c>
      <c r="F1037" s="387" t="s">
        <v>496</v>
      </c>
      <c r="G1037" s="388"/>
      <c r="H1037" s="467"/>
      <c r="I1037" s="467"/>
      <c r="J1037" s="526">
        <v>232093</v>
      </c>
      <c r="K1037" s="388">
        <v>232093</v>
      </c>
      <c r="L1037" s="388"/>
      <c r="M1037" s="387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</row>
    <row r="1038" spans="1:27" ht="13">
      <c r="A1038" s="54">
        <v>2025</v>
      </c>
      <c r="B1038" s="386">
        <v>45688</v>
      </c>
      <c r="C1038" s="387" t="s">
        <v>481</v>
      </c>
      <c r="D1038" s="387" t="s">
        <v>484</v>
      </c>
      <c r="E1038" s="387" t="s">
        <v>644</v>
      </c>
      <c r="F1038" s="387" t="s">
        <v>488</v>
      </c>
      <c r="G1038" s="388"/>
      <c r="H1038" s="388"/>
      <c r="I1038" s="388"/>
      <c r="J1038" s="526">
        <v>69773</v>
      </c>
      <c r="K1038" s="388">
        <v>69773</v>
      </c>
      <c r="L1038" s="388"/>
      <c r="M1038" s="387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</row>
    <row r="1039" spans="1:27" ht="13">
      <c r="A1039" s="54">
        <v>2025</v>
      </c>
      <c r="B1039" s="386">
        <v>45688</v>
      </c>
      <c r="C1039" s="387" t="s">
        <v>481</v>
      </c>
      <c r="D1039" s="387" t="s">
        <v>482</v>
      </c>
      <c r="E1039" s="387" t="s">
        <v>737</v>
      </c>
      <c r="F1039" s="387" t="s">
        <v>496</v>
      </c>
      <c r="G1039" s="388"/>
      <c r="H1039" s="467"/>
      <c r="I1039" s="467"/>
      <c r="J1039" s="526">
        <v>232093</v>
      </c>
      <c r="K1039" s="388">
        <v>232093</v>
      </c>
      <c r="L1039" s="388"/>
      <c r="M1039" s="387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</row>
    <row r="1040" spans="1:27" ht="13">
      <c r="A1040" s="54">
        <v>2025</v>
      </c>
      <c r="B1040" s="386">
        <v>45688</v>
      </c>
      <c r="C1040" s="387" t="s">
        <v>679</v>
      </c>
      <c r="D1040" s="387" t="s">
        <v>482</v>
      </c>
      <c r="E1040" s="387" t="s">
        <v>680</v>
      </c>
      <c r="F1040" s="387" t="s">
        <v>459</v>
      </c>
      <c r="G1040" s="388"/>
      <c r="H1040" s="526">
        <v>1300</v>
      </c>
      <c r="I1040" s="388">
        <v>1300</v>
      </c>
      <c r="J1040" s="388"/>
      <c r="K1040" s="388"/>
      <c r="L1040" s="388"/>
      <c r="M1040" s="387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</row>
    <row r="1041" spans="1:27" ht="13">
      <c r="A1041" s="54">
        <v>2025</v>
      </c>
      <c r="B1041" s="386">
        <v>45688</v>
      </c>
      <c r="C1041" s="387" t="s">
        <v>474</v>
      </c>
      <c r="D1041" s="387" t="s">
        <v>482</v>
      </c>
      <c r="E1041" s="387" t="s">
        <v>483</v>
      </c>
      <c r="F1041" s="387" t="s">
        <v>459</v>
      </c>
      <c r="G1041" s="388"/>
      <c r="H1041" s="526">
        <v>1300</v>
      </c>
      <c r="I1041" s="388">
        <v>1300</v>
      </c>
      <c r="J1041" s="388"/>
      <c r="K1041" s="388"/>
      <c r="L1041" s="388"/>
      <c r="M1041" s="387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</row>
    <row r="1042" spans="1:27" ht="13">
      <c r="A1042" s="54">
        <v>2025</v>
      </c>
      <c r="B1042" s="386">
        <v>45688</v>
      </c>
      <c r="C1042" s="387" t="s">
        <v>474</v>
      </c>
      <c r="D1042" s="387" t="s">
        <v>482</v>
      </c>
      <c r="E1042" s="387" t="s">
        <v>535</v>
      </c>
      <c r="F1042" s="387" t="s">
        <v>459</v>
      </c>
      <c r="G1042" s="388"/>
      <c r="H1042" s="526">
        <v>1300</v>
      </c>
      <c r="I1042" s="388">
        <v>1300</v>
      </c>
      <c r="J1042" s="388"/>
      <c r="K1042" s="388"/>
      <c r="L1042" s="388"/>
      <c r="M1042" s="387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</row>
    <row r="1043" spans="1:27" ht="13">
      <c r="A1043" s="54">
        <v>2025</v>
      </c>
      <c r="B1043" s="386">
        <v>45688</v>
      </c>
      <c r="C1043" s="387" t="s">
        <v>474</v>
      </c>
      <c r="D1043" s="387" t="s">
        <v>482</v>
      </c>
      <c r="E1043" s="387" t="s">
        <v>541</v>
      </c>
      <c r="F1043" s="387" t="s">
        <v>459</v>
      </c>
      <c r="G1043" s="388"/>
      <c r="H1043" s="526">
        <v>1300</v>
      </c>
      <c r="I1043" s="388">
        <v>1300</v>
      </c>
      <c r="J1043" s="388"/>
      <c r="K1043" s="388"/>
      <c r="L1043" s="388"/>
      <c r="M1043" s="387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</row>
    <row r="1044" spans="1:27" ht="13">
      <c r="A1044" s="54">
        <v>2025</v>
      </c>
      <c r="B1044" s="386">
        <v>45688</v>
      </c>
      <c r="C1044" s="387" t="s">
        <v>474</v>
      </c>
      <c r="D1044" s="387" t="s">
        <v>482</v>
      </c>
      <c r="E1044" s="387" t="s">
        <v>537</v>
      </c>
      <c r="F1044" s="387" t="s">
        <v>459</v>
      </c>
      <c r="G1044" s="388"/>
      <c r="H1044" s="526">
        <v>900</v>
      </c>
      <c r="I1044" s="388">
        <v>900</v>
      </c>
      <c r="J1044" s="388"/>
      <c r="K1044" s="388"/>
      <c r="L1044" s="388"/>
      <c r="M1044" s="387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</row>
    <row r="1045" spans="1:27" ht="13">
      <c r="A1045" s="54">
        <v>2025</v>
      </c>
      <c r="B1045" s="386">
        <v>45688</v>
      </c>
      <c r="C1045" s="387" t="s">
        <v>481</v>
      </c>
      <c r="D1045" s="387" t="s">
        <v>491</v>
      </c>
      <c r="E1045" s="387" t="s">
        <v>723</v>
      </c>
      <c r="F1045" s="387" t="s">
        <v>576</v>
      </c>
      <c r="G1045" s="388"/>
      <c r="H1045" s="526">
        <v>196.35</v>
      </c>
      <c r="I1045" s="388">
        <v>196.35</v>
      </c>
      <c r="J1045" s="388"/>
      <c r="K1045" s="388"/>
      <c r="L1045" s="388"/>
      <c r="M1045" s="387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</row>
    <row r="1046" spans="1:27" ht="13">
      <c r="A1046" s="54">
        <v>2025</v>
      </c>
      <c r="B1046" s="386">
        <v>45688</v>
      </c>
      <c r="C1046" s="387" t="s">
        <v>481</v>
      </c>
      <c r="D1046" s="387" t="s">
        <v>491</v>
      </c>
      <c r="E1046" s="387" t="s">
        <v>724</v>
      </c>
      <c r="F1046" s="387" t="s">
        <v>576</v>
      </c>
      <c r="G1046" s="388"/>
      <c r="H1046" s="526">
        <v>136.88999999999999</v>
      </c>
      <c r="I1046" s="388">
        <v>136.88999999999999</v>
      </c>
      <c r="J1046" s="388"/>
      <c r="K1046" s="388"/>
      <c r="L1046" s="388"/>
      <c r="M1046" s="387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</row>
    <row r="1047" spans="1:27" ht="13">
      <c r="A1047" s="54">
        <v>2025</v>
      </c>
      <c r="B1047" s="386">
        <v>45688</v>
      </c>
      <c r="C1047" s="387" t="s">
        <v>481</v>
      </c>
      <c r="D1047" s="387" t="s">
        <v>491</v>
      </c>
      <c r="E1047" s="507" t="s">
        <v>654</v>
      </c>
      <c r="F1047" s="387" t="s">
        <v>576</v>
      </c>
      <c r="G1047" s="388"/>
      <c r="H1047" s="526">
        <f t="shared" ref="H1047:I1047" si="74">36.69+38.85</f>
        <v>75.539999999999992</v>
      </c>
      <c r="I1047" s="388">
        <f t="shared" si="74"/>
        <v>75.539999999999992</v>
      </c>
      <c r="J1047" s="388"/>
      <c r="K1047" s="388"/>
      <c r="L1047" s="388"/>
      <c r="M1047" s="387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</row>
    <row r="1048" spans="1:27" ht="13">
      <c r="A1048" s="54">
        <v>2025</v>
      </c>
      <c r="B1048" s="386">
        <v>45688</v>
      </c>
      <c r="C1048" s="387" t="s">
        <v>481</v>
      </c>
      <c r="D1048" s="387" t="s">
        <v>491</v>
      </c>
      <c r="E1048" s="387" t="s">
        <v>534</v>
      </c>
      <c r="F1048" s="387" t="s">
        <v>576</v>
      </c>
      <c r="G1048" s="388"/>
      <c r="H1048" s="526">
        <v>15.99</v>
      </c>
      <c r="I1048" s="388">
        <v>15.99</v>
      </c>
      <c r="J1048" s="388"/>
      <c r="K1048" s="388"/>
      <c r="L1048" s="388"/>
      <c r="M1048" s="387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</row>
    <row r="1049" spans="1:27" ht="13">
      <c r="A1049" s="54">
        <v>2025</v>
      </c>
      <c r="B1049" s="386">
        <v>45688</v>
      </c>
      <c r="C1049" s="387" t="s">
        <v>481</v>
      </c>
      <c r="D1049" s="387" t="s">
        <v>491</v>
      </c>
      <c r="E1049" s="387" t="s">
        <v>602</v>
      </c>
      <c r="F1049" s="387" t="s">
        <v>576</v>
      </c>
      <c r="G1049" s="388"/>
      <c r="H1049" s="526">
        <v>80.02</v>
      </c>
      <c r="I1049" s="388">
        <v>80.02</v>
      </c>
      <c r="J1049" s="388"/>
      <c r="K1049" s="388"/>
      <c r="L1049" s="388"/>
      <c r="M1049" s="387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</row>
    <row r="1050" spans="1:27" ht="13">
      <c r="A1050" s="54">
        <v>2025</v>
      </c>
      <c r="B1050" s="386">
        <v>45688</v>
      </c>
      <c r="C1050" s="387" t="s">
        <v>481</v>
      </c>
      <c r="D1050" s="387" t="s">
        <v>491</v>
      </c>
      <c r="E1050" s="387" t="s">
        <v>591</v>
      </c>
      <c r="F1050" s="387" t="s">
        <v>576</v>
      </c>
      <c r="G1050" s="388"/>
      <c r="H1050" s="526">
        <v>20</v>
      </c>
      <c r="I1050" s="388">
        <v>20</v>
      </c>
      <c r="J1050" s="388"/>
      <c r="K1050" s="388"/>
      <c r="L1050" s="388"/>
      <c r="M1050" s="387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</row>
    <row r="1051" spans="1:27" ht="13">
      <c r="A1051" s="54">
        <v>2025</v>
      </c>
      <c r="B1051" s="386">
        <v>45688</v>
      </c>
      <c r="C1051" s="387" t="s">
        <v>481</v>
      </c>
      <c r="D1051" s="387" t="s">
        <v>491</v>
      </c>
      <c r="E1051" s="387" t="s">
        <v>498</v>
      </c>
      <c r="F1051" s="387" t="s">
        <v>576</v>
      </c>
      <c r="G1051" s="388"/>
      <c r="H1051" s="526">
        <v>7.95</v>
      </c>
      <c r="I1051" s="388">
        <v>7.95</v>
      </c>
      <c r="J1051" s="388"/>
      <c r="K1051" s="388"/>
      <c r="L1051" s="388"/>
      <c r="M1051" s="387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</row>
    <row r="1052" spans="1:27" ht="13">
      <c r="A1052" s="54">
        <v>2025</v>
      </c>
      <c r="B1052" s="386">
        <v>45688</v>
      </c>
      <c r="C1052" s="387" t="s">
        <v>481</v>
      </c>
      <c r="D1052" s="387" t="s">
        <v>491</v>
      </c>
      <c r="E1052" s="387" t="s">
        <v>639</v>
      </c>
      <c r="F1052" s="387" t="s">
        <v>576</v>
      </c>
      <c r="G1052" s="388"/>
      <c r="H1052" s="526">
        <v>15</v>
      </c>
      <c r="I1052" s="388">
        <v>15</v>
      </c>
      <c r="J1052" s="388"/>
      <c r="K1052" s="388"/>
      <c r="L1052" s="388"/>
      <c r="M1052" s="387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</row>
    <row r="1053" spans="1:27" ht="13">
      <c r="A1053" s="54">
        <v>2025</v>
      </c>
      <c r="B1053" s="386">
        <v>45688</v>
      </c>
      <c r="C1053" s="387" t="s">
        <v>481</v>
      </c>
      <c r="D1053" s="387" t="s">
        <v>491</v>
      </c>
      <c r="E1053" s="387" t="s">
        <v>592</v>
      </c>
      <c r="F1053" s="387" t="s">
        <v>576</v>
      </c>
      <c r="G1053" s="388"/>
      <c r="H1053" s="526">
        <v>48</v>
      </c>
      <c r="I1053" s="388">
        <v>48</v>
      </c>
      <c r="J1053" s="388"/>
      <c r="K1053" s="388"/>
      <c r="L1053" s="388"/>
      <c r="M1053" s="387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</row>
    <row r="1054" spans="1:27" ht="13">
      <c r="A1054" s="54">
        <v>2025</v>
      </c>
      <c r="B1054" s="386">
        <v>45688</v>
      </c>
      <c r="C1054" s="387" t="s">
        <v>481</v>
      </c>
      <c r="D1054" s="387" t="s">
        <v>491</v>
      </c>
      <c r="E1054" s="507" t="s">
        <v>709</v>
      </c>
      <c r="F1054" s="387" t="s">
        <v>576</v>
      </c>
      <c r="G1054" s="388"/>
      <c r="H1054" s="526">
        <v>20</v>
      </c>
      <c r="I1054" s="388">
        <v>20</v>
      </c>
      <c r="J1054" s="388"/>
      <c r="K1054" s="388"/>
      <c r="L1054" s="388"/>
      <c r="M1054" s="387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</row>
    <row r="1055" spans="1:27" ht="13">
      <c r="A1055" s="54">
        <v>2025</v>
      </c>
      <c r="B1055" s="386">
        <v>45688</v>
      </c>
      <c r="C1055" s="387" t="s">
        <v>481</v>
      </c>
      <c r="D1055" s="387" t="s">
        <v>491</v>
      </c>
      <c r="E1055" s="387" t="s">
        <v>633</v>
      </c>
      <c r="F1055" s="387" t="s">
        <v>576</v>
      </c>
      <c r="G1055" s="388"/>
      <c r="H1055" s="526">
        <v>43.2</v>
      </c>
      <c r="I1055" s="388">
        <v>43.2</v>
      </c>
      <c r="J1055" s="388"/>
      <c r="K1055" s="388"/>
      <c r="L1055" s="388"/>
      <c r="M1055" s="387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</row>
    <row r="1056" spans="1:27" ht="13">
      <c r="A1056" s="54">
        <v>2025</v>
      </c>
      <c r="B1056" s="386">
        <v>45688</v>
      </c>
      <c r="C1056" s="387" t="s">
        <v>481</v>
      </c>
      <c r="D1056" s="387" t="s">
        <v>491</v>
      </c>
      <c r="E1056" s="387" t="s">
        <v>719</v>
      </c>
      <c r="F1056" s="387" t="s">
        <v>576</v>
      </c>
      <c r="G1056" s="388"/>
      <c r="H1056" s="526">
        <v>90.53</v>
      </c>
      <c r="I1056" s="388">
        <v>90.53</v>
      </c>
      <c r="J1056" s="388"/>
      <c r="K1056" s="388"/>
      <c r="L1056" s="388"/>
      <c r="M1056" s="387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</row>
    <row r="1057" spans="1:27" ht="13">
      <c r="A1057" s="54">
        <v>2025</v>
      </c>
      <c r="B1057" s="386">
        <v>45688</v>
      </c>
      <c r="C1057" s="387" t="s">
        <v>481</v>
      </c>
      <c r="D1057" s="387" t="s">
        <v>491</v>
      </c>
      <c r="E1057" s="387" t="s">
        <v>725</v>
      </c>
      <c r="F1057" s="387" t="s">
        <v>549</v>
      </c>
      <c r="G1057" s="388"/>
      <c r="H1057" s="526">
        <v>10.1</v>
      </c>
      <c r="I1057" s="388">
        <v>10.1</v>
      </c>
      <c r="J1057" s="388"/>
      <c r="K1057" s="388"/>
      <c r="L1057" s="388"/>
      <c r="M1057" s="387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</row>
    <row r="1058" spans="1:27" ht="13">
      <c r="A1058" s="54">
        <v>2025</v>
      </c>
      <c r="B1058" s="386">
        <v>45688</v>
      </c>
      <c r="C1058" s="387" t="s">
        <v>474</v>
      </c>
      <c r="D1058" s="387" t="s">
        <v>551</v>
      </c>
      <c r="E1058" s="387" t="s">
        <v>493</v>
      </c>
      <c r="F1058" s="387" t="s">
        <v>738</v>
      </c>
      <c r="G1058" s="388"/>
      <c r="H1058" s="526">
        <v>5.6</v>
      </c>
      <c r="I1058" s="388">
        <v>5.6</v>
      </c>
      <c r="J1058" s="388"/>
      <c r="K1058" s="388"/>
      <c r="L1058" s="388"/>
      <c r="M1058" s="387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</row>
    <row r="1059" spans="1:27" ht="13">
      <c r="A1059" s="54">
        <v>2025</v>
      </c>
      <c r="B1059" s="576">
        <v>45691</v>
      </c>
      <c r="C1059" s="568" t="s">
        <v>481</v>
      </c>
      <c r="D1059" s="568" t="s">
        <v>478</v>
      </c>
      <c r="E1059" s="568" t="s">
        <v>63</v>
      </c>
      <c r="F1059" s="568" t="s">
        <v>480</v>
      </c>
      <c r="G1059" s="568"/>
      <c r="H1059" s="567"/>
      <c r="I1059" s="567"/>
      <c r="J1059" s="574">
        <v>43.3</v>
      </c>
      <c r="K1059" s="567">
        <v>43.3</v>
      </c>
      <c r="L1059" s="567"/>
      <c r="M1059" s="568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</row>
    <row r="1060" spans="1:27" ht="13">
      <c r="A1060" s="54">
        <v>2025</v>
      </c>
      <c r="B1060" s="386">
        <v>45691</v>
      </c>
      <c r="C1060" s="387" t="s">
        <v>481</v>
      </c>
      <c r="D1060" s="387" t="s">
        <v>493</v>
      </c>
      <c r="E1060" s="387" t="s">
        <v>63</v>
      </c>
      <c r="F1060" s="387" t="s">
        <v>480</v>
      </c>
      <c r="G1060" s="387"/>
      <c r="H1060" s="388">
        <v>1.9</v>
      </c>
      <c r="I1060" s="388">
        <v>1.9</v>
      </c>
      <c r="J1060" s="388"/>
      <c r="K1060" s="388"/>
      <c r="L1060" s="388"/>
      <c r="M1060" s="387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</row>
    <row r="1061" spans="1:27" ht="13">
      <c r="A1061" s="54">
        <v>2025</v>
      </c>
      <c r="B1061" s="577">
        <v>45705</v>
      </c>
      <c r="C1061" s="578" t="s">
        <v>481</v>
      </c>
      <c r="D1061" s="578" t="s">
        <v>493</v>
      </c>
      <c r="E1061" s="578" t="s">
        <v>479</v>
      </c>
      <c r="F1061" s="578" t="s">
        <v>539</v>
      </c>
      <c r="G1061" s="578"/>
      <c r="H1061" s="579"/>
      <c r="I1061" s="579"/>
      <c r="J1061" s="579">
        <v>1320</v>
      </c>
      <c r="K1061" s="579">
        <v>1320</v>
      </c>
      <c r="L1061" s="579"/>
      <c r="M1061" s="578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</row>
    <row r="1062" spans="1:27" ht="13">
      <c r="A1062" s="54">
        <v>2025</v>
      </c>
      <c r="B1062" s="580">
        <v>45707</v>
      </c>
      <c r="C1062" s="581" t="s">
        <v>481</v>
      </c>
      <c r="D1062" s="581" t="s">
        <v>493</v>
      </c>
      <c r="E1062" s="581" t="s">
        <v>479</v>
      </c>
      <c r="F1062" s="581" t="s">
        <v>660</v>
      </c>
      <c r="G1062" s="581"/>
      <c r="H1062" s="582">
        <v>25</v>
      </c>
      <c r="I1062" s="582">
        <v>25</v>
      </c>
      <c r="J1062" s="582"/>
      <c r="K1062" s="582"/>
      <c r="L1062" s="582"/>
      <c r="M1062" s="581"/>
      <c r="N1062" s="45"/>
      <c r="O1062" s="583" t="s">
        <v>457</v>
      </c>
      <c r="P1062" s="584"/>
      <c r="Q1062" s="45"/>
      <c r="R1062" s="45"/>
      <c r="S1062" s="516" t="s">
        <v>669</v>
      </c>
      <c r="T1062" s="517"/>
      <c r="U1062" s="45"/>
      <c r="V1062" s="45"/>
      <c r="W1062" s="45"/>
      <c r="X1062" s="45"/>
      <c r="Y1062" s="45"/>
      <c r="Z1062" s="45"/>
      <c r="AA1062" s="45"/>
    </row>
    <row r="1063" spans="1:27" ht="13">
      <c r="A1063" s="54">
        <v>2025</v>
      </c>
      <c r="B1063" s="577">
        <v>45707</v>
      </c>
      <c r="C1063" s="578" t="s">
        <v>481</v>
      </c>
      <c r="D1063" s="578" t="s">
        <v>494</v>
      </c>
      <c r="E1063" s="578" t="s">
        <v>521</v>
      </c>
      <c r="F1063" s="578" t="s">
        <v>544</v>
      </c>
      <c r="G1063" s="578"/>
      <c r="H1063" s="579"/>
      <c r="I1063" s="579"/>
      <c r="J1063" s="579">
        <v>1001</v>
      </c>
      <c r="K1063" s="579">
        <f>J1063-L1063</f>
        <v>820.51</v>
      </c>
      <c r="L1063" s="579">
        <v>180.49</v>
      </c>
      <c r="M1063" s="578"/>
      <c r="N1063" s="45"/>
      <c r="O1063" s="566">
        <f>SUM(Facturacion!I146:I151)</f>
        <v>98835.747999999992</v>
      </c>
      <c r="P1063" s="515"/>
      <c r="Q1063" s="45"/>
      <c r="R1063" s="45"/>
      <c r="S1063" s="491" t="s">
        <v>411</v>
      </c>
      <c r="T1063" s="552">
        <f>SUM(K1061:K1098)</f>
        <v>684892.4800000001</v>
      </c>
      <c r="U1063" s="45"/>
      <c r="V1063" s="45"/>
      <c r="W1063" s="45"/>
      <c r="X1063" s="45"/>
      <c r="Y1063" s="45"/>
      <c r="Z1063" s="45"/>
      <c r="AA1063" s="45"/>
    </row>
    <row r="1064" spans="1:27" ht="13">
      <c r="A1064" s="54">
        <v>2025</v>
      </c>
      <c r="B1064" s="580">
        <v>45709</v>
      </c>
      <c r="C1064" s="578" t="s">
        <v>481</v>
      </c>
      <c r="D1064" s="578" t="s">
        <v>493</v>
      </c>
      <c r="E1064" s="578" t="s">
        <v>479</v>
      </c>
      <c r="F1064" s="578" t="s">
        <v>660</v>
      </c>
      <c r="G1064" s="578"/>
      <c r="H1064" s="579">
        <v>1.9</v>
      </c>
      <c r="I1064" s="579">
        <v>1.9</v>
      </c>
      <c r="J1064" s="579"/>
      <c r="K1064" s="579"/>
      <c r="L1064" s="579"/>
      <c r="M1064" s="578"/>
      <c r="N1064" s="45"/>
      <c r="O1064" s="514" t="s">
        <v>461</v>
      </c>
      <c r="P1064" s="514" t="s">
        <v>462</v>
      </c>
      <c r="Q1064" s="45"/>
      <c r="R1064" s="45"/>
      <c r="S1064" s="469" t="s">
        <v>584</v>
      </c>
      <c r="T1064" s="552">
        <f>SUM(I1061:I1098)</f>
        <v>12074.36</v>
      </c>
      <c r="U1064" s="45"/>
      <c r="V1064" s="45"/>
      <c r="W1064" s="45"/>
      <c r="X1064" s="45"/>
      <c r="Y1064" s="45"/>
      <c r="Z1064" s="45"/>
      <c r="AA1064" s="45"/>
    </row>
    <row r="1065" spans="1:27" ht="13">
      <c r="A1065" s="54">
        <v>2025</v>
      </c>
      <c r="B1065" s="580">
        <v>45708</v>
      </c>
      <c r="C1065" s="578" t="s">
        <v>481</v>
      </c>
      <c r="D1065" s="578" t="s">
        <v>494</v>
      </c>
      <c r="E1065" s="578" t="s">
        <v>502</v>
      </c>
      <c r="F1065" s="578" t="s">
        <v>522</v>
      </c>
      <c r="G1065" s="578"/>
      <c r="H1065" s="579"/>
      <c r="I1065" s="579"/>
      <c r="J1065" s="579">
        <v>79372</v>
      </c>
      <c r="K1065" s="579">
        <v>79372</v>
      </c>
      <c r="L1065" s="579"/>
      <c r="M1065" s="578"/>
      <c r="N1065" s="45"/>
      <c r="O1065" s="566">
        <f>SUM(L1061:L1096)</f>
        <v>35731.038</v>
      </c>
      <c r="P1065" s="566">
        <f>(O1063-O1065)</f>
        <v>63104.709999999992</v>
      </c>
      <c r="Q1065" s="45"/>
      <c r="R1065" s="45"/>
      <c r="S1065" s="492"/>
      <c r="T1065" s="492"/>
      <c r="U1065" s="45"/>
      <c r="V1065" s="45"/>
      <c r="W1065" s="45"/>
      <c r="X1065" s="45"/>
      <c r="Y1065" s="45"/>
      <c r="Z1065" s="45"/>
      <c r="AA1065" s="45"/>
    </row>
    <row r="1066" spans="1:27" ht="13">
      <c r="A1066" s="54">
        <v>2025</v>
      </c>
      <c r="B1066" s="580">
        <v>45708</v>
      </c>
      <c r="C1066" s="578" t="s">
        <v>481</v>
      </c>
      <c r="D1066" s="578" t="s">
        <v>494</v>
      </c>
      <c r="E1066" s="578" t="s">
        <v>502</v>
      </c>
      <c r="F1066" s="578" t="s">
        <v>543</v>
      </c>
      <c r="G1066" s="578"/>
      <c r="H1066" s="579"/>
      <c r="I1066" s="579"/>
      <c r="J1066" s="579">
        <v>4216</v>
      </c>
      <c r="K1066" s="579">
        <v>4216</v>
      </c>
      <c r="L1066" s="579"/>
      <c r="M1066" s="578"/>
      <c r="N1066" s="45"/>
      <c r="U1066" s="45"/>
      <c r="V1066" s="45"/>
      <c r="W1066" s="45"/>
      <c r="X1066" s="45"/>
      <c r="Y1066" s="45"/>
      <c r="Z1066" s="45"/>
      <c r="AA1066" s="45"/>
    </row>
    <row r="1067" spans="1:27" ht="13">
      <c r="A1067" s="54">
        <v>2025</v>
      </c>
      <c r="B1067" s="580">
        <v>45708</v>
      </c>
      <c r="C1067" s="578" t="s">
        <v>481</v>
      </c>
      <c r="D1067" s="578" t="s">
        <v>494</v>
      </c>
      <c r="E1067" s="578" t="s">
        <v>512</v>
      </c>
      <c r="F1067" s="578" t="s">
        <v>574</v>
      </c>
      <c r="G1067" s="578"/>
      <c r="H1067" s="579"/>
      <c r="I1067" s="579"/>
      <c r="J1067" s="579">
        <v>903</v>
      </c>
      <c r="K1067" s="579">
        <v>903</v>
      </c>
      <c r="L1067" s="579"/>
      <c r="M1067" s="578"/>
      <c r="N1067" s="45"/>
      <c r="U1067" s="45"/>
      <c r="V1067" s="45"/>
      <c r="W1067" s="45"/>
      <c r="X1067" s="45"/>
      <c r="Y1067" s="45"/>
      <c r="Z1067" s="45"/>
      <c r="AA1067" s="45"/>
    </row>
    <row r="1068" spans="1:27" ht="13">
      <c r="A1068" s="54">
        <v>2025</v>
      </c>
      <c r="B1068" s="580">
        <v>45708</v>
      </c>
      <c r="C1068" s="578" t="s">
        <v>481</v>
      </c>
      <c r="D1068" s="578" t="s">
        <v>494</v>
      </c>
      <c r="E1068" s="578" t="s">
        <v>512</v>
      </c>
      <c r="F1068" s="578" t="s">
        <v>528</v>
      </c>
      <c r="G1068" s="578"/>
      <c r="H1068" s="579"/>
      <c r="I1068" s="579"/>
      <c r="J1068" s="579">
        <v>63105</v>
      </c>
      <c r="K1068" s="579">
        <v>63105</v>
      </c>
      <c r="L1068" s="579"/>
      <c r="M1068" s="578"/>
      <c r="N1068" s="45"/>
      <c r="O1068" s="55"/>
      <c r="P1068" s="5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</row>
    <row r="1069" spans="1:27" ht="13">
      <c r="A1069" s="54">
        <v>2025</v>
      </c>
      <c r="B1069" s="580">
        <v>45714</v>
      </c>
      <c r="C1069" s="578" t="s">
        <v>481</v>
      </c>
      <c r="D1069" s="578" t="s">
        <v>493</v>
      </c>
      <c r="E1069" s="578" t="s">
        <v>479</v>
      </c>
      <c r="F1069" s="578" t="s">
        <v>660</v>
      </c>
      <c r="G1069" s="578"/>
      <c r="H1069" s="579">
        <v>69.33</v>
      </c>
      <c r="I1069" s="579">
        <v>69.33</v>
      </c>
      <c r="J1069" s="579"/>
      <c r="K1069" s="579"/>
      <c r="L1069" s="579"/>
      <c r="M1069" s="578"/>
      <c r="N1069" s="45"/>
      <c r="O1069" s="55"/>
      <c r="P1069" s="5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</row>
    <row r="1070" spans="1:27" ht="13">
      <c r="A1070" s="54">
        <v>2025</v>
      </c>
      <c r="B1070" s="580">
        <v>45715</v>
      </c>
      <c r="C1070" s="578" t="s">
        <v>481</v>
      </c>
      <c r="D1070" s="578" t="s">
        <v>493</v>
      </c>
      <c r="E1070" s="578" t="s">
        <v>479</v>
      </c>
      <c r="F1070" s="578" t="s">
        <v>739</v>
      </c>
      <c r="G1070" s="578"/>
      <c r="H1070" s="585"/>
      <c r="I1070" s="585"/>
      <c r="J1070" s="579">
        <v>378.2</v>
      </c>
      <c r="K1070" s="579">
        <f>J1070-L1070</f>
        <v>310</v>
      </c>
      <c r="L1070" s="579">
        <v>68.2</v>
      </c>
      <c r="M1070" s="578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</row>
    <row r="1071" spans="1:27" ht="13">
      <c r="A1071" s="54">
        <v>2025</v>
      </c>
      <c r="B1071" s="580">
        <v>45716</v>
      </c>
      <c r="C1071" s="578" t="s">
        <v>679</v>
      </c>
      <c r="D1071" s="578" t="s">
        <v>478</v>
      </c>
      <c r="E1071" s="578" t="s">
        <v>479</v>
      </c>
      <c r="F1071" s="578" t="s">
        <v>480</v>
      </c>
      <c r="G1071" s="578"/>
      <c r="H1071" s="585">
        <v>19</v>
      </c>
      <c r="I1071" s="585">
        <v>19</v>
      </c>
      <c r="J1071" s="579"/>
      <c r="K1071" s="579"/>
      <c r="L1071" s="579"/>
      <c r="M1071" s="578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</row>
    <row r="1072" spans="1:27" ht="13">
      <c r="A1072" s="54">
        <v>2025</v>
      </c>
      <c r="B1072" s="580">
        <v>45716</v>
      </c>
      <c r="C1072" s="578" t="s">
        <v>474</v>
      </c>
      <c r="D1072" s="578" t="s">
        <v>478</v>
      </c>
      <c r="E1072" s="578" t="s">
        <v>479</v>
      </c>
      <c r="F1072" s="578" t="s">
        <v>480</v>
      </c>
      <c r="G1072" s="578"/>
      <c r="H1072" s="585">
        <f t="shared" ref="H1072:I1072" si="75">40+57</f>
        <v>97</v>
      </c>
      <c r="I1072" s="585">
        <f t="shared" si="75"/>
        <v>97</v>
      </c>
      <c r="J1072" s="579"/>
      <c r="K1072" s="579"/>
      <c r="L1072" s="579"/>
      <c r="M1072" s="578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</row>
    <row r="1073" spans="1:27" ht="13">
      <c r="A1073" s="54">
        <v>2025</v>
      </c>
      <c r="B1073" s="580">
        <v>45716</v>
      </c>
      <c r="C1073" s="578" t="s">
        <v>481</v>
      </c>
      <c r="D1073" s="578" t="s">
        <v>482</v>
      </c>
      <c r="E1073" s="578" t="s">
        <v>495</v>
      </c>
      <c r="F1073" s="578" t="s">
        <v>496</v>
      </c>
      <c r="G1073" s="579"/>
      <c r="H1073" s="585"/>
      <c r="I1073" s="585"/>
      <c r="J1073" s="579">
        <v>232093</v>
      </c>
      <c r="K1073" s="579">
        <v>232093</v>
      </c>
      <c r="L1073" s="579"/>
      <c r="M1073" s="578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</row>
    <row r="1074" spans="1:27" ht="13">
      <c r="A1074" s="54">
        <v>2025</v>
      </c>
      <c r="B1074" s="580">
        <v>45716</v>
      </c>
      <c r="C1074" s="578" t="s">
        <v>481</v>
      </c>
      <c r="D1074" s="578" t="s">
        <v>484</v>
      </c>
      <c r="E1074" s="578" t="s">
        <v>644</v>
      </c>
      <c r="F1074" s="578" t="s">
        <v>488</v>
      </c>
      <c r="G1074" s="579"/>
      <c r="H1074" s="579"/>
      <c r="I1074" s="579"/>
      <c r="J1074" s="579">
        <v>69773</v>
      </c>
      <c r="K1074" s="579">
        <v>69773</v>
      </c>
      <c r="L1074" s="579"/>
      <c r="M1074" s="578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</row>
    <row r="1075" spans="1:27" ht="13">
      <c r="A1075" s="54">
        <v>2025</v>
      </c>
      <c r="B1075" s="580">
        <v>45716</v>
      </c>
      <c r="C1075" s="578" t="s">
        <v>481</v>
      </c>
      <c r="D1075" s="578" t="s">
        <v>482</v>
      </c>
      <c r="E1075" s="578" t="s">
        <v>737</v>
      </c>
      <c r="F1075" s="578" t="s">
        <v>496</v>
      </c>
      <c r="G1075" s="579"/>
      <c r="H1075" s="585"/>
      <c r="I1075" s="585"/>
      <c r="J1075" s="579">
        <v>232093</v>
      </c>
      <c r="K1075" s="579">
        <v>232093</v>
      </c>
      <c r="L1075" s="579"/>
      <c r="M1075" s="578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</row>
    <row r="1076" spans="1:27" ht="13">
      <c r="A1076" s="54">
        <v>2025</v>
      </c>
      <c r="B1076" s="580">
        <v>45716</v>
      </c>
      <c r="C1076" s="578" t="s">
        <v>679</v>
      </c>
      <c r="D1076" s="578" t="s">
        <v>482</v>
      </c>
      <c r="E1076" s="578" t="s">
        <v>680</v>
      </c>
      <c r="F1076" s="578" t="s">
        <v>459</v>
      </c>
      <c r="G1076" s="579"/>
      <c r="H1076" s="579">
        <v>1300</v>
      </c>
      <c r="I1076" s="579">
        <v>1300</v>
      </c>
      <c r="J1076" s="579"/>
      <c r="K1076" s="579"/>
      <c r="L1076" s="579"/>
      <c r="M1076" s="578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</row>
    <row r="1077" spans="1:27" ht="13">
      <c r="A1077" s="54">
        <v>2025</v>
      </c>
      <c r="B1077" s="580">
        <v>45716</v>
      </c>
      <c r="C1077" s="578" t="s">
        <v>474</v>
      </c>
      <c r="D1077" s="578" t="s">
        <v>482</v>
      </c>
      <c r="E1077" s="578" t="s">
        <v>483</v>
      </c>
      <c r="F1077" s="578" t="s">
        <v>459</v>
      </c>
      <c r="G1077" s="579"/>
      <c r="H1077" s="579">
        <v>1300</v>
      </c>
      <c r="I1077" s="579">
        <v>1300</v>
      </c>
      <c r="J1077" s="579"/>
      <c r="K1077" s="579"/>
      <c r="L1077" s="579"/>
      <c r="M1077" s="578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</row>
    <row r="1078" spans="1:27" ht="13">
      <c r="A1078" s="54">
        <v>2025</v>
      </c>
      <c r="B1078" s="580">
        <v>45716</v>
      </c>
      <c r="C1078" s="578" t="s">
        <v>474</v>
      </c>
      <c r="D1078" s="578" t="s">
        <v>482</v>
      </c>
      <c r="E1078" s="578" t="s">
        <v>535</v>
      </c>
      <c r="F1078" s="578" t="s">
        <v>459</v>
      </c>
      <c r="G1078" s="579"/>
      <c r="H1078" s="579">
        <v>1300</v>
      </c>
      <c r="I1078" s="579">
        <v>1300</v>
      </c>
      <c r="J1078" s="579"/>
      <c r="K1078" s="579"/>
      <c r="L1078" s="579"/>
      <c r="M1078" s="578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</row>
    <row r="1079" spans="1:27" ht="13">
      <c r="A1079" s="54">
        <v>2025</v>
      </c>
      <c r="B1079" s="580">
        <v>45716</v>
      </c>
      <c r="C1079" s="578" t="s">
        <v>474</v>
      </c>
      <c r="D1079" s="578" t="s">
        <v>482</v>
      </c>
      <c r="E1079" s="578" t="s">
        <v>541</v>
      </c>
      <c r="F1079" s="578" t="s">
        <v>459</v>
      </c>
      <c r="G1079" s="579"/>
      <c r="H1079" s="579">
        <v>1300</v>
      </c>
      <c r="I1079" s="579">
        <v>1300</v>
      </c>
      <c r="J1079" s="579"/>
      <c r="K1079" s="579"/>
      <c r="L1079" s="579"/>
      <c r="M1079" s="578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</row>
    <row r="1080" spans="1:27" ht="13">
      <c r="A1080" s="54">
        <v>2025</v>
      </c>
      <c r="B1080" s="580">
        <v>45716</v>
      </c>
      <c r="C1080" s="578" t="s">
        <v>474</v>
      </c>
      <c r="D1080" s="578" t="s">
        <v>482</v>
      </c>
      <c r="E1080" s="578" t="s">
        <v>537</v>
      </c>
      <c r="F1080" s="578" t="s">
        <v>459</v>
      </c>
      <c r="G1080" s="579"/>
      <c r="H1080" s="579">
        <v>900</v>
      </c>
      <c r="I1080" s="579">
        <v>900</v>
      </c>
      <c r="J1080" s="579"/>
      <c r="K1080" s="579"/>
      <c r="L1080" s="579"/>
      <c r="M1080" s="578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</row>
    <row r="1081" spans="1:27" ht="13">
      <c r="A1081" s="54">
        <v>2025</v>
      </c>
      <c r="B1081" s="586">
        <v>45716</v>
      </c>
      <c r="C1081" s="587" t="s">
        <v>481</v>
      </c>
      <c r="D1081" s="587" t="s">
        <v>482</v>
      </c>
      <c r="E1081" s="587" t="s">
        <v>458</v>
      </c>
      <c r="F1081" s="587" t="s">
        <v>459</v>
      </c>
      <c r="G1081" s="587"/>
      <c r="H1081" s="588">
        <v>4636</v>
      </c>
      <c r="I1081" s="588">
        <v>3800</v>
      </c>
      <c r="J1081" s="588"/>
      <c r="K1081" s="588"/>
      <c r="L1081" s="588">
        <f>836*M1081</f>
        <v>35482.347999999998</v>
      </c>
      <c r="M1081" s="589">
        <v>42.442999999999998</v>
      </c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</row>
    <row r="1082" spans="1:27" ht="13">
      <c r="A1082" s="54">
        <v>2025</v>
      </c>
      <c r="B1082" s="577">
        <v>45716</v>
      </c>
      <c r="C1082" s="578" t="s">
        <v>481</v>
      </c>
      <c r="D1082" s="578" t="s">
        <v>493</v>
      </c>
      <c r="E1082" s="578" t="s">
        <v>63</v>
      </c>
      <c r="F1082" s="578" t="s">
        <v>539</v>
      </c>
      <c r="G1082" s="578"/>
      <c r="H1082" s="579"/>
      <c r="I1082" s="579"/>
      <c r="J1082" s="579">
        <v>843.67</v>
      </c>
      <c r="K1082" s="579">
        <v>843.67</v>
      </c>
      <c r="L1082" s="579"/>
      <c r="M1082" s="578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</row>
    <row r="1083" spans="1:27" ht="13">
      <c r="A1083" s="54">
        <v>2025</v>
      </c>
      <c r="B1083" s="577">
        <v>45716</v>
      </c>
      <c r="C1083" s="578" t="s">
        <v>740</v>
      </c>
      <c r="D1083" s="578" t="s">
        <v>551</v>
      </c>
      <c r="E1083" s="578" t="s">
        <v>741</v>
      </c>
      <c r="F1083" s="578" t="s">
        <v>742</v>
      </c>
      <c r="G1083" s="578"/>
      <c r="H1083" s="579">
        <f t="shared" ref="H1083:I1083" si="76">480.43+535</f>
        <v>1015.4300000000001</v>
      </c>
      <c r="I1083" s="579">
        <f t="shared" si="76"/>
        <v>1015.4300000000001</v>
      </c>
      <c r="J1083" s="579"/>
      <c r="K1083" s="579"/>
      <c r="L1083" s="579"/>
      <c r="M1083" s="578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</row>
    <row r="1084" spans="1:27" ht="13">
      <c r="A1084" s="54">
        <v>2025</v>
      </c>
      <c r="B1084" s="577">
        <v>45716</v>
      </c>
      <c r="C1084" s="578" t="s">
        <v>481</v>
      </c>
      <c r="D1084" s="578" t="s">
        <v>491</v>
      </c>
      <c r="E1084" s="578" t="s">
        <v>723</v>
      </c>
      <c r="F1084" s="578" t="s">
        <v>576</v>
      </c>
      <c r="G1084" s="578"/>
      <c r="H1084" s="579">
        <v>195.69</v>
      </c>
      <c r="I1084" s="579">
        <v>195.69</v>
      </c>
      <c r="J1084" s="579"/>
      <c r="K1084" s="579"/>
      <c r="L1084" s="579"/>
      <c r="M1084" s="578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</row>
    <row r="1085" spans="1:27" ht="13">
      <c r="A1085" s="54">
        <v>2025</v>
      </c>
      <c r="B1085" s="577">
        <v>45716</v>
      </c>
      <c r="C1085" s="578" t="s">
        <v>481</v>
      </c>
      <c r="D1085" s="578" t="s">
        <v>491</v>
      </c>
      <c r="E1085" s="578" t="s">
        <v>724</v>
      </c>
      <c r="F1085" s="578" t="s">
        <v>576</v>
      </c>
      <c r="G1085" s="578"/>
      <c r="H1085" s="579">
        <v>116.38</v>
      </c>
      <c r="I1085" s="579">
        <v>116.38</v>
      </c>
      <c r="J1085" s="579"/>
      <c r="K1085" s="579"/>
      <c r="L1085" s="579"/>
      <c r="M1085" s="578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</row>
    <row r="1086" spans="1:27" ht="13">
      <c r="A1086" s="54">
        <v>2025</v>
      </c>
      <c r="B1086" s="577">
        <v>45716</v>
      </c>
      <c r="C1086" s="578" t="s">
        <v>481</v>
      </c>
      <c r="D1086" s="578" t="s">
        <v>491</v>
      </c>
      <c r="E1086" s="590" t="s">
        <v>654</v>
      </c>
      <c r="F1086" s="578" t="s">
        <v>576</v>
      </c>
      <c r="G1086" s="578"/>
      <c r="H1086" s="579">
        <f t="shared" ref="H1086:I1086" si="77">37.03</f>
        <v>37.03</v>
      </c>
      <c r="I1086" s="579">
        <f t="shared" si="77"/>
        <v>37.03</v>
      </c>
      <c r="J1086" s="579"/>
      <c r="K1086" s="579"/>
      <c r="L1086" s="579"/>
      <c r="M1086" s="578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</row>
    <row r="1087" spans="1:27" ht="13">
      <c r="A1087" s="54">
        <v>2025</v>
      </c>
      <c r="B1087" s="577">
        <v>45716</v>
      </c>
      <c r="C1087" s="578" t="s">
        <v>481</v>
      </c>
      <c r="D1087" s="578" t="s">
        <v>491</v>
      </c>
      <c r="E1087" s="578" t="s">
        <v>534</v>
      </c>
      <c r="F1087" s="578" t="s">
        <v>576</v>
      </c>
      <c r="G1087" s="578"/>
      <c r="H1087" s="579">
        <v>15.99</v>
      </c>
      <c r="I1087" s="579">
        <v>15.99</v>
      </c>
      <c r="J1087" s="579"/>
      <c r="K1087" s="579"/>
      <c r="L1087" s="579"/>
      <c r="M1087" s="578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</row>
    <row r="1088" spans="1:27" ht="13">
      <c r="A1088" s="54">
        <v>2025</v>
      </c>
      <c r="B1088" s="577">
        <v>45716</v>
      </c>
      <c r="C1088" s="578" t="s">
        <v>481</v>
      </c>
      <c r="D1088" s="578" t="s">
        <v>491</v>
      </c>
      <c r="E1088" s="578" t="s">
        <v>602</v>
      </c>
      <c r="F1088" s="578" t="s">
        <v>576</v>
      </c>
      <c r="G1088" s="578"/>
      <c r="H1088" s="579">
        <v>80.02</v>
      </c>
      <c r="I1088" s="579">
        <v>80.02</v>
      </c>
      <c r="J1088" s="579"/>
      <c r="K1088" s="579"/>
      <c r="L1088" s="579"/>
      <c r="M1088" s="578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</row>
    <row r="1089" spans="1:27" ht="13">
      <c r="A1089" s="54">
        <v>2025</v>
      </c>
      <c r="B1089" s="577">
        <v>45716</v>
      </c>
      <c r="C1089" s="578" t="s">
        <v>481</v>
      </c>
      <c r="D1089" s="578" t="s">
        <v>491</v>
      </c>
      <c r="E1089" s="578" t="s">
        <v>591</v>
      </c>
      <c r="F1089" s="578" t="s">
        <v>576</v>
      </c>
      <c r="G1089" s="578"/>
      <c r="H1089" s="579">
        <f t="shared" ref="H1089:I1089" si="78">20+184.14</f>
        <v>204.14</v>
      </c>
      <c r="I1089" s="579">
        <f t="shared" si="78"/>
        <v>204.14</v>
      </c>
      <c r="J1089" s="579"/>
      <c r="K1089" s="579"/>
      <c r="L1089" s="579"/>
      <c r="M1089" s="578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</row>
    <row r="1090" spans="1:27" ht="13">
      <c r="A1090" s="54">
        <v>2025</v>
      </c>
      <c r="B1090" s="577">
        <v>45716</v>
      </c>
      <c r="C1090" s="578" t="s">
        <v>481</v>
      </c>
      <c r="D1090" s="578" t="s">
        <v>491</v>
      </c>
      <c r="E1090" s="578" t="s">
        <v>498</v>
      </c>
      <c r="F1090" s="578" t="s">
        <v>576</v>
      </c>
      <c r="G1090" s="578"/>
      <c r="H1090" s="579">
        <v>8.0399999999999991</v>
      </c>
      <c r="I1090" s="579">
        <v>8.0399999999999991</v>
      </c>
      <c r="J1090" s="579"/>
      <c r="K1090" s="579"/>
      <c r="L1090" s="579"/>
      <c r="M1090" s="578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</row>
    <row r="1091" spans="1:27" ht="13">
      <c r="A1091" s="54">
        <v>2025</v>
      </c>
      <c r="B1091" s="577">
        <v>45716</v>
      </c>
      <c r="C1091" s="578" t="s">
        <v>481</v>
      </c>
      <c r="D1091" s="578" t="s">
        <v>491</v>
      </c>
      <c r="E1091" s="578" t="s">
        <v>639</v>
      </c>
      <c r="F1091" s="578" t="s">
        <v>576</v>
      </c>
      <c r="G1091" s="578"/>
      <c r="H1091" s="579">
        <v>15</v>
      </c>
      <c r="I1091" s="579">
        <v>15</v>
      </c>
      <c r="J1091" s="579"/>
      <c r="K1091" s="579"/>
      <c r="L1091" s="579"/>
      <c r="M1091" s="578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</row>
    <row r="1092" spans="1:27" ht="13">
      <c r="A1092" s="54">
        <v>2025</v>
      </c>
      <c r="B1092" s="577">
        <v>45716</v>
      </c>
      <c r="C1092" s="578" t="s">
        <v>481</v>
      </c>
      <c r="D1092" s="578" t="s">
        <v>491</v>
      </c>
      <c r="E1092" s="578" t="s">
        <v>592</v>
      </c>
      <c r="F1092" s="578" t="s">
        <v>576</v>
      </c>
      <c r="G1092" s="578"/>
      <c r="H1092" s="579">
        <v>48</v>
      </c>
      <c r="I1092" s="579">
        <v>48</v>
      </c>
      <c r="J1092" s="579"/>
      <c r="K1092" s="579"/>
      <c r="L1092" s="579"/>
      <c r="M1092" s="578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</row>
    <row r="1093" spans="1:27" ht="13">
      <c r="A1093" s="54">
        <v>2025</v>
      </c>
      <c r="B1093" s="577">
        <v>45716</v>
      </c>
      <c r="C1093" s="578" t="s">
        <v>481</v>
      </c>
      <c r="D1093" s="578" t="s">
        <v>491</v>
      </c>
      <c r="E1093" s="590" t="s">
        <v>709</v>
      </c>
      <c r="F1093" s="578" t="s">
        <v>576</v>
      </c>
      <c r="G1093" s="578"/>
      <c r="H1093" s="579">
        <v>20</v>
      </c>
      <c r="I1093" s="579">
        <v>20</v>
      </c>
      <c r="J1093" s="579"/>
      <c r="K1093" s="579"/>
      <c r="L1093" s="579"/>
      <c r="M1093" s="578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</row>
    <row r="1094" spans="1:27" ht="13">
      <c r="A1094" s="54">
        <v>2025</v>
      </c>
      <c r="B1094" s="577">
        <v>45716</v>
      </c>
      <c r="C1094" s="578" t="s">
        <v>481</v>
      </c>
      <c r="D1094" s="578" t="s">
        <v>491</v>
      </c>
      <c r="E1094" s="578" t="s">
        <v>633</v>
      </c>
      <c r="F1094" s="578" t="s">
        <v>576</v>
      </c>
      <c r="G1094" s="578"/>
      <c r="H1094" s="579">
        <v>43.2</v>
      </c>
      <c r="I1094" s="579">
        <v>43.2</v>
      </c>
      <c r="J1094" s="579"/>
      <c r="K1094" s="579"/>
      <c r="L1094" s="579"/>
      <c r="M1094" s="578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</row>
    <row r="1095" spans="1:27" ht="13">
      <c r="A1095" s="54">
        <v>2025</v>
      </c>
      <c r="B1095" s="577">
        <v>45716</v>
      </c>
      <c r="C1095" s="578" t="s">
        <v>481</v>
      </c>
      <c r="D1095" s="578" t="s">
        <v>491</v>
      </c>
      <c r="E1095" s="578" t="s">
        <v>69</v>
      </c>
      <c r="F1095" s="578" t="s">
        <v>576</v>
      </c>
      <c r="G1095" s="578"/>
      <c r="H1095" s="579">
        <v>116.38</v>
      </c>
      <c r="I1095" s="579">
        <v>116.38</v>
      </c>
      <c r="J1095" s="579"/>
      <c r="K1095" s="579"/>
      <c r="L1095" s="579"/>
      <c r="M1095" s="578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</row>
    <row r="1096" spans="1:27" ht="13">
      <c r="A1096" s="54">
        <v>2025</v>
      </c>
      <c r="B1096" s="577">
        <v>45716</v>
      </c>
      <c r="C1096" s="578" t="s">
        <v>481</v>
      </c>
      <c r="D1096" s="578" t="s">
        <v>491</v>
      </c>
      <c r="E1096" s="578" t="s">
        <v>725</v>
      </c>
      <c r="F1096" s="578" t="s">
        <v>576</v>
      </c>
      <c r="G1096" s="578"/>
      <c r="H1096" s="579">
        <v>3.03</v>
      </c>
      <c r="I1096" s="579">
        <v>3.03</v>
      </c>
      <c r="J1096" s="579"/>
      <c r="K1096" s="579"/>
      <c r="L1096" s="579"/>
      <c r="M1096" s="578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</row>
    <row r="1097" spans="1:27" ht="13">
      <c r="A1097" s="54">
        <v>2025</v>
      </c>
      <c r="B1097" s="577">
        <v>45721</v>
      </c>
      <c r="C1097" s="578" t="s">
        <v>481</v>
      </c>
      <c r="D1097" s="578" t="s">
        <v>478</v>
      </c>
      <c r="E1097" s="578" t="s">
        <v>479</v>
      </c>
      <c r="F1097" s="578" t="s">
        <v>480</v>
      </c>
      <c r="G1097" s="578"/>
      <c r="H1097" s="579">
        <v>40</v>
      </c>
      <c r="I1097" s="579">
        <v>40</v>
      </c>
      <c r="J1097" s="579"/>
      <c r="K1097" s="579"/>
      <c r="L1097" s="579"/>
      <c r="M1097" s="578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</row>
    <row r="1098" spans="1:27" ht="13">
      <c r="A1098" s="54">
        <v>2025</v>
      </c>
      <c r="B1098" s="577">
        <v>45721</v>
      </c>
      <c r="C1098" s="578" t="s">
        <v>481</v>
      </c>
      <c r="D1098" s="578" t="s">
        <v>478</v>
      </c>
      <c r="E1098" s="578" t="s">
        <v>63</v>
      </c>
      <c r="F1098" s="578" t="s">
        <v>480</v>
      </c>
      <c r="G1098" s="578"/>
      <c r="H1098" s="579">
        <v>3.8</v>
      </c>
      <c r="I1098" s="579">
        <v>3.8</v>
      </c>
      <c r="J1098" s="579">
        <v>43.3</v>
      </c>
      <c r="K1098" s="579">
        <v>43.3</v>
      </c>
      <c r="L1098" s="579"/>
      <c r="M1098" s="578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</row>
    <row r="1099" spans="1:27" ht="13">
      <c r="A1099" s="54">
        <v>2025</v>
      </c>
      <c r="B1099" s="518">
        <v>45716</v>
      </c>
      <c r="C1099" s="519" t="s">
        <v>481</v>
      </c>
      <c r="D1099" s="519" t="s">
        <v>489</v>
      </c>
      <c r="E1099" s="519" t="s">
        <v>463</v>
      </c>
      <c r="F1099" s="519" t="s">
        <v>464</v>
      </c>
      <c r="G1099" s="520"/>
      <c r="H1099" s="520"/>
      <c r="I1099" s="520"/>
      <c r="J1099" s="520">
        <v>7000</v>
      </c>
      <c r="K1099" s="520">
        <v>5737.7</v>
      </c>
      <c r="L1099" s="520">
        <v>1262.3</v>
      </c>
      <c r="M1099" s="519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</row>
    <row r="1100" spans="1:27" ht="13">
      <c r="A1100" s="54">
        <v>2025</v>
      </c>
      <c r="B1100" s="518">
        <v>45721</v>
      </c>
      <c r="C1100" s="519" t="s">
        <v>481</v>
      </c>
      <c r="D1100" s="519" t="s">
        <v>493</v>
      </c>
      <c r="E1100" s="519" t="s">
        <v>619</v>
      </c>
      <c r="F1100" s="519" t="s">
        <v>651</v>
      </c>
      <c r="G1100" s="519"/>
      <c r="H1100" s="520"/>
      <c r="I1100" s="520"/>
      <c r="J1100" s="520">
        <v>592</v>
      </c>
      <c r="K1100" s="520">
        <v>592</v>
      </c>
      <c r="L1100" s="520"/>
      <c r="M1100" s="519"/>
      <c r="N1100" s="45"/>
      <c r="O1100" s="59"/>
      <c r="P1100" s="68"/>
      <c r="Q1100" s="45"/>
      <c r="R1100" s="45"/>
      <c r="S1100" s="49"/>
      <c r="T1100" s="45"/>
      <c r="U1100" s="45"/>
      <c r="V1100" s="45"/>
      <c r="W1100" s="45"/>
      <c r="X1100" s="45"/>
      <c r="Y1100" s="45"/>
      <c r="Z1100" s="45"/>
      <c r="AA1100" s="45"/>
    </row>
    <row r="1101" spans="1:27" ht="13">
      <c r="A1101" s="54">
        <v>2025</v>
      </c>
      <c r="B1101" s="518">
        <v>45721</v>
      </c>
      <c r="C1101" s="519" t="s">
        <v>481</v>
      </c>
      <c r="D1101" s="519" t="s">
        <v>493</v>
      </c>
      <c r="E1101" s="519" t="s">
        <v>619</v>
      </c>
      <c r="F1101" s="519" t="s">
        <v>743</v>
      </c>
      <c r="G1101" s="519"/>
      <c r="H1101" s="520"/>
      <c r="I1101" s="520"/>
      <c r="J1101" s="520">
        <v>5925</v>
      </c>
      <c r="K1101" s="520">
        <f>J1101-L1101</f>
        <v>4856.5599999999995</v>
      </c>
      <c r="L1101" s="520">
        <v>1068.44</v>
      </c>
      <c r="M1101" s="519"/>
      <c r="N1101" s="45"/>
      <c r="O1101" s="514" t="s">
        <v>457</v>
      </c>
      <c r="P1101" s="515"/>
      <c r="Q1101" s="45"/>
      <c r="R1101" s="45"/>
      <c r="S1101" s="491" t="s">
        <v>669</v>
      </c>
      <c r="T1101" s="492"/>
      <c r="U1101" s="45"/>
      <c r="V1101" s="45"/>
      <c r="W1101" s="45"/>
      <c r="X1101" s="45"/>
      <c r="Y1101" s="45"/>
      <c r="Z1101" s="45"/>
      <c r="AA1101" s="45"/>
    </row>
    <row r="1102" spans="1:27" ht="13">
      <c r="A1102" s="54">
        <v>2025</v>
      </c>
      <c r="B1102" s="518">
        <v>45723</v>
      </c>
      <c r="C1102" s="519" t="s">
        <v>740</v>
      </c>
      <c r="D1102" s="519" t="s">
        <v>489</v>
      </c>
      <c r="E1102" s="522" t="s">
        <v>744</v>
      </c>
      <c r="F1102" s="519" t="s">
        <v>464</v>
      </c>
      <c r="G1102" s="519"/>
      <c r="H1102" s="520">
        <v>2000</v>
      </c>
      <c r="I1102" s="520">
        <v>2000</v>
      </c>
      <c r="J1102" s="520"/>
      <c r="K1102" s="520"/>
      <c r="L1102" s="520"/>
      <c r="M1102" s="519"/>
      <c r="N1102" s="45"/>
      <c r="O1102" s="566">
        <f>SUM(Facturacion!I152:I156)</f>
        <v>91072.429799999998</v>
      </c>
      <c r="P1102" s="515"/>
      <c r="Q1102" s="45"/>
      <c r="R1102" s="45"/>
      <c r="S1102" s="491" t="s">
        <v>411</v>
      </c>
      <c r="T1102" s="552">
        <f>SUM(K1099:K1145)</f>
        <v>762377.50999999989</v>
      </c>
      <c r="U1102" s="45"/>
      <c r="V1102" s="45"/>
      <c r="W1102" s="45"/>
      <c r="X1102" s="45"/>
      <c r="Y1102" s="45"/>
      <c r="Z1102" s="45"/>
      <c r="AA1102" s="45"/>
    </row>
    <row r="1103" spans="1:27" ht="13">
      <c r="A1103" s="54">
        <v>2025</v>
      </c>
      <c r="B1103" s="518">
        <v>45723</v>
      </c>
      <c r="C1103" s="519" t="s">
        <v>740</v>
      </c>
      <c r="D1103" s="519" t="s">
        <v>493</v>
      </c>
      <c r="E1103" s="519" t="s">
        <v>479</v>
      </c>
      <c r="F1103" s="519" t="s">
        <v>480</v>
      </c>
      <c r="G1103" s="519"/>
      <c r="H1103" s="520">
        <v>40</v>
      </c>
      <c r="I1103" s="520">
        <v>40</v>
      </c>
      <c r="J1103" s="520"/>
      <c r="K1103" s="520"/>
      <c r="L1103" s="520"/>
      <c r="M1103" s="519"/>
      <c r="N1103" s="45"/>
      <c r="O1103" s="514" t="s">
        <v>461</v>
      </c>
      <c r="P1103" s="514" t="s">
        <v>462</v>
      </c>
      <c r="Q1103" s="45"/>
      <c r="R1103" s="45"/>
      <c r="S1103" s="469" t="s">
        <v>584</v>
      </c>
      <c r="T1103" s="552">
        <f>SUM(I1099:I1145)</f>
        <v>13078.439999999999</v>
      </c>
      <c r="U1103" s="45"/>
      <c r="V1103" s="45"/>
      <c r="W1103" s="45"/>
      <c r="X1103" s="45"/>
      <c r="Y1103" s="45"/>
      <c r="Z1103" s="45"/>
      <c r="AA1103" s="45"/>
    </row>
    <row r="1104" spans="1:27" ht="13">
      <c r="A1104" s="54">
        <v>2025</v>
      </c>
      <c r="B1104" s="518">
        <v>45729</v>
      </c>
      <c r="C1104" s="519" t="s">
        <v>481</v>
      </c>
      <c r="D1104" s="519" t="s">
        <v>493</v>
      </c>
      <c r="E1104" s="519" t="s">
        <v>479</v>
      </c>
      <c r="F1104" s="519" t="s">
        <v>660</v>
      </c>
      <c r="G1104" s="519"/>
      <c r="H1104" s="520">
        <v>25</v>
      </c>
      <c r="I1104" s="520">
        <v>25</v>
      </c>
      <c r="J1104" s="520"/>
      <c r="K1104" s="520"/>
      <c r="L1104" s="520"/>
      <c r="M1104" s="519"/>
      <c r="N1104" s="45"/>
      <c r="O1104" s="566">
        <f>SUM(L1099:L1145)</f>
        <v>11512.08814</v>
      </c>
      <c r="P1104" s="566">
        <f>(O1102-O1104)</f>
        <v>79560.341660000006</v>
      </c>
      <c r="Q1104" s="45"/>
      <c r="R1104" s="45"/>
      <c r="S1104" s="492"/>
      <c r="T1104" s="492"/>
      <c r="U1104" s="45"/>
      <c r="V1104" s="45"/>
      <c r="W1104" s="45"/>
      <c r="X1104" s="45"/>
      <c r="Y1104" s="45"/>
      <c r="Z1104" s="45"/>
      <c r="AA1104" s="45"/>
    </row>
    <row r="1105" spans="1:27" ht="13">
      <c r="A1105" s="54">
        <v>2025</v>
      </c>
      <c r="B1105" s="518">
        <v>45723</v>
      </c>
      <c r="C1105" s="519" t="s">
        <v>679</v>
      </c>
      <c r="D1105" s="519" t="s">
        <v>551</v>
      </c>
      <c r="E1105" s="519" t="s">
        <v>680</v>
      </c>
      <c r="F1105" s="519" t="s">
        <v>745</v>
      </c>
      <c r="G1105" s="519"/>
      <c r="H1105" s="520">
        <v>200</v>
      </c>
      <c r="I1105" s="520">
        <v>200</v>
      </c>
      <c r="J1105" s="520"/>
      <c r="K1105" s="520"/>
      <c r="L1105" s="520"/>
      <c r="M1105" s="519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</row>
    <row r="1106" spans="1:27" ht="13">
      <c r="A1106" s="54">
        <v>2025</v>
      </c>
      <c r="B1106" s="518">
        <v>45729</v>
      </c>
      <c r="C1106" s="519" t="s">
        <v>481</v>
      </c>
      <c r="D1106" s="519" t="s">
        <v>493</v>
      </c>
      <c r="E1106" s="519" t="s">
        <v>479</v>
      </c>
      <c r="F1106" s="519" t="s">
        <v>539</v>
      </c>
      <c r="G1106" s="519"/>
      <c r="H1106" s="520"/>
      <c r="I1106" s="520"/>
      <c r="J1106" s="520">
        <v>1320</v>
      </c>
      <c r="K1106" s="520">
        <v>1320</v>
      </c>
      <c r="L1106" s="520"/>
      <c r="M1106" s="519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  <c r="AA1106" s="45"/>
    </row>
    <row r="1107" spans="1:27" ht="13">
      <c r="A1107" s="54">
        <v>2025</v>
      </c>
      <c r="B1107" s="518">
        <v>45729</v>
      </c>
      <c r="C1107" s="519" t="s">
        <v>481</v>
      </c>
      <c r="D1107" s="519" t="s">
        <v>494</v>
      </c>
      <c r="E1107" s="519" t="s">
        <v>502</v>
      </c>
      <c r="F1107" s="519" t="s">
        <v>522</v>
      </c>
      <c r="G1107" s="519"/>
      <c r="H1107" s="520"/>
      <c r="I1107" s="520"/>
      <c r="J1107" s="520">
        <v>79372</v>
      </c>
      <c r="K1107" s="520">
        <v>79372</v>
      </c>
      <c r="L1107" s="520"/>
      <c r="M1107" s="519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</row>
    <row r="1108" spans="1:27" ht="13">
      <c r="A1108" s="54">
        <v>2025</v>
      </c>
      <c r="B1108" s="518">
        <v>45729</v>
      </c>
      <c r="C1108" s="519" t="s">
        <v>481</v>
      </c>
      <c r="D1108" s="519" t="s">
        <v>494</v>
      </c>
      <c r="E1108" s="519" t="s">
        <v>502</v>
      </c>
      <c r="F1108" s="519" t="s">
        <v>543</v>
      </c>
      <c r="G1108" s="519"/>
      <c r="H1108" s="520"/>
      <c r="I1108" s="520"/>
      <c r="J1108" s="520">
        <v>5893</v>
      </c>
      <c r="K1108" s="520">
        <v>5893</v>
      </c>
      <c r="L1108" s="520"/>
      <c r="M1108" s="519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</row>
    <row r="1109" spans="1:27" ht="13">
      <c r="A1109" s="54">
        <v>2025</v>
      </c>
      <c r="B1109" s="518">
        <v>45729</v>
      </c>
      <c r="C1109" s="519" t="s">
        <v>481</v>
      </c>
      <c r="D1109" s="519" t="s">
        <v>494</v>
      </c>
      <c r="E1109" s="519" t="s">
        <v>512</v>
      </c>
      <c r="F1109" s="519" t="s">
        <v>528</v>
      </c>
      <c r="G1109" s="519"/>
      <c r="H1109" s="520"/>
      <c r="I1109" s="520"/>
      <c r="J1109" s="520">
        <v>79560</v>
      </c>
      <c r="K1109" s="520">
        <v>79560</v>
      </c>
      <c r="L1109" s="520"/>
      <c r="M1109" s="519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</row>
    <row r="1110" spans="1:27" ht="13">
      <c r="A1110" s="54">
        <v>2025</v>
      </c>
      <c r="B1110" s="518">
        <v>45729</v>
      </c>
      <c r="C1110" s="519" t="s">
        <v>481</v>
      </c>
      <c r="D1110" s="519" t="s">
        <v>494</v>
      </c>
      <c r="E1110" s="519" t="s">
        <v>512</v>
      </c>
      <c r="F1110" s="519" t="s">
        <v>574</v>
      </c>
      <c r="G1110" s="519"/>
      <c r="H1110" s="520"/>
      <c r="I1110" s="520"/>
      <c r="J1110" s="520">
        <f t="shared" ref="J1110:K1110" si="79">3197+29060</f>
        <v>32257</v>
      </c>
      <c r="K1110" s="520">
        <f t="shared" si="79"/>
        <v>32257</v>
      </c>
      <c r="L1110" s="520"/>
      <c r="M1110" s="519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</row>
    <row r="1111" spans="1:27" ht="13">
      <c r="A1111" s="54">
        <v>2025</v>
      </c>
      <c r="B1111" s="518">
        <v>45737</v>
      </c>
      <c r="C1111" s="519" t="s">
        <v>740</v>
      </c>
      <c r="D1111" s="519" t="s">
        <v>551</v>
      </c>
      <c r="E1111" s="519" t="s">
        <v>705</v>
      </c>
      <c r="F1111" s="519" t="s">
        <v>746</v>
      </c>
      <c r="G1111" s="519"/>
      <c r="H1111" s="520">
        <v>1916</v>
      </c>
      <c r="I1111" s="520">
        <v>1916</v>
      </c>
      <c r="J1111" s="520"/>
      <c r="K1111" s="520"/>
      <c r="L1111" s="520"/>
      <c r="M1111" s="519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</row>
    <row r="1112" spans="1:27" ht="13">
      <c r="A1112" s="54">
        <v>2025</v>
      </c>
      <c r="B1112" s="518">
        <v>45737</v>
      </c>
      <c r="C1112" s="519" t="s">
        <v>481</v>
      </c>
      <c r="D1112" s="519" t="s">
        <v>489</v>
      </c>
      <c r="E1112" s="519" t="s">
        <v>735</v>
      </c>
      <c r="F1112" s="519" t="s">
        <v>736</v>
      </c>
      <c r="G1112" s="519"/>
      <c r="H1112" s="520">
        <v>945.5</v>
      </c>
      <c r="I1112" s="520">
        <v>775</v>
      </c>
      <c r="J1112" s="520"/>
      <c r="K1112" s="520"/>
      <c r="L1112" s="520">
        <f>170.5*M1112</f>
        <v>7192.0309999999999</v>
      </c>
      <c r="M1112" s="519">
        <v>42.182000000000002</v>
      </c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</row>
    <row r="1113" spans="1:27" ht="13">
      <c r="A1113" s="54">
        <v>2025</v>
      </c>
      <c r="B1113" s="518">
        <v>45740</v>
      </c>
      <c r="C1113" s="519" t="s">
        <v>481</v>
      </c>
      <c r="D1113" s="519" t="s">
        <v>494</v>
      </c>
      <c r="E1113" s="519" t="s">
        <v>521</v>
      </c>
      <c r="F1113" s="519" t="s">
        <v>544</v>
      </c>
      <c r="G1113" s="519"/>
      <c r="H1113" s="520"/>
      <c r="I1113" s="520"/>
      <c r="J1113" s="520">
        <v>1002</v>
      </c>
      <c r="K1113" s="520">
        <f>J1113-L1113</f>
        <v>821.35</v>
      </c>
      <c r="L1113" s="520">
        <v>180.65</v>
      </c>
      <c r="M1113" s="519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</row>
    <row r="1114" spans="1:27" ht="13">
      <c r="A1114" s="54">
        <v>2025</v>
      </c>
      <c r="B1114" s="518">
        <v>45740</v>
      </c>
      <c r="C1114" s="519" t="s">
        <v>481</v>
      </c>
      <c r="D1114" s="519" t="s">
        <v>493</v>
      </c>
      <c r="E1114" s="519" t="s">
        <v>63</v>
      </c>
      <c r="F1114" s="519" t="s">
        <v>660</v>
      </c>
      <c r="G1114" s="519"/>
      <c r="H1114" s="520">
        <v>1.9</v>
      </c>
      <c r="I1114" s="520">
        <v>1.9</v>
      </c>
      <c r="J1114" s="520"/>
      <c r="K1114" s="520"/>
      <c r="L1114" s="520"/>
      <c r="M1114" s="519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</row>
    <row r="1115" spans="1:27" ht="13">
      <c r="A1115" s="54">
        <v>2025</v>
      </c>
      <c r="B1115" s="518">
        <v>45741</v>
      </c>
      <c r="C1115" s="519" t="s">
        <v>481</v>
      </c>
      <c r="D1115" s="519" t="s">
        <v>484</v>
      </c>
      <c r="E1115" s="519" t="s">
        <v>644</v>
      </c>
      <c r="F1115" s="519" t="s">
        <v>668</v>
      </c>
      <c r="G1115" s="519"/>
      <c r="H1115" s="520"/>
      <c r="I1115" s="520"/>
      <c r="J1115" s="520">
        <v>7399</v>
      </c>
      <c r="K1115" s="520">
        <v>7399</v>
      </c>
      <c r="L1115" s="520"/>
      <c r="M1115" s="519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</row>
    <row r="1116" spans="1:27" ht="13">
      <c r="A1116" s="54">
        <v>2025</v>
      </c>
      <c r="B1116" s="518">
        <v>45742</v>
      </c>
      <c r="C1116" s="519" t="s">
        <v>481</v>
      </c>
      <c r="D1116" s="519" t="s">
        <v>493</v>
      </c>
      <c r="E1116" s="519" t="s">
        <v>479</v>
      </c>
      <c r="F1116" s="519" t="s">
        <v>624</v>
      </c>
      <c r="G1116" s="520"/>
      <c r="H1116" s="523"/>
      <c r="I1116" s="523"/>
      <c r="J1116" s="520"/>
      <c r="K1116" s="520"/>
      <c r="L1116" s="520">
        <f>12.98*M1116</f>
        <v>546.36714000000006</v>
      </c>
      <c r="M1116" s="519">
        <v>42.093000000000004</v>
      </c>
      <c r="N1116" s="45"/>
      <c r="O1116" s="81">
        <v>71.959999999999994</v>
      </c>
      <c r="P1116" s="591">
        <f>O1116-12.98</f>
        <v>58.97999999999999</v>
      </c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</row>
    <row r="1117" spans="1:27" ht="13">
      <c r="A1117" s="54">
        <v>2025</v>
      </c>
      <c r="B1117" s="518">
        <v>45747</v>
      </c>
      <c r="C1117" s="519" t="s">
        <v>481</v>
      </c>
      <c r="D1117" s="519" t="s">
        <v>493</v>
      </c>
      <c r="E1117" s="519" t="s">
        <v>63</v>
      </c>
      <c r="F1117" s="519" t="s">
        <v>480</v>
      </c>
      <c r="G1117" s="520"/>
      <c r="H1117" s="523">
        <v>1.9</v>
      </c>
      <c r="I1117" s="523">
        <v>1.9</v>
      </c>
      <c r="J1117" s="520"/>
      <c r="K1117" s="520"/>
      <c r="L1117" s="520"/>
      <c r="M1117" s="519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</row>
    <row r="1118" spans="1:27" ht="13">
      <c r="A1118" s="54">
        <v>2025</v>
      </c>
      <c r="B1118" s="518">
        <v>45747</v>
      </c>
      <c r="C1118" s="519" t="s">
        <v>481</v>
      </c>
      <c r="D1118" s="519" t="s">
        <v>482</v>
      </c>
      <c r="E1118" s="519" t="s">
        <v>495</v>
      </c>
      <c r="F1118" s="519" t="s">
        <v>496</v>
      </c>
      <c r="G1118" s="520"/>
      <c r="H1118" s="523"/>
      <c r="I1118" s="523"/>
      <c r="J1118" s="520">
        <v>232093</v>
      </c>
      <c r="K1118" s="520">
        <v>232093</v>
      </c>
      <c r="L1118" s="520"/>
      <c r="M1118" s="519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  <c r="AA1118" s="45"/>
    </row>
    <row r="1119" spans="1:27" ht="13">
      <c r="A1119" s="54">
        <v>2025</v>
      </c>
      <c r="B1119" s="518">
        <v>45747</v>
      </c>
      <c r="C1119" s="519" t="s">
        <v>481</v>
      </c>
      <c r="D1119" s="519" t="s">
        <v>484</v>
      </c>
      <c r="E1119" s="519" t="s">
        <v>644</v>
      </c>
      <c r="F1119" s="519" t="s">
        <v>488</v>
      </c>
      <c r="G1119" s="520"/>
      <c r="H1119" s="520"/>
      <c r="I1119" s="520"/>
      <c r="J1119" s="520">
        <v>68096</v>
      </c>
      <c r="K1119" s="520">
        <v>68096</v>
      </c>
      <c r="L1119" s="520"/>
      <c r="M1119" s="519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</row>
    <row r="1120" spans="1:27" ht="13">
      <c r="A1120" s="54">
        <v>2025</v>
      </c>
      <c r="B1120" s="518">
        <v>45747</v>
      </c>
      <c r="C1120" s="519" t="s">
        <v>481</v>
      </c>
      <c r="D1120" s="519" t="s">
        <v>482</v>
      </c>
      <c r="E1120" s="519" t="s">
        <v>737</v>
      </c>
      <c r="F1120" s="519" t="s">
        <v>496</v>
      </c>
      <c r="G1120" s="520"/>
      <c r="H1120" s="523"/>
      <c r="I1120" s="523"/>
      <c r="J1120" s="520">
        <v>232093</v>
      </c>
      <c r="K1120" s="520">
        <v>232093</v>
      </c>
      <c r="L1120" s="520"/>
      <c r="M1120" s="519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  <c r="AA1120" s="45"/>
    </row>
    <row r="1121" spans="1:27" ht="13">
      <c r="A1121" s="54">
        <v>2025</v>
      </c>
      <c r="B1121" s="518">
        <v>45747</v>
      </c>
      <c r="C1121" s="519" t="s">
        <v>679</v>
      </c>
      <c r="D1121" s="519" t="s">
        <v>482</v>
      </c>
      <c r="E1121" s="519" t="s">
        <v>680</v>
      </c>
      <c r="F1121" s="519" t="s">
        <v>459</v>
      </c>
      <c r="G1121" s="520"/>
      <c r="H1121" s="520">
        <v>1300</v>
      </c>
      <c r="I1121" s="520">
        <v>1300</v>
      </c>
      <c r="J1121" s="520"/>
      <c r="K1121" s="520"/>
      <c r="L1121" s="520"/>
      <c r="M1121" s="519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  <c r="AA1121" s="45"/>
    </row>
    <row r="1122" spans="1:27" ht="13">
      <c r="A1122" s="54">
        <v>2025</v>
      </c>
      <c r="B1122" s="518">
        <v>45747</v>
      </c>
      <c r="C1122" s="519" t="s">
        <v>474</v>
      </c>
      <c r="D1122" s="519" t="s">
        <v>482</v>
      </c>
      <c r="E1122" s="519" t="s">
        <v>483</v>
      </c>
      <c r="F1122" s="519" t="s">
        <v>459</v>
      </c>
      <c r="G1122" s="520"/>
      <c r="H1122" s="520">
        <v>1300</v>
      </c>
      <c r="I1122" s="520">
        <v>1300</v>
      </c>
      <c r="J1122" s="520"/>
      <c r="K1122" s="520"/>
      <c r="L1122" s="520"/>
      <c r="M1122" s="519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</row>
    <row r="1123" spans="1:27" ht="13">
      <c r="A1123" s="54">
        <v>2025</v>
      </c>
      <c r="B1123" s="518">
        <v>45747</v>
      </c>
      <c r="C1123" s="519" t="s">
        <v>474</v>
      </c>
      <c r="D1123" s="519" t="s">
        <v>482</v>
      </c>
      <c r="E1123" s="519" t="s">
        <v>535</v>
      </c>
      <c r="F1123" s="519" t="s">
        <v>459</v>
      </c>
      <c r="G1123" s="520"/>
      <c r="H1123" s="520">
        <v>1300</v>
      </c>
      <c r="I1123" s="520">
        <v>1300</v>
      </c>
      <c r="J1123" s="520"/>
      <c r="K1123" s="520"/>
      <c r="L1123" s="520"/>
      <c r="M1123" s="519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  <c r="AA1123" s="45"/>
    </row>
    <row r="1124" spans="1:27" ht="13">
      <c r="A1124" s="54">
        <v>2025</v>
      </c>
      <c r="B1124" s="518">
        <v>45747</v>
      </c>
      <c r="C1124" s="519" t="s">
        <v>474</v>
      </c>
      <c r="D1124" s="519" t="s">
        <v>482</v>
      </c>
      <c r="E1124" s="519" t="s">
        <v>541</v>
      </c>
      <c r="F1124" s="519" t="s">
        <v>459</v>
      </c>
      <c r="G1124" s="520"/>
      <c r="H1124" s="520">
        <v>1300</v>
      </c>
      <c r="I1124" s="520">
        <v>1300</v>
      </c>
      <c r="J1124" s="520"/>
      <c r="K1124" s="520"/>
      <c r="L1124" s="520"/>
      <c r="M1124" s="519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  <c r="AA1124" s="45"/>
    </row>
    <row r="1125" spans="1:27" ht="13">
      <c r="A1125" s="54">
        <v>2025</v>
      </c>
      <c r="B1125" s="518">
        <v>45747</v>
      </c>
      <c r="C1125" s="519" t="s">
        <v>474</v>
      </c>
      <c r="D1125" s="519" t="s">
        <v>482</v>
      </c>
      <c r="E1125" s="519" t="s">
        <v>537</v>
      </c>
      <c r="F1125" s="519" t="s">
        <v>459</v>
      </c>
      <c r="G1125" s="520"/>
      <c r="H1125" s="520">
        <v>900</v>
      </c>
      <c r="I1125" s="520">
        <v>900</v>
      </c>
      <c r="J1125" s="520"/>
      <c r="K1125" s="520"/>
      <c r="L1125" s="520"/>
      <c r="M1125" s="519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  <c r="AA1125" s="45"/>
    </row>
    <row r="1126" spans="1:27" ht="13">
      <c r="A1126" s="54">
        <v>2025</v>
      </c>
      <c r="B1126" s="518">
        <v>45747</v>
      </c>
      <c r="C1126" s="519" t="s">
        <v>474</v>
      </c>
      <c r="D1126" s="519" t="s">
        <v>478</v>
      </c>
      <c r="E1126" s="519" t="s">
        <v>701</v>
      </c>
      <c r="F1126" s="519" t="s">
        <v>539</v>
      </c>
      <c r="G1126" s="520"/>
      <c r="H1126" s="520">
        <f t="shared" ref="H1126:I1126" si="80">13.13*3</f>
        <v>39.39</v>
      </c>
      <c r="I1126" s="520">
        <f t="shared" si="80"/>
        <v>39.39</v>
      </c>
      <c r="J1126" s="520"/>
      <c r="K1126" s="520"/>
      <c r="L1126" s="520"/>
      <c r="M1126" s="519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  <c r="AA1126" s="45"/>
    </row>
    <row r="1127" spans="1:27" ht="13">
      <c r="A1127" s="54">
        <v>2025</v>
      </c>
      <c r="B1127" s="518">
        <v>45747</v>
      </c>
      <c r="C1127" s="519" t="s">
        <v>679</v>
      </c>
      <c r="D1127" s="519" t="s">
        <v>478</v>
      </c>
      <c r="E1127" s="519" t="s">
        <v>701</v>
      </c>
      <c r="F1127" s="519" t="s">
        <v>539</v>
      </c>
      <c r="G1127" s="520"/>
      <c r="H1127" s="520">
        <v>13.13</v>
      </c>
      <c r="I1127" s="520">
        <v>13.13</v>
      </c>
      <c r="J1127" s="520"/>
      <c r="K1127" s="520"/>
      <c r="L1127" s="520"/>
      <c r="M1127" s="592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</row>
    <row r="1128" spans="1:27" ht="13">
      <c r="A1128" s="54">
        <v>2025</v>
      </c>
      <c r="B1128" s="518">
        <v>45747</v>
      </c>
      <c r="C1128" s="519" t="s">
        <v>481</v>
      </c>
      <c r="D1128" s="519" t="s">
        <v>491</v>
      </c>
      <c r="E1128" s="524" t="s">
        <v>654</v>
      </c>
      <c r="F1128" s="519" t="s">
        <v>576</v>
      </c>
      <c r="G1128" s="520"/>
      <c r="H1128" s="520"/>
      <c r="I1128" s="520"/>
      <c r="J1128" s="520">
        <f t="shared" ref="J1128:K1128" si="81">1555+1555</f>
        <v>3110</v>
      </c>
      <c r="K1128" s="520">
        <f t="shared" si="81"/>
        <v>3110</v>
      </c>
      <c r="L1128" s="520"/>
      <c r="M1128" s="592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  <c r="AA1128" s="45"/>
    </row>
    <row r="1129" spans="1:27" ht="13">
      <c r="A1129" s="54">
        <v>2025</v>
      </c>
      <c r="B1129" s="518">
        <v>45747</v>
      </c>
      <c r="C1129" s="519" t="s">
        <v>481</v>
      </c>
      <c r="D1129" s="519" t="s">
        <v>491</v>
      </c>
      <c r="E1129" s="519" t="s">
        <v>534</v>
      </c>
      <c r="F1129" s="519" t="s">
        <v>576</v>
      </c>
      <c r="G1129" s="520"/>
      <c r="H1129" s="520">
        <v>15.99</v>
      </c>
      <c r="I1129" s="520">
        <v>15.99</v>
      </c>
      <c r="J1129" s="520"/>
      <c r="K1129" s="520"/>
      <c r="L1129" s="520"/>
      <c r="M1129" s="592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  <c r="AA1129" s="45"/>
    </row>
    <row r="1130" spans="1:27" ht="13">
      <c r="A1130" s="54">
        <v>2025</v>
      </c>
      <c r="B1130" s="518">
        <v>45747</v>
      </c>
      <c r="C1130" s="519" t="s">
        <v>481</v>
      </c>
      <c r="D1130" s="519" t="s">
        <v>491</v>
      </c>
      <c r="E1130" s="519" t="s">
        <v>602</v>
      </c>
      <c r="F1130" s="519" t="s">
        <v>576</v>
      </c>
      <c r="G1130" s="520"/>
      <c r="H1130" s="520">
        <v>80.05</v>
      </c>
      <c r="I1130" s="520">
        <v>80.05</v>
      </c>
      <c r="J1130" s="520"/>
      <c r="K1130" s="520"/>
      <c r="L1130" s="520"/>
      <c r="M1130" s="592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</row>
    <row r="1131" spans="1:27" ht="13">
      <c r="A1131" s="54">
        <v>2025</v>
      </c>
      <c r="B1131" s="518">
        <v>45747</v>
      </c>
      <c r="C1131" s="519" t="s">
        <v>481</v>
      </c>
      <c r="D1131" s="519" t="s">
        <v>491</v>
      </c>
      <c r="E1131" s="519" t="s">
        <v>591</v>
      </c>
      <c r="F1131" s="519" t="s">
        <v>576</v>
      </c>
      <c r="G1131" s="520"/>
      <c r="H1131" s="520">
        <v>200</v>
      </c>
      <c r="I1131" s="520">
        <v>200</v>
      </c>
      <c r="J1131" s="520"/>
      <c r="K1131" s="520"/>
      <c r="L1131" s="520"/>
      <c r="M1131" s="592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  <c r="AA1131" s="45"/>
    </row>
    <row r="1132" spans="1:27" ht="13">
      <c r="A1132" s="54">
        <v>2025</v>
      </c>
      <c r="B1132" s="518">
        <v>45747</v>
      </c>
      <c r="C1132" s="519" t="s">
        <v>481</v>
      </c>
      <c r="D1132" s="519" t="s">
        <v>491</v>
      </c>
      <c r="E1132" s="519" t="s">
        <v>639</v>
      </c>
      <c r="F1132" s="519" t="s">
        <v>576</v>
      </c>
      <c r="G1132" s="520"/>
      <c r="H1132" s="520">
        <v>20</v>
      </c>
      <c r="I1132" s="520">
        <v>20</v>
      </c>
      <c r="J1132" s="520"/>
      <c r="K1132" s="520"/>
      <c r="L1132" s="520"/>
      <c r="M1132" s="592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  <c r="AA1132" s="45"/>
    </row>
    <row r="1133" spans="1:27" ht="13">
      <c r="A1133" s="54">
        <v>2025</v>
      </c>
      <c r="B1133" s="518">
        <v>45747</v>
      </c>
      <c r="C1133" s="519" t="s">
        <v>481</v>
      </c>
      <c r="D1133" s="519" t="s">
        <v>491</v>
      </c>
      <c r="E1133" s="519" t="s">
        <v>592</v>
      </c>
      <c r="F1133" s="519" t="s">
        <v>576</v>
      </c>
      <c r="G1133" s="520"/>
      <c r="H1133" s="520">
        <v>48</v>
      </c>
      <c r="I1133" s="520">
        <v>48</v>
      </c>
      <c r="J1133" s="520"/>
      <c r="K1133" s="520"/>
      <c r="L1133" s="520"/>
      <c r="M1133" s="592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</row>
    <row r="1134" spans="1:27" ht="13">
      <c r="A1134" s="54">
        <v>2025</v>
      </c>
      <c r="B1134" s="518">
        <v>45747</v>
      </c>
      <c r="C1134" s="519" t="s">
        <v>481</v>
      </c>
      <c r="D1134" s="519" t="s">
        <v>491</v>
      </c>
      <c r="E1134" s="519" t="s">
        <v>633</v>
      </c>
      <c r="F1134" s="519" t="s">
        <v>576</v>
      </c>
      <c r="G1134" s="520"/>
      <c r="H1134" s="520">
        <v>43.2</v>
      </c>
      <c r="I1134" s="520">
        <v>43.2</v>
      </c>
      <c r="J1134" s="520"/>
      <c r="K1134" s="520"/>
      <c r="L1134" s="520"/>
      <c r="M1134" s="592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</row>
    <row r="1135" spans="1:27" ht="13">
      <c r="A1135" s="54">
        <v>2025</v>
      </c>
      <c r="B1135" s="518">
        <v>45747</v>
      </c>
      <c r="C1135" s="519" t="s">
        <v>481</v>
      </c>
      <c r="D1135" s="519" t="s">
        <v>491</v>
      </c>
      <c r="E1135" s="519" t="s">
        <v>69</v>
      </c>
      <c r="F1135" s="519" t="s">
        <v>576</v>
      </c>
      <c r="G1135" s="520"/>
      <c r="H1135" s="520">
        <f t="shared" ref="H1135:I1135" si="82">111.39+89.96</f>
        <v>201.35</v>
      </c>
      <c r="I1135" s="520">
        <f t="shared" si="82"/>
        <v>201.35</v>
      </c>
      <c r="J1135" s="520"/>
      <c r="K1135" s="520"/>
      <c r="L1135" s="520"/>
      <c r="M1135" s="592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  <c r="AA1135" s="45"/>
    </row>
    <row r="1136" spans="1:27" ht="13">
      <c r="A1136" s="54">
        <v>2025</v>
      </c>
      <c r="B1136" s="518">
        <v>45747</v>
      </c>
      <c r="C1136" s="519" t="s">
        <v>481</v>
      </c>
      <c r="D1136" s="519" t="s">
        <v>491</v>
      </c>
      <c r="E1136" s="519" t="s">
        <v>725</v>
      </c>
      <c r="F1136" s="519" t="s">
        <v>576</v>
      </c>
      <c r="G1136" s="520"/>
      <c r="H1136" s="520">
        <v>3.36</v>
      </c>
      <c r="I1136" s="520">
        <v>3.36</v>
      </c>
      <c r="J1136" s="520"/>
      <c r="K1136" s="520"/>
      <c r="L1136" s="520"/>
      <c r="M1136" s="592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</row>
    <row r="1137" spans="1:27" ht="13">
      <c r="A1137" s="54">
        <v>2025</v>
      </c>
      <c r="B1137" s="518">
        <v>45747</v>
      </c>
      <c r="C1137" s="519" t="s">
        <v>481</v>
      </c>
      <c r="D1137" s="519" t="s">
        <v>491</v>
      </c>
      <c r="E1137" s="519" t="s">
        <v>723</v>
      </c>
      <c r="F1137" s="519" t="s">
        <v>576</v>
      </c>
      <c r="G1137" s="520"/>
      <c r="H1137" s="520">
        <v>176.52</v>
      </c>
      <c r="I1137" s="520">
        <v>176.52</v>
      </c>
      <c r="J1137" s="520"/>
      <c r="K1137" s="520"/>
      <c r="L1137" s="520"/>
      <c r="M1137" s="592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  <c r="AA1137" s="45"/>
    </row>
    <row r="1138" spans="1:27" ht="13">
      <c r="A1138" s="54">
        <v>2025</v>
      </c>
      <c r="B1138" s="518">
        <v>45747</v>
      </c>
      <c r="C1138" s="519" t="s">
        <v>474</v>
      </c>
      <c r="D1138" s="519" t="s">
        <v>551</v>
      </c>
      <c r="E1138" s="519" t="s">
        <v>493</v>
      </c>
      <c r="F1138" s="519" t="s">
        <v>738</v>
      </c>
      <c r="G1138" s="520"/>
      <c r="H1138" s="520">
        <v>5.81</v>
      </c>
      <c r="I1138" s="520">
        <v>5.81</v>
      </c>
      <c r="J1138" s="520"/>
      <c r="K1138" s="520"/>
      <c r="L1138" s="520"/>
      <c r="M1138" s="592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  <c r="AA1138" s="45"/>
    </row>
    <row r="1139" spans="1:27" ht="13">
      <c r="A1139" s="54">
        <v>2025</v>
      </c>
      <c r="B1139" s="518">
        <v>45747</v>
      </c>
      <c r="C1139" s="519" t="s">
        <v>481</v>
      </c>
      <c r="D1139" s="519" t="s">
        <v>491</v>
      </c>
      <c r="E1139" s="519" t="s">
        <v>747</v>
      </c>
      <c r="F1139" s="519" t="s">
        <v>549</v>
      </c>
      <c r="G1139" s="520"/>
      <c r="H1139" s="520">
        <v>120</v>
      </c>
      <c r="I1139" s="520">
        <v>120</v>
      </c>
      <c r="J1139" s="520"/>
      <c r="K1139" s="520"/>
      <c r="L1139" s="520"/>
      <c r="M1139" s="592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  <c r="AA1139" s="45"/>
    </row>
    <row r="1140" spans="1:27" ht="13">
      <c r="A1140" s="54">
        <v>2025</v>
      </c>
      <c r="B1140" s="518">
        <v>45747</v>
      </c>
      <c r="C1140" s="519" t="s">
        <v>481</v>
      </c>
      <c r="D1140" s="519" t="s">
        <v>491</v>
      </c>
      <c r="E1140" s="519" t="s">
        <v>748</v>
      </c>
      <c r="F1140" s="519" t="s">
        <v>549</v>
      </c>
      <c r="G1140" s="520"/>
      <c r="H1140" s="520"/>
      <c r="I1140" s="520"/>
      <c r="J1140" s="520">
        <v>2589</v>
      </c>
      <c r="K1140" s="520">
        <v>2589</v>
      </c>
      <c r="L1140" s="520"/>
      <c r="M1140" s="592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  <c r="AA1140" s="45"/>
    </row>
    <row r="1141" spans="1:27" ht="13">
      <c r="A1141" s="54">
        <v>2025</v>
      </c>
      <c r="B1141" s="518">
        <v>45747</v>
      </c>
      <c r="C1141" s="519" t="s">
        <v>740</v>
      </c>
      <c r="D1141" s="519" t="s">
        <v>551</v>
      </c>
      <c r="E1141" s="519" t="s">
        <v>567</v>
      </c>
      <c r="F1141" s="519" t="s">
        <v>749</v>
      </c>
      <c r="G1141" s="520"/>
      <c r="H1141" s="520">
        <v>38.93</v>
      </c>
      <c r="I1141" s="520">
        <v>38.93</v>
      </c>
      <c r="J1141" s="520"/>
      <c r="K1141" s="520"/>
      <c r="L1141" s="520"/>
      <c r="M1141" s="592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</row>
    <row r="1142" spans="1:27" ht="13">
      <c r="A1142" s="54">
        <v>2025</v>
      </c>
      <c r="B1142" s="518">
        <v>45747</v>
      </c>
      <c r="C1142" s="519" t="s">
        <v>740</v>
      </c>
      <c r="D1142" s="519" t="s">
        <v>551</v>
      </c>
      <c r="E1142" s="519" t="s">
        <v>567</v>
      </c>
      <c r="F1142" s="519" t="s">
        <v>749</v>
      </c>
      <c r="G1142" s="520"/>
      <c r="H1142" s="520">
        <v>42.49</v>
      </c>
      <c r="I1142" s="520">
        <v>42.49</v>
      </c>
      <c r="J1142" s="520"/>
      <c r="K1142" s="520"/>
      <c r="L1142" s="520"/>
      <c r="M1142" s="592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  <c r="AA1142" s="45"/>
    </row>
    <row r="1143" spans="1:27" ht="13">
      <c r="A1143" s="54">
        <v>2025</v>
      </c>
      <c r="B1143" s="518">
        <v>45747</v>
      </c>
      <c r="C1143" s="519" t="s">
        <v>740</v>
      </c>
      <c r="D1143" s="519" t="s">
        <v>551</v>
      </c>
      <c r="E1143" s="519" t="s">
        <v>585</v>
      </c>
      <c r="F1143" s="519" t="s">
        <v>750</v>
      </c>
      <c r="G1143" s="520"/>
      <c r="H1143" s="520">
        <v>970.42</v>
      </c>
      <c r="I1143" s="520">
        <v>970.42</v>
      </c>
      <c r="J1143" s="520"/>
      <c r="K1143" s="520"/>
      <c r="L1143" s="520"/>
      <c r="M1143" s="592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  <c r="AA1143" s="45"/>
    </row>
    <row r="1144" spans="1:27" ht="13">
      <c r="A1144" s="54">
        <v>2025</v>
      </c>
      <c r="B1144" s="518">
        <v>45747</v>
      </c>
      <c r="C1144" s="519" t="s">
        <v>481</v>
      </c>
      <c r="D1144" s="519" t="s">
        <v>489</v>
      </c>
      <c r="E1144" s="519" t="s">
        <v>463</v>
      </c>
      <c r="F1144" s="519" t="s">
        <v>464</v>
      </c>
      <c r="G1144" s="520"/>
      <c r="H1144" s="520"/>
      <c r="I1144" s="520"/>
      <c r="J1144" s="520">
        <v>7000</v>
      </c>
      <c r="K1144" s="520">
        <v>5737.7</v>
      </c>
      <c r="L1144" s="520">
        <v>1262.3</v>
      </c>
      <c r="M1144" s="592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  <c r="AA1144" s="45"/>
    </row>
    <row r="1145" spans="1:27" ht="13">
      <c r="A1145" s="54">
        <v>2025</v>
      </c>
      <c r="B1145" s="518">
        <v>45747</v>
      </c>
      <c r="C1145" s="519" t="s">
        <v>481</v>
      </c>
      <c r="D1145" s="519" t="s">
        <v>493</v>
      </c>
      <c r="E1145" s="519" t="s">
        <v>63</v>
      </c>
      <c r="F1145" s="519" t="s">
        <v>539</v>
      </c>
      <c r="G1145" s="519"/>
      <c r="H1145" s="520"/>
      <c r="I1145" s="520"/>
      <c r="J1145" s="520">
        <v>850.2</v>
      </c>
      <c r="K1145" s="520">
        <v>850.2</v>
      </c>
      <c r="L1145" s="520"/>
      <c r="M1145" s="519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  <c r="AA1145" s="45"/>
    </row>
    <row r="1146" spans="1:27" ht="13">
      <c r="A1146" s="54">
        <v>2025</v>
      </c>
      <c r="B1146" s="593">
        <v>45749</v>
      </c>
      <c r="C1146" s="594" t="s">
        <v>740</v>
      </c>
      <c r="D1146" s="594" t="s">
        <v>489</v>
      </c>
      <c r="E1146" s="595" t="s">
        <v>744</v>
      </c>
      <c r="F1146" s="594" t="s">
        <v>464</v>
      </c>
      <c r="G1146" s="594"/>
      <c r="H1146" s="596">
        <v>2500</v>
      </c>
      <c r="I1146" s="596">
        <v>2500</v>
      </c>
      <c r="J1146" s="596"/>
      <c r="K1146" s="596"/>
      <c r="L1146" s="596"/>
      <c r="M1146" s="594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  <c r="AA1146" s="45"/>
    </row>
    <row r="1147" spans="1:27" ht="13">
      <c r="A1147" s="54">
        <v>2025</v>
      </c>
      <c r="B1147" s="597">
        <v>45749</v>
      </c>
      <c r="C1147" s="598" t="s">
        <v>740</v>
      </c>
      <c r="D1147" s="598" t="s">
        <v>478</v>
      </c>
      <c r="E1147" s="598" t="s">
        <v>479</v>
      </c>
      <c r="F1147" s="598" t="s">
        <v>480</v>
      </c>
      <c r="G1147" s="598"/>
      <c r="H1147" s="599">
        <v>40</v>
      </c>
      <c r="I1147" s="599">
        <v>40</v>
      </c>
      <c r="J1147" s="599"/>
      <c r="K1147" s="599"/>
      <c r="L1147" s="599"/>
      <c r="M1147" s="598"/>
      <c r="N1147" s="45"/>
      <c r="O1147" s="583" t="s">
        <v>457</v>
      </c>
      <c r="P1147" s="584"/>
      <c r="Q1147" s="45"/>
      <c r="R1147" s="45"/>
      <c r="S1147" s="516" t="s">
        <v>669</v>
      </c>
      <c r="T1147" s="517"/>
      <c r="U1147" s="45"/>
      <c r="V1147" s="45"/>
      <c r="W1147" s="45"/>
      <c r="X1147" s="45"/>
      <c r="Y1147" s="45"/>
      <c r="Z1147" s="45"/>
      <c r="AA1147" s="45"/>
    </row>
    <row r="1148" spans="1:27" ht="13">
      <c r="A1148" s="54">
        <v>2025</v>
      </c>
      <c r="B1148" s="593">
        <v>45756</v>
      </c>
      <c r="C1148" s="594" t="s">
        <v>481</v>
      </c>
      <c r="D1148" s="594" t="s">
        <v>484</v>
      </c>
      <c r="E1148" s="594" t="s">
        <v>644</v>
      </c>
      <c r="F1148" s="594" t="s">
        <v>751</v>
      </c>
      <c r="G1148" s="594"/>
      <c r="H1148" s="596"/>
      <c r="I1148" s="596"/>
      <c r="J1148" s="596">
        <v>369179</v>
      </c>
      <c r="K1148" s="596">
        <v>369179</v>
      </c>
      <c r="L1148" s="596"/>
      <c r="M1148" s="594"/>
      <c r="N1148" s="45"/>
      <c r="O1148" s="566">
        <f>SUM(Facturacion!I157:I161)</f>
        <v>117099.32740000001</v>
      </c>
      <c r="P1148" s="515"/>
      <c r="Q1148" s="45"/>
      <c r="R1148" s="45"/>
      <c r="S1148" s="491" t="s">
        <v>411</v>
      </c>
      <c r="T1148" s="552">
        <f>SUM(K1146:K1180)</f>
        <v>787060.39</v>
      </c>
      <c r="U1148" s="45"/>
      <c r="V1148" s="45"/>
      <c r="W1148" s="45"/>
      <c r="X1148" s="45"/>
      <c r="Y1148" s="45"/>
      <c r="Z1148" s="45"/>
      <c r="AA1148" s="45"/>
    </row>
    <row r="1149" spans="1:27" ht="13">
      <c r="A1149" s="54">
        <v>2025</v>
      </c>
      <c r="B1149" s="593">
        <v>45756</v>
      </c>
      <c r="C1149" s="598" t="s">
        <v>474</v>
      </c>
      <c r="D1149" s="598" t="s">
        <v>482</v>
      </c>
      <c r="E1149" s="598" t="s">
        <v>537</v>
      </c>
      <c r="F1149" s="598" t="s">
        <v>459</v>
      </c>
      <c r="G1149" s="598"/>
      <c r="H1149" s="599">
        <v>1860</v>
      </c>
      <c r="I1149" s="599">
        <v>1860</v>
      </c>
      <c r="J1149" s="599"/>
      <c r="K1149" s="599"/>
      <c r="L1149" s="599"/>
      <c r="M1149" s="598"/>
      <c r="N1149" s="45"/>
      <c r="O1149" s="514" t="s">
        <v>461</v>
      </c>
      <c r="P1149" s="514" t="s">
        <v>462</v>
      </c>
      <c r="Q1149" s="45"/>
      <c r="R1149" s="45"/>
      <c r="S1149" s="469" t="s">
        <v>584</v>
      </c>
      <c r="T1149" s="552">
        <f>SUM(I1146:I1180)</f>
        <v>11211.979999999998</v>
      </c>
      <c r="U1149" s="45"/>
      <c r="V1149" s="45"/>
      <c r="W1149" s="45"/>
      <c r="X1149" s="45"/>
      <c r="Y1149" s="45"/>
      <c r="Z1149" s="45"/>
      <c r="AA1149" s="45"/>
    </row>
    <row r="1150" spans="1:27" ht="13">
      <c r="A1150" s="54">
        <v>2025</v>
      </c>
      <c r="B1150" s="593">
        <v>45756</v>
      </c>
      <c r="C1150" s="598" t="s">
        <v>474</v>
      </c>
      <c r="D1150" s="594" t="s">
        <v>478</v>
      </c>
      <c r="E1150" s="594" t="s">
        <v>479</v>
      </c>
      <c r="F1150" s="594" t="s">
        <v>480</v>
      </c>
      <c r="G1150" s="594"/>
      <c r="H1150" s="596">
        <v>40</v>
      </c>
      <c r="I1150" s="596">
        <v>40</v>
      </c>
      <c r="J1150" s="596"/>
      <c r="K1150" s="596"/>
      <c r="L1150" s="596"/>
      <c r="M1150" s="594"/>
      <c r="N1150" s="45"/>
      <c r="O1150" s="566">
        <f>SUM(L1146:L1180)</f>
        <v>1632.1724999999999</v>
      </c>
      <c r="P1150" s="566">
        <f>(O1148-O1150)</f>
        <v>115467.15490000001</v>
      </c>
      <c r="Q1150" s="45"/>
      <c r="R1150" s="45"/>
      <c r="S1150" s="492"/>
      <c r="T1150" s="492"/>
      <c r="U1150" s="45"/>
      <c r="V1150" s="45"/>
      <c r="W1150" s="45"/>
      <c r="X1150" s="45"/>
      <c r="Y1150" s="45"/>
      <c r="Z1150" s="45"/>
      <c r="AA1150" s="45"/>
    </row>
    <row r="1151" spans="1:27" ht="13">
      <c r="A1151" s="54">
        <v>2025</v>
      </c>
      <c r="B1151" s="597">
        <v>45763</v>
      </c>
      <c r="C1151" s="598" t="s">
        <v>481</v>
      </c>
      <c r="D1151" s="594" t="s">
        <v>493</v>
      </c>
      <c r="E1151" s="594" t="s">
        <v>479</v>
      </c>
      <c r="F1151" s="594" t="s">
        <v>539</v>
      </c>
      <c r="G1151" s="594"/>
      <c r="H1151" s="596"/>
      <c r="I1151" s="596"/>
      <c r="J1151" s="596">
        <v>1320</v>
      </c>
      <c r="K1151" s="596">
        <v>1320</v>
      </c>
      <c r="L1151" s="596"/>
      <c r="M1151" s="594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  <c r="AA1151" s="45"/>
    </row>
    <row r="1152" spans="1:27" ht="13">
      <c r="A1152" s="54">
        <v>2025</v>
      </c>
      <c r="B1152" s="597">
        <v>45763</v>
      </c>
      <c r="C1152" s="594" t="s">
        <v>481</v>
      </c>
      <c r="D1152" s="594" t="s">
        <v>494</v>
      </c>
      <c r="E1152" s="594" t="s">
        <v>502</v>
      </c>
      <c r="F1152" s="594" t="s">
        <v>522</v>
      </c>
      <c r="G1152" s="594"/>
      <c r="H1152" s="596"/>
      <c r="I1152" s="596"/>
      <c r="J1152" s="596">
        <v>36664</v>
      </c>
      <c r="K1152" s="596">
        <v>36664</v>
      </c>
      <c r="L1152" s="596"/>
      <c r="M1152" s="594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  <c r="AA1152" s="45"/>
    </row>
    <row r="1153" spans="1:27" ht="13">
      <c r="A1153" s="54">
        <v>2025</v>
      </c>
      <c r="B1153" s="597">
        <v>45763</v>
      </c>
      <c r="C1153" s="594" t="s">
        <v>481</v>
      </c>
      <c r="D1153" s="594" t="s">
        <v>494</v>
      </c>
      <c r="E1153" s="594" t="s">
        <v>502</v>
      </c>
      <c r="F1153" s="594" t="s">
        <v>543</v>
      </c>
      <c r="G1153" s="594"/>
      <c r="H1153" s="596"/>
      <c r="I1153" s="596"/>
      <c r="J1153" s="596">
        <v>18617</v>
      </c>
      <c r="K1153" s="596">
        <v>18617</v>
      </c>
      <c r="L1153" s="596"/>
      <c r="M1153" s="594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  <c r="AA1153" s="45"/>
    </row>
    <row r="1154" spans="1:27" ht="13">
      <c r="A1154" s="54">
        <v>2025</v>
      </c>
      <c r="B1154" s="597">
        <v>45763</v>
      </c>
      <c r="C1154" s="594" t="s">
        <v>481</v>
      </c>
      <c r="D1154" s="594" t="s">
        <v>494</v>
      </c>
      <c r="E1154" s="594" t="s">
        <v>512</v>
      </c>
      <c r="F1154" s="594" t="s">
        <v>528</v>
      </c>
      <c r="G1154" s="594"/>
      <c r="H1154" s="596"/>
      <c r="I1154" s="596"/>
      <c r="J1154" s="596">
        <v>115467</v>
      </c>
      <c r="K1154" s="596">
        <v>115467</v>
      </c>
      <c r="L1154" s="596"/>
      <c r="M1154" s="594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  <c r="AA1154" s="45"/>
    </row>
    <row r="1155" spans="1:27" ht="13">
      <c r="A1155" s="54">
        <v>2025</v>
      </c>
      <c r="B1155" s="597">
        <v>45763</v>
      </c>
      <c r="C1155" s="594" t="s">
        <v>481</v>
      </c>
      <c r="D1155" s="594" t="s">
        <v>494</v>
      </c>
      <c r="E1155" s="594" t="s">
        <v>512</v>
      </c>
      <c r="F1155" s="594" t="s">
        <v>574</v>
      </c>
      <c r="G1155" s="594"/>
      <c r="H1155" s="596"/>
      <c r="I1155" s="596"/>
      <c r="J1155" s="596">
        <v>3197</v>
      </c>
      <c r="K1155" s="596">
        <v>3197</v>
      </c>
      <c r="L1155" s="596"/>
      <c r="M1155" s="594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  <c r="AA1155" s="45"/>
    </row>
    <row r="1156" spans="1:27" ht="13">
      <c r="A1156" s="54">
        <v>2025</v>
      </c>
      <c r="B1156" s="597">
        <v>45771</v>
      </c>
      <c r="C1156" s="598" t="s">
        <v>481</v>
      </c>
      <c r="D1156" s="594" t="s">
        <v>494</v>
      </c>
      <c r="E1156" s="594" t="s">
        <v>521</v>
      </c>
      <c r="F1156" s="594" t="s">
        <v>544</v>
      </c>
      <c r="G1156" s="596"/>
      <c r="H1156" s="600"/>
      <c r="I1156" s="600"/>
      <c r="J1156" s="596">
        <v>1001</v>
      </c>
      <c r="K1156" s="596">
        <f>J1156-L1156</f>
        <v>820.51</v>
      </c>
      <c r="L1156" s="596">
        <v>180.49</v>
      </c>
      <c r="M1156" s="594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  <c r="AA1156" s="45"/>
    </row>
    <row r="1157" spans="1:27" ht="13">
      <c r="A1157" s="54">
        <v>2025</v>
      </c>
      <c r="B1157" s="597">
        <v>45775</v>
      </c>
      <c r="C1157" s="598" t="s">
        <v>481</v>
      </c>
      <c r="D1157" s="594" t="s">
        <v>493</v>
      </c>
      <c r="E1157" s="594" t="s">
        <v>479</v>
      </c>
      <c r="F1157" s="594" t="s">
        <v>643</v>
      </c>
      <c r="G1157" s="596"/>
      <c r="H1157" s="600">
        <v>24.95</v>
      </c>
      <c r="I1157" s="600">
        <v>20.45</v>
      </c>
      <c r="J1157" s="596"/>
      <c r="K1157" s="596"/>
      <c r="L1157" s="596">
        <f>4.5*M1157</f>
        <v>189.38249999999999</v>
      </c>
      <c r="M1157" s="594">
        <v>42.085000000000001</v>
      </c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  <c r="AA1157" s="45"/>
    </row>
    <row r="1158" spans="1:27" ht="13">
      <c r="A1158" s="54">
        <v>2025</v>
      </c>
      <c r="B1158" s="597">
        <v>45777</v>
      </c>
      <c r="C1158" s="594" t="s">
        <v>481</v>
      </c>
      <c r="D1158" s="594" t="s">
        <v>482</v>
      </c>
      <c r="E1158" s="594" t="s">
        <v>495</v>
      </c>
      <c r="F1158" s="594" t="s">
        <v>496</v>
      </c>
      <c r="G1158" s="596"/>
      <c r="H1158" s="600"/>
      <c r="I1158" s="600"/>
      <c r="J1158" s="596">
        <v>232093</v>
      </c>
      <c r="K1158" s="596">
        <v>232093</v>
      </c>
      <c r="L1158" s="596"/>
      <c r="M1158" s="594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  <c r="AA1158" s="45"/>
    </row>
    <row r="1159" spans="1:27" ht="13">
      <c r="A1159" s="54">
        <v>2025</v>
      </c>
      <c r="B1159" s="597">
        <v>45777</v>
      </c>
      <c r="C1159" s="594" t="s">
        <v>679</v>
      </c>
      <c r="D1159" s="594" t="s">
        <v>482</v>
      </c>
      <c r="E1159" s="594" t="s">
        <v>680</v>
      </c>
      <c r="F1159" s="594" t="s">
        <v>459</v>
      </c>
      <c r="G1159" s="596"/>
      <c r="H1159" s="596">
        <v>1300</v>
      </c>
      <c r="I1159" s="596">
        <v>1300</v>
      </c>
      <c r="J1159" s="596"/>
      <c r="K1159" s="596"/>
      <c r="L1159" s="596"/>
      <c r="M1159" s="594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  <c r="AA1159" s="45"/>
    </row>
    <row r="1160" spans="1:27" ht="13">
      <c r="A1160" s="54">
        <v>2025</v>
      </c>
      <c r="B1160" s="597">
        <v>45777</v>
      </c>
      <c r="C1160" s="594" t="s">
        <v>679</v>
      </c>
      <c r="D1160" s="594" t="s">
        <v>478</v>
      </c>
      <c r="E1160" s="594" t="s">
        <v>701</v>
      </c>
      <c r="F1160" s="594" t="s">
        <v>539</v>
      </c>
      <c r="G1160" s="596"/>
      <c r="H1160" s="596">
        <v>13.13</v>
      </c>
      <c r="I1160" s="596">
        <v>13.13</v>
      </c>
      <c r="J1160" s="596"/>
      <c r="K1160" s="596"/>
      <c r="L1160" s="596"/>
      <c r="M1160" s="594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  <c r="AA1160" s="45"/>
    </row>
    <row r="1161" spans="1:27" ht="13">
      <c r="A1161" s="54">
        <v>2025</v>
      </c>
      <c r="B1161" s="597">
        <v>45777</v>
      </c>
      <c r="C1161" s="594" t="s">
        <v>474</v>
      </c>
      <c r="D1161" s="594" t="s">
        <v>482</v>
      </c>
      <c r="E1161" s="594" t="s">
        <v>483</v>
      </c>
      <c r="F1161" s="594" t="s">
        <v>459</v>
      </c>
      <c r="G1161" s="596"/>
      <c r="H1161" s="596">
        <v>1300</v>
      </c>
      <c r="I1161" s="596">
        <v>1300</v>
      </c>
      <c r="J1161" s="596"/>
      <c r="K1161" s="596"/>
      <c r="L1161" s="596"/>
      <c r="M1161" s="594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  <c r="AA1161" s="45"/>
    </row>
    <row r="1162" spans="1:27" ht="13">
      <c r="A1162" s="54">
        <v>2025</v>
      </c>
      <c r="B1162" s="597">
        <v>45777</v>
      </c>
      <c r="C1162" s="594" t="s">
        <v>474</v>
      </c>
      <c r="D1162" s="594" t="s">
        <v>482</v>
      </c>
      <c r="E1162" s="594" t="s">
        <v>535</v>
      </c>
      <c r="F1162" s="594" t="s">
        <v>459</v>
      </c>
      <c r="G1162" s="596"/>
      <c r="H1162" s="596">
        <v>1300</v>
      </c>
      <c r="I1162" s="596">
        <v>1300</v>
      </c>
      <c r="J1162" s="596"/>
      <c r="K1162" s="596"/>
      <c r="L1162" s="596"/>
      <c r="M1162" s="594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  <c r="AA1162" s="45"/>
    </row>
    <row r="1163" spans="1:27" ht="13">
      <c r="A1163" s="54">
        <v>2025</v>
      </c>
      <c r="B1163" s="597">
        <v>45777</v>
      </c>
      <c r="C1163" s="594" t="s">
        <v>474</v>
      </c>
      <c r="D1163" s="594" t="s">
        <v>478</v>
      </c>
      <c r="E1163" s="594" t="s">
        <v>701</v>
      </c>
      <c r="F1163" s="594" t="s">
        <v>539</v>
      </c>
      <c r="G1163" s="596"/>
      <c r="H1163" s="596">
        <v>13.13</v>
      </c>
      <c r="I1163" s="596">
        <v>13.13</v>
      </c>
      <c r="J1163" s="596"/>
      <c r="K1163" s="596"/>
      <c r="L1163" s="596"/>
      <c r="M1163" s="594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5"/>
    </row>
    <row r="1164" spans="1:27" ht="13">
      <c r="A1164" s="54">
        <v>2025</v>
      </c>
      <c r="B1164" s="597">
        <v>45777</v>
      </c>
      <c r="C1164" s="594" t="s">
        <v>474</v>
      </c>
      <c r="D1164" s="594" t="s">
        <v>482</v>
      </c>
      <c r="E1164" s="594" t="s">
        <v>541</v>
      </c>
      <c r="F1164" s="594" t="s">
        <v>459</v>
      </c>
      <c r="G1164" s="596"/>
      <c r="H1164" s="596">
        <v>1300</v>
      </c>
      <c r="I1164" s="596">
        <v>1300</v>
      </c>
      <c r="J1164" s="596"/>
      <c r="K1164" s="596"/>
      <c r="L1164" s="596"/>
      <c r="M1164" s="594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  <c r="AA1164" s="45"/>
    </row>
    <row r="1165" spans="1:27" ht="13">
      <c r="A1165" s="54">
        <v>2025</v>
      </c>
      <c r="B1165" s="597">
        <v>45777</v>
      </c>
      <c r="C1165" s="598" t="s">
        <v>474</v>
      </c>
      <c r="D1165" s="594" t="s">
        <v>478</v>
      </c>
      <c r="E1165" s="594" t="s">
        <v>701</v>
      </c>
      <c r="F1165" s="594" t="s">
        <v>539</v>
      </c>
      <c r="G1165" s="594"/>
      <c r="H1165" s="596">
        <v>13.13</v>
      </c>
      <c r="I1165" s="596">
        <v>13.13</v>
      </c>
      <c r="J1165" s="596"/>
      <c r="K1165" s="596"/>
      <c r="L1165" s="596"/>
      <c r="M1165" s="594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</row>
    <row r="1166" spans="1:27" ht="13">
      <c r="A1166" s="54">
        <v>2025</v>
      </c>
      <c r="B1166" s="597">
        <v>45777</v>
      </c>
      <c r="C1166" s="598" t="s">
        <v>679</v>
      </c>
      <c r="D1166" s="594" t="s">
        <v>482</v>
      </c>
      <c r="E1166" s="594" t="s">
        <v>752</v>
      </c>
      <c r="F1166" s="594" t="s">
        <v>459</v>
      </c>
      <c r="G1166" s="594"/>
      <c r="H1166" s="596">
        <v>834</v>
      </c>
      <c r="I1166" s="596">
        <v>834</v>
      </c>
      <c r="J1166" s="596"/>
      <c r="K1166" s="596"/>
      <c r="L1166" s="596"/>
      <c r="M1166" s="594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  <c r="AA1166" s="45"/>
    </row>
    <row r="1167" spans="1:27" ht="13">
      <c r="A1167" s="54">
        <v>2025</v>
      </c>
      <c r="B1167" s="597">
        <v>45777</v>
      </c>
      <c r="C1167" s="598" t="s">
        <v>481</v>
      </c>
      <c r="D1167" s="594" t="s">
        <v>491</v>
      </c>
      <c r="E1167" s="601" t="s">
        <v>654</v>
      </c>
      <c r="F1167" s="594" t="s">
        <v>576</v>
      </c>
      <c r="G1167" s="596"/>
      <c r="H1167" s="596"/>
      <c r="I1167" s="596"/>
      <c r="J1167" s="596">
        <f t="shared" ref="J1167:K1167" si="83">1555+1555</f>
        <v>3110</v>
      </c>
      <c r="K1167" s="596">
        <f t="shared" si="83"/>
        <v>3110</v>
      </c>
      <c r="L1167" s="596"/>
      <c r="M1167" s="594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  <c r="AA1167" s="45"/>
    </row>
    <row r="1168" spans="1:27" ht="13">
      <c r="A1168" s="54">
        <v>2025</v>
      </c>
      <c r="B1168" s="597">
        <v>45777</v>
      </c>
      <c r="C1168" s="598" t="s">
        <v>481</v>
      </c>
      <c r="D1168" s="594" t="s">
        <v>491</v>
      </c>
      <c r="E1168" s="594" t="s">
        <v>534</v>
      </c>
      <c r="F1168" s="594" t="s">
        <v>576</v>
      </c>
      <c r="G1168" s="596"/>
      <c r="H1168" s="596">
        <v>15.99</v>
      </c>
      <c r="I1168" s="596">
        <v>15.99</v>
      </c>
      <c r="J1168" s="596"/>
      <c r="K1168" s="596"/>
      <c r="L1168" s="596"/>
      <c r="M1168" s="594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</row>
    <row r="1169" spans="1:27" ht="13">
      <c r="A1169" s="54">
        <v>2025</v>
      </c>
      <c r="B1169" s="597">
        <v>45777</v>
      </c>
      <c r="C1169" s="598" t="s">
        <v>481</v>
      </c>
      <c r="D1169" s="594" t="s">
        <v>491</v>
      </c>
      <c r="E1169" s="594" t="s">
        <v>602</v>
      </c>
      <c r="F1169" s="594" t="s">
        <v>576</v>
      </c>
      <c r="G1169" s="596"/>
      <c r="H1169" s="596">
        <v>80.099999999999994</v>
      </c>
      <c r="I1169" s="596">
        <v>80.099999999999994</v>
      </c>
      <c r="J1169" s="596"/>
      <c r="K1169" s="596"/>
      <c r="L1169" s="596"/>
      <c r="M1169" s="594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  <c r="AA1169" s="45"/>
    </row>
    <row r="1170" spans="1:27" ht="13">
      <c r="A1170" s="54">
        <v>2025</v>
      </c>
      <c r="B1170" s="597">
        <v>45777</v>
      </c>
      <c r="C1170" s="598" t="s">
        <v>481</v>
      </c>
      <c r="D1170" s="594" t="s">
        <v>491</v>
      </c>
      <c r="E1170" s="594" t="s">
        <v>591</v>
      </c>
      <c r="F1170" s="594" t="s">
        <v>576</v>
      </c>
      <c r="G1170" s="596"/>
      <c r="H1170" s="596">
        <v>20</v>
      </c>
      <c r="I1170" s="596">
        <v>20</v>
      </c>
      <c r="J1170" s="596"/>
      <c r="K1170" s="596"/>
      <c r="L1170" s="596"/>
      <c r="M1170" s="594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  <c r="AA1170" s="45"/>
    </row>
    <row r="1171" spans="1:27" ht="13">
      <c r="A1171" s="54">
        <v>2025</v>
      </c>
      <c r="B1171" s="597">
        <v>45777</v>
      </c>
      <c r="C1171" s="598" t="s">
        <v>481</v>
      </c>
      <c r="D1171" s="594" t="s">
        <v>491</v>
      </c>
      <c r="E1171" s="594" t="s">
        <v>639</v>
      </c>
      <c r="F1171" s="594" t="s">
        <v>576</v>
      </c>
      <c r="G1171" s="596"/>
      <c r="H1171" s="596">
        <v>20</v>
      </c>
      <c r="I1171" s="596">
        <v>20</v>
      </c>
      <c r="J1171" s="596"/>
      <c r="K1171" s="596"/>
      <c r="L1171" s="596"/>
      <c r="M1171" s="594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  <c r="AA1171" s="45"/>
    </row>
    <row r="1172" spans="1:27" ht="13">
      <c r="A1172" s="54">
        <v>2025</v>
      </c>
      <c r="B1172" s="597">
        <v>45777</v>
      </c>
      <c r="C1172" s="598" t="s">
        <v>481</v>
      </c>
      <c r="D1172" s="594" t="s">
        <v>491</v>
      </c>
      <c r="E1172" s="594" t="s">
        <v>592</v>
      </c>
      <c r="F1172" s="594" t="s">
        <v>576</v>
      </c>
      <c r="G1172" s="596"/>
      <c r="H1172" s="596">
        <v>40</v>
      </c>
      <c r="I1172" s="596">
        <v>40</v>
      </c>
      <c r="J1172" s="596"/>
      <c r="K1172" s="596"/>
      <c r="L1172" s="596"/>
      <c r="M1172" s="594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  <c r="AA1172" s="45"/>
    </row>
    <row r="1173" spans="1:27" ht="13">
      <c r="A1173" s="54">
        <v>2025</v>
      </c>
      <c r="B1173" s="597">
        <v>45777</v>
      </c>
      <c r="C1173" s="598" t="s">
        <v>481</v>
      </c>
      <c r="D1173" s="594" t="s">
        <v>491</v>
      </c>
      <c r="E1173" s="594" t="s">
        <v>633</v>
      </c>
      <c r="F1173" s="594" t="s">
        <v>576</v>
      </c>
      <c r="G1173" s="596"/>
      <c r="H1173" s="596">
        <v>43.2</v>
      </c>
      <c r="I1173" s="596">
        <v>43.2</v>
      </c>
      <c r="J1173" s="596"/>
      <c r="K1173" s="596"/>
      <c r="L1173" s="596"/>
      <c r="M1173" s="594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  <c r="AA1173" s="45"/>
    </row>
    <row r="1174" spans="1:27" ht="13">
      <c r="A1174" s="54">
        <v>2025</v>
      </c>
      <c r="B1174" s="597">
        <v>45777</v>
      </c>
      <c r="C1174" s="598" t="s">
        <v>481</v>
      </c>
      <c r="D1174" s="594" t="s">
        <v>491</v>
      </c>
      <c r="E1174" s="594" t="s">
        <v>69</v>
      </c>
      <c r="F1174" s="594" t="s">
        <v>576</v>
      </c>
      <c r="G1174" s="596"/>
      <c r="H1174" s="596">
        <f t="shared" ref="H1174:I1174" si="84">55.92+181.92</f>
        <v>237.83999999999997</v>
      </c>
      <c r="I1174" s="596">
        <f t="shared" si="84"/>
        <v>237.83999999999997</v>
      </c>
      <c r="J1174" s="596"/>
      <c r="K1174" s="596"/>
      <c r="L1174" s="596"/>
      <c r="M1174" s="594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  <c r="AA1174" s="45"/>
    </row>
    <row r="1175" spans="1:27" ht="13">
      <c r="A1175" s="54">
        <v>2025</v>
      </c>
      <c r="B1175" s="597">
        <v>45777</v>
      </c>
      <c r="C1175" s="598" t="s">
        <v>481</v>
      </c>
      <c r="D1175" s="594" t="s">
        <v>491</v>
      </c>
      <c r="E1175" s="594" t="s">
        <v>725</v>
      </c>
      <c r="F1175" s="594" t="s">
        <v>576</v>
      </c>
      <c r="G1175" s="596"/>
      <c r="H1175" s="596">
        <v>3.39</v>
      </c>
      <c r="I1175" s="596">
        <v>3.39</v>
      </c>
      <c r="J1175" s="596"/>
      <c r="K1175" s="596"/>
      <c r="L1175" s="596"/>
      <c r="M1175" s="594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  <c r="AA1175" s="45"/>
    </row>
    <row r="1176" spans="1:27" ht="13">
      <c r="A1176" s="54">
        <v>2025</v>
      </c>
      <c r="B1176" s="597">
        <v>45777</v>
      </c>
      <c r="C1176" s="598" t="s">
        <v>481</v>
      </c>
      <c r="D1176" s="594" t="s">
        <v>491</v>
      </c>
      <c r="E1176" s="594" t="s">
        <v>723</v>
      </c>
      <c r="F1176" s="594" t="s">
        <v>576</v>
      </c>
      <c r="G1176" s="596"/>
      <c r="H1176" s="596">
        <v>195.72</v>
      </c>
      <c r="I1176" s="596">
        <v>195.72</v>
      </c>
      <c r="J1176" s="596"/>
      <c r="K1176" s="596"/>
      <c r="L1176" s="596"/>
      <c r="M1176" s="594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  <c r="AA1176" s="45"/>
    </row>
    <row r="1177" spans="1:27" ht="13">
      <c r="A1177" s="54">
        <v>2025</v>
      </c>
      <c r="B1177" s="597">
        <v>45777</v>
      </c>
      <c r="C1177" s="598" t="s">
        <v>481</v>
      </c>
      <c r="D1177" s="594" t="s">
        <v>491</v>
      </c>
      <c r="E1177" s="594" t="s">
        <v>753</v>
      </c>
      <c r="F1177" s="594" t="s">
        <v>576</v>
      </c>
      <c r="G1177" s="596"/>
      <c r="H1177" s="596">
        <v>20</v>
      </c>
      <c r="I1177" s="596">
        <v>20</v>
      </c>
      <c r="J1177" s="596"/>
      <c r="K1177" s="596"/>
      <c r="L1177" s="596"/>
      <c r="M1177" s="594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  <c r="AA1177" s="45"/>
    </row>
    <row r="1178" spans="1:27" ht="13">
      <c r="A1178" s="54">
        <v>2025</v>
      </c>
      <c r="B1178" s="597">
        <v>45777</v>
      </c>
      <c r="C1178" s="594" t="s">
        <v>481</v>
      </c>
      <c r="D1178" s="594" t="s">
        <v>489</v>
      </c>
      <c r="E1178" s="594" t="s">
        <v>463</v>
      </c>
      <c r="F1178" s="594" t="s">
        <v>464</v>
      </c>
      <c r="G1178" s="596"/>
      <c r="H1178" s="596"/>
      <c r="I1178" s="596"/>
      <c r="J1178" s="596">
        <v>7000</v>
      </c>
      <c r="K1178" s="596">
        <v>5737.7</v>
      </c>
      <c r="L1178" s="596">
        <v>1262.3</v>
      </c>
      <c r="M1178" s="594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  <c r="AA1178" s="45"/>
    </row>
    <row r="1179" spans="1:27" ht="13">
      <c r="A1179" s="54">
        <v>2025</v>
      </c>
      <c r="B1179" s="593">
        <v>45777</v>
      </c>
      <c r="C1179" s="594" t="s">
        <v>481</v>
      </c>
      <c r="D1179" s="594" t="s">
        <v>493</v>
      </c>
      <c r="E1179" s="594" t="s">
        <v>63</v>
      </c>
      <c r="F1179" s="594" t="s">
        <v>539</v>
      </c>
      <c r="G1179" s="594"/>
      <c r="H1179" s="596"/>
      <c r="I1179" s="596"/>
      <c r="J1179" s="596">
        <v>855.18</v>
      </c>
      <c r="K1179" s="596">
        <v>855.18</v>
      </c>
      <c r="L1179" s="602"/>
      <c r="M1179" s="603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  <c r="AA1179" s="45"/>
    </row>
    <row r="1180" spans="1:27" ht="13">
      <c r="A1180" s="54">
        <v>2025</v>
      </c>
      <c r="B1180" s="593">
        <v>45782</v>
      </c>
      <c r="C1180" s="594" t="s">
        <v>481</v>
      </c>
      <c r="D1180" s="594" t="s">
        <v>478</v>
      </c>
      <c r="E1180" s="594" t="s">
        <v>479</v>
      </c>
      <c r="F1180" s="594" t="s">
        <v>480</v>
      </c>
      <c r="G1180" s="594"/>
      <c r="H1180" s="596">
        <v>1.9</v>
      </c>
      <c r="I1180" s="596">
        <v>1.9</v>
      </c>
      <c r="J1180" s="596"/>
      <c r="K1180" s="596"/>
      <c r="L1180" s="596"/>
      <c r="M1180" s="594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  <c r="AA1180" s="45"/>
    </row>
    <row r="1181" spans="1:27" ht="13">
      <c r="A1181" s="54">
        <v>2025</v>
      </c>
      <c r="B1181" s="353">
        <v>45783</v>
      </c>
      <c r="C1181" s="354" t="s">
        <v>481</v>
      </c>
      <c r="D1181" s="354" t="s">
        <v>491</v>
      </c>
      <c r="E1181" s="354" t="s">
        <v>754</v>
      </c>
      <c r="F1181" s="354" t="s">
        <v>576</v>
      </c>
      <c r="G1181" s="354"/>
      <c r="H1181" s="355">
        <v>40</v>
      </c>
      <c r="I1181" s="355">
        <v>40</v>
      </c>
      <c r="J1181" s="355"/>
      <c r="K1181" s="355"/>
      <c r="L1181" s="355"/>
      <c r="M1181" s="354"/>
      <c r="N1181" s="45"/>
      <c r="O1181" s="469" t="s">
        <v>457</v>
      </c>
      <c r="P1181" s="470"/>
      <c r="Q1181" s="45"/>
      <c r="R1181" s="45"/>
      <c r="S1181" s="491" t="s">
        <v>669</v>
      </c>
      <c r="T1181" s="492"/>
      <c r="U1181" s="45"/>
      <c r="V1181" s="45"/>
      <c r="W1181" s="45"/>
      <c r="X1181" s="45"/>
      <c r="Y1181" s="45"/>
      <c r="Z1181" s="45"/>
      <c r="AA1181" s="45"/>
    </row>
    <row r="1182" spans="1:27" ht="13">
      <c r="A1182" s="54">
        <v>2025</v>
      </c>
      <c r="B1182" s="353">
        <v>45783</v>
      </c>
      <c r="C1182" s="354" t="s">
        <v>481</v>
      </c>
      <c r="D1182" s="354" t="s">
        <v>491</v>
      </c>
      <c r="E1182" s="354" t="s">
        <v>754</v>
      </c>
      <c r="F1182" s="354" t="s">
        <v>576</v>
      </c>
      <c r="G1182" s="354"/>
      <c r="H1182" s="355">
        <v>40</v>
      </c>
      <c r="I1182" s="355">
        <v>40</v>
      </c>
      <c r="J1182" s="355"/>
      <c r="K1182" s="355"/>
      <c r="L1182" s="355"/>
      <c r="M1182" s="354"/>
      <c r="N1182" s="45"/>
      <c r="O1182" s="552">
        <f>SUM(Facturacion!I162:I168)</f>
        <v>252104.87719999999</v>
      </c>
      <c r="P1182" s="470"/>
      <c r="Q1182" s="45"/>
      <c r="R1182" s="45"/>
      <c r="S1182" s="491" t="s">
        <v>411</v>
      </c>
      <c r="T1182" s="552">
        <f>SUM(K1181:K1217)</f>
        <v>738334.29</v>
      </c>
      <c r="U1182" s="45"/>
      <c r="V1182" s="45"/>
      <c r="W1182" s="45"/>
      <c r="X1182" s="45"/>
      <c r="Y1182" s="45"/>
      <c r="Z1182" s="45"/>
      <c r="AA1182" s="45"/>
    </row>
    <row r="1183" spans="1:27" ht="13">
      <c r="A1183" s="54">
        <v>2025</v>
      </c>
      <c r="B1183" s="353">
        <v>45783</v>
      </c>
      <c r="C1183" s="354" t="s">
        <v>679</v>
      </c>
      <c r="D1183" s="481" t="s">
        <v>489</v>
      </c>
      <c r="E1183" s="604" t="s">
        <v>755</v>
      </c>
      <c r="F1183" s="354" t="s">
        <v>756</v>
      </c>
      <c r="G1183" s="354"/>
      <c r="H1183" s="355">
        <v>2500</v>
      </c>
      <c r="I1183" s="355">
        <v>2500</v>
      </c>
      <c r="J1183" s="355"/>
      <c r="K1183" s="355"/>
      <c r="L1183" s="355"/>
      <c r="M1183" s="354"/>
      <c r="N1183" s="45"/>
      <c r="O1183" s="469" t="s">
        <v>461</v>
      </c>
      <c r="P1183" s="469" t="s">
        <v>462</v>
      </c>
      <c r="Q1183" s="45"/>
      <c r="R1183" s="45"/>
      <c r="S1183" s="469" t="s">
        <v>584</v>
      </c>
      <c r="T1183" s="552">
        <f>SUM(I1181:I1217)</f>
        <v>13509.98</v>
      </c>
      <c r="U1183" s="45"/>
      <c r="V1183" s="45"/>
      <c r="W1183" s="45"/>
      <c r="X1183" s="45"/>
      <c r="Y1183" s="45"/>
      <c r="Z1183" s="45"/>
      <c r="AA1183" s="45"/>
    </row>
    <row r="1184" spans="1:27" ht="13">
      <c r="A1184" s="54">
        <v>2025</v>
      </c>
      <c r="B1184" s="353">
        <v>45784</v>
      </c>
      <c r="C1184" s="354" t="s">
        <v>740</v>
      </c>
      <c r="D1184" s="354" t="s">
        <v>489</v>
      </c>
      <c r="E1184" s="354" t="s">
        <v>757</v>
      </c>
      <c r="F1184" s="354" t="s">
        <v>576</v>
      </c>
      <c r="G1184" s="354"/>
      <c r="H1184" s="355">
        <v>110</v>
      </c>
      <c r="I1184" s="355">
        <v>110</v>
      </c>
      <c r="J1184" s="355"/>
      <c r="K1184" s="355"/>
      <c r="L1184" s="355"/>
      <c r="M1184" s="354"/>
      <c r="N1184" s="45"/>
      <c r="O1184" s="552">
        <f>SUM(L1181:L1217)</f>
        <v>1523.6608000000001</v>
      </c>
      <c r="P1184" s="552">
        <f>(O1182-O1184)</f>
        <v>250581.21639999998</v>
      </c>
      <c r="Q1184" s="45"/>
      <c r="R1184" s="45"/>
      <c r="S1184" s="492"/>
      <c r="T1184" s="492"/>
      <c r="U1184" s="45"/>
      <c r="V1184" s="45"/>
      <c r="W1184" s="45"/>
      <c r="X1184" s="45"/>
      <c r="Y1184" s="45"/>
      <c r="Z1184" s="45"/>
      <c r="AA1184" s="45"/>
    </row>
    <row r="1185" spans="1:27" ht="13">
      <c r="A1185" s="54">
        <v>2025</v>
      </c>
      <c r="B1185" s="353">
        <v>45784</v>
      </c>
      <c r="C1185" s="354" t="s">
        <v>740</v>
      </c>
      <c r="D1185" s="354" t="s">
        <v>489</v>
      </c>
      <c r="E1185" s="354" t="s">
        <v>744</v>
      </c>
      <c r="F1185" s="354" t="s">
        <v>464</v>
      </c>
      <c r="G1185" s="354"/>
      <c r="H1185" s="355">
        <v>2500</v>
      </c>
      <c r="I1185" s="355">
        <v>2500</v>
      </c>
      <c r="J1185" s="355"/>
      <c r="K1185" s="355"/>
      <c r="L1185" s="355"/>
      <c r="M1185" s="354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  <c r="AA1185" s="45"/>
    </row>
    <row r="1186" spans="1:27" ht="13">
      <c r="A1186" s="54">
        <v>2025</v>
      </c>
      <c r="B1186" s="353">
        <v>45786</v>
      </c>
      <c r="C1186" s="354" t="s">
        <v>481</v>
      </c>
      <c r="D1186" s="354" t="s">
        <v>493</v>
      </c>
      <c r="E1186" s="354" t="s">
        <v>63</v>
      </c>
      <c r="F1186" s="354" t="s">
        <v>660</v>
      </c>
      <c r="G1186" s="354"/>
      <c r="H1186" s="355"/>
      <c r="I1186" s="355"/>
      <c r="J1186" s="355">
        <v>80.64</v>
      </c>
      <c r="K1186" s="355">
        <v>80.64</v>
      </c>
      <c r="L1186" s="355"/>
      <c r="M1186" s="354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  <c r="AA1186" s="45"/>
    </row>
    <row r="1187" spans="1:27" ht="13">
      <c r="A1187" s="54">
        <v>2025</v>
      </c>
      <c r="B1187" s="353">
        <v>45792</v>
      </c>
      <c r="C1187" s="354" t="s">
        <v>481</v>
      </c>
      <c r="D1187" s="354" t="s">
        <v>493</v>
      </c>
      <c r="E1187" s="354" t="s">
        <v>479</v>
      </c>
      <c r="F1187" s="354" t="s">
        <v>539</v>
      </c>
      <c r="G1187" s="354"/>
      <c r="H1187" s="355"/>
      <c r="I1187" s="355"/>
      <c r="J1187" s="355">
        <v>1320</v>
      </c>
      <c r="K1187" s="355">
        <v>1320</v>
      </c>
      <c r="L1187" s="355"/>
      <c r="M1187" s="354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  <c r="AA1187" s="45"/>
    </row>
    <row r="1188" spans="1:27" ht="13">
      <c r="A1188" s="54">
        <v>2025</v>
      </c>
      <c r="B1188" s="353">
        <v>45798</v>
      </c>
      <c r="C1188" s="343" t="s">
        <v>481</v>
      </c>
      <c r="D1188" s="343" t="s">
        <v>494</v>
      </c>
      <c r="E1188" s="343" t="s">
        <v>502</v>
      </c>
      <c r="F1188" s="343" t="s">
        <v>522</v>
      </c>
      <c r="G1188" s="354"/>
      <c r="H1188" s="355"/>
      <c r="I1188" s="355"/>
      <c r="J1188" s="355">
        <v>8121</v>
      </c>
      <c r="K1188" s="355">
        <v>8121</v>
      </c>
      <c r="L1188" s="355"/>
      <c r="M1188" s="354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  <c r="AA1188" s="45"/>
    </row>
    <row r="1189" spans="1:27" ht="13">
      <c r="A1189" s="54">
        <v>2025</v>
      </c>
      <c r="B1189" s="353">
        <v>45798</v>
      </c>
      <c r="C1189" s="343" t="s">
        <v>481</v>
      </c>
      <c r="D1189" s="343" t="s">
        <v>494</v>
      </c>
      <c r="E1189" s="343" t="s">
        <v>512</v>
      </c>
      <c r="F1189" s="343" t="s">
        <v>528</v>
      </c>
      <c r="G1189" s="354"/>
      <c r="H1189" s="355"/>
      <c r="I1189" s="355"/>
      <c r="J1189" s="355">
        <v>250581</v>
      </c>
      <c r="K1189" s="355">
        <v>250581</v>
      </c>
      <c r="L1189" s="355"/>
      <c r="M1189" s="354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  <c r="AA1189" s="45"/>
    </row>
    <row r="1190" spans="1:27" ht="13">
      <c r="A1190" s="54">
        <v>2025</v>
      </c>
      <c r="B1190" s="353">
        <v>45798</v>
      </c>
      <c r="C1190" s="343" t="s">
        <v>481</v>
      </c>
      <c r="D1190" s="343" t="s">
        <v>494</v>
      </c>
      <c r="E1190" s="343" t="s">
        <v>512</v>
      </c>
      <c r="F1190" s="343" t="s">
        <v>574</v>
      </c>
      <c r="G1190" s="354"/>
      <c r="H1190" s="355"/>
      <c r="I1190" s="355"/>
      <c r="J1190" s="355">
        <v>3197</v>
      </c>
      <c r="K1190" s="355">
        <v>3197</v>
      </c>
      <c r="L1190" s="355"/>
      <c r="M1190" s="354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  <c r="AA1190" s="45"/>
    </row>
    <row r="1191" spans="1:27" ht="13">
      <c r="A1191" s="54">
        <v>2025</v>
      </c>
      <c r="B1191" s="353">
        <v>45798</v>
      </c>
      <c r="C1191" s="343" t="s">
        <v>481</v>
      </c>
      <c r="D1191" s="343" t="s">
        <v>494</v>
      </c>
      <c r="E1191" s="343" t="s">
        <v>521</v>
      </c>
      <c r="F1191" s="343" t="s">
        <v>544</v>
      </c>
      <c r="G1191" s="354"/>
      <c r="H1191" s="355"/>
      <c r="I1191" s="355"/>
      <c r="J1191" s="355">
        <v>619</v>
      </c>
      <c r="K1191" s="355">
        <f>J1191-L1191</f>
        <v>507.40999999999997</v>
      </c>
      <c r="L1191" s="355">
        <v>111.59</v>
      </c>
      <c r="M1191" s="354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  <c r="AA1191" s="45"/>
    </row>
    <row r="1192" spans="1:27" ht="13">
      <c r="A1192" s="54">
        <v>2025</v>
      </c>
      <c r="B1192" s="353">
        <v>45803</v>
      </c>
      <c r="C1192" s="343" t="s">
        <v>481</v>
      </c>
      <c r="D1192" s="343" t="s">
        <v>493</v>
      </c>
      <c r="E1192" s="343" t="s">
        <v>479</v>
      </c>
      <c r="F1192" s="343" t="s">
        <v>624</v>
      </c>
      <c r="G1192" s="354"/>
      <c r="H1192" s="355">
        <v>19.95</v>
      </c>
      <c r="I1192" s="355">
        <v>16.350000000000001</v>
      </c>
      <c r="J1192" s="355"/>
      <c r="K1192" s="355"/>
      <c r="L1192" s="355">
        <f>3.6*M1192</f>
        <v>149.77080000000001</v>
      </c>
      <c r="M1192" s="354">
        <v>41.603000000000002</v>
      </c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  <c r="AA1192" s="45"/>
    </row>
    <row r="1193" spans="1:27" ht="13">
      <c r="A1193" s="54">
        <v>2025</v>
      </c>
      <c r="B1193" s="353">
        <v>45807</v>
      </c>
      <c r="C1193" s="343" t="s">
        <v>481</v>
      </c>
      <c r="D1193" s="343" t="s">
        <v>493</v>
      </c>
      <c r="E1193" s="343" t="s">
        <v>63</v>
      </c>
      <c r="F1193" s="343" t="s">
        <v>539</v>
      </c>
      <c r="G1193" s="354"/>
      <c r="H1193" s="355"/>
      <c r="I1193" s="355"/>
      <c r="J1193" s="355">
        <v>858.29</v>
      </c>
      <c r="K1193" s="355">
        <v>858.29</v>
      </c>
      <c r="L1193" s="355"/>
      <c r="M1193" s="354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  <c r="AA1193" s="45"/>
    </row>
    <row r="1194" spans="1:27" ht="13">
      <c r="A1194" s="54">
        <v>2025</v>
      </c>
      <c r="B1194" s="353">
        <v>45807</v>
      </c>
      <c r="C1194" s="343" t="s">
        <v>481</v>
      </c>
      <c r="D1194" s="343" t="s">
        <v>493</v>
      </c>
      <c r="E1194" s="343" t="s">
        <v>63</v>
      </c>
      <c r="F1194" s="343" t="s">
        <v>539</v>
      </c>
      <c r="G1194" s="354"/>
      <c r="H1194" s="355"/>
      <c r="I1194" s="355"/>
      <c r="J1194" s="355">
        <v>635.25</v>
      </c>
      <c r="K1194" s="355">
        <v>635.25</v>
      </c>
      <c r="L1194" s="355"/>
      <c r="M1194" s="354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  <c r="AA1194" s="45"/>
    </row>
    <row r="1195" spans="1:27" ht="13">
      <c r="A1195" s="54">
        <v>2025</v>
      </c>
      <c r="B1195" s="353">
        <v>45807</v>
      </c>
      <c r="C1195" s="354" t="s">
        <v>481</v>
      </c>
      <c r="D1195" s="354" t="s">
        <v>489</v>
      </c>
      <c r="E1195" s="354" t="s">
        <v>463</v>
      </c>
      <c r="F1195" s="354" t="s">
        <v>464</v>
      </c>
      <c r="G1195" s="355"/>
      <c r="H1195" s="355"/>
      <c r="I1195" s="355"/>
      <c r="J1195" s="355">
        <v>7000</v>
      </c>
      <c r="K1195" s="355">
        <v>5737.7</v>
      </c>
      <c r="L1195" s="355">
        <v>1262.3</v>
      </c>
      <c r="M1195" s="354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  <c r="AA1195" s="45"/>
    </row>
    <row r="1196" spans="1:27" ht="13">
      <c r="A1196" s="54">
        <v>2025</v>
      </c>
      <c r="B1196" s="353">
        <v>45807</v>
      </c>
      <c r="C1196" s="354" t="s">
        <v>481</v>
      </c>
      <c r="D1196" s="354" t="s">
        <v>482</v>
      </c>
      <c r="E1196" s="354" t="s">
        <v>495</v>
      </c>
      <c r="F1196" s="354" t="s">
        <v>496</v>
      </c>
      <c r="G1196" s="355"/>
      <c r="H1196" s="483"/>
      <c r="I1196" s="483"/>
      <c r="J1196" s="355">
        <v>232093</v>
      </c>
      <c r="K1196" s="355">
        <v>232093</v>
      </c>
      <c r="L1196" s="355"/>
      <c r="M1196" s="354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  <c r="AA1196" s="45"/>
    </row>
    <row r="1197" spans="1:27" ht="13">
      <c r="A1197" s="54">
        <v>2025</v>
      </c>
      <c r="B1197" s="353">
        <v>45807</v>
      </c>
      <c r="C1197" s="354" t="s">
        <v>481</v>
      </c>
      <c r="D1197" s="354" t="s">
        <v>482</v>
      </c>
      <c r="E1197" s="354" t="s">
        <v>737</v>
      </c>
      <c r="F1197" s="354" t="s">
        <v>496</v>
      </c>
      <c r="G1197" s="355"/>
      <c r="H1197" s="355"/>
      <c r="I1197" s="355"/>
      <c r="J1197" s="355">
        <v>232093</v>
      </c>
      <c r="K1197" s="355">
        <v>232093</v>
      </c>
      <c r="L1197" s="355"/>
      <c r="M1197" s="354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  <c r="AA1197" s="45"/>
    </row>
    <row r="1198" spans="1:27" ht="13">
      <c r="A1198" s="54">
        <v>2025</v>
      </c>
      <c r="B1198" s="353">
        <v>45807</v>
      </c>
      <c r="C1198" s="354" t="s">
        <v>679</v>
      </c>
      <c r="D1198" s="354" t="s">
        <v>478</v>
      </c>
      <c r="E1198" s="354" t="s">
        <v>479</v>
      </c>
      <c r="F1198" s="354" t="s">
        <v>480</v>
      </c>
      <c r="G1198" s="355"/>
      <c r="H1198" s="355">
        <f t="shared" ref="H1198:I1198" si="85">40/3</f>
        <v>13.333333333333334</v>
      </c>
      <c r="I1198" s="355">
        <f t="shared" si="85"/>
        <v>13.333333333333334</v>
      </c>
      <c r="J1198" s="355"/>
      <c r="K1198" s="355"/>
      <c r="L1198" s="355"/>
      <c r="M1198" s="354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  <c r="AA1198" s="45"/>
    </row>
    <row r="1199" spans="1:27" ht="13">
      <c r="A1199" s="54">
        <v>2025</v>
      </c>
      <c r="B1199" s="353">
        <v>45807</v>
      </c>
      <c r="C1199" s="354" t="s">
        <v>679</v>
      </c>
      <c r="D1199" s="354" t="s">
        <v>482</v>
      </c>
      <c r="E1199" s="354" t="s">
        <v>680</v>
      </c>
      <c r="F1199" s="354" t="s">
        <v>459</v>
      </c>
      <c r="G1199" s="355"/>
      <c r="H1199" s="355">
        <v>1300</v>
      </c>
      <c r="I1199" s="355">
        <v>1300</v>
      </c>
      <c r="J1199" s="355"/>
      <c r="K1199" s="355"/>
      <c r="L1199" s="355"/>
      <c r="M1199" s="354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  <c r="AA1199" s="45"/>
    </row>
    <row r="1200" spans="1:27" ht="13">
      <c r="A1200" s="54">
        <v>2025</v>
      </c>
      <c r="B1200" s="353">
        <v>45807</v>
      </c>
      <c r="C1200" s="354" t="s">
        <v>679</v>
      </c>
      <c r="D1200" s="354" t="s">
        <v>478</v>
      </c>
      <c r="E1200" s="354" t="s">
        <v>701</v>
      </c>
      <c r="F1200" s="354" t="s">
        <v>539</v>
      </c>
      <c r="G1200" s="355"/>
      <c r="H1200" s="355">
        <v>13.13</v>
      </c>
      <c r="I1200" s="355">
        <v>13.13</v>
      </c>
      <c r="J1200" s="355"/>
      <c r="K1200" s="355"/>
      <c r="L1200" s="355"/>
      <c r="M1200" s="354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  <c r="AA1200" s="45"/>
    </row>
    <row r="1201" spans="1:27" ht="13">
      <c r="A1201" s="54">
        <v>2025</v>
      </c>
      <c r="B1201" s="353">
        <v>45807</v>
      </c>
      <c r="C1201" s="354" t="s">
        <v>474</v>
      </c>
      <c r="D1201" s="354" t="s">
        <v>482</v>
      </c>
      <c r="E1201" s="354" t="s">
        <v>483</v>
      </c>
      <c r="F1201" s="354" t="s">
        <v>459</v>
      </c>
      <c r="G1201" s="355"/>
      <c r="H1201" s="355">
        <v>1300</v>
      </c>
      <c r="I1201" s="355">
        <v>1300</v>
      </c>
      <c r="J1201" s="355"/>
      <c r="K1201" s="355"/>
      <c r="L1201" s="355"/>
      <c r="M1201" s="354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  <c r="AA1201" s="45"/>
    </row>
    <row r="1202" spans="1:27" ht="13">
      <c r="A1202" s="54">
        <v>2025</v>
      </c>
      <c r="B1202" s="353">
        <v>45807</v>
      </c>
      <c r="C1202" s="354" t="s">
        <v>474</v>
      </c>
      <c r="D1202" s="354" t="s">
        <v>478</v>
      </c>
      <c r="E1202" s="354" t="s">
        <v>758</v>
      </c>
      <c r="F1202" s="354" t="s">
        <v>480</v>
      </c>
      <c r="G1202" s="355"/>
      <c r="H1202" s="355">
        <v>15</v>
      </c>
      <c r="I1202" s="355">
        <v>15</v>
      </c>
      <c r="J1202" s="355"/>
      <c r="K1202" s="355"/>
      <c r="L1202" s="355"/>
      <c r="M1202" s="354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  <c r="AA1202" s="45"/>
    </row>
    <row r="1203" spans="1:27" ht="13">
      <c r="A1203" s="54">
        <v>2025</v>
      </c>
      <c r="B1203" s="353">
        <v>45807</v>
      </c>
      <c r="C1203" s="354" t="s">
        <v>474</v>
      </c>
      <c r="D1203" s="354" t="s">
        <v>482</v>
      </c>
      <c r="E1203" s="354" t="s">
        <v>535</v>
      </c>
      <c r="F1203" s="354" t="s">
        <v>459</v>
      </c>
      <c r="G1203" s="355"/>
      <c r="H1203" s="355">
        <v>1300</v>
      </c>
      <c r="I1203" s="355">
        <v>1300</v>
      </c>
      <c r="J1203" s="355"/>
      <c r="K1203" s="355"/>
      <c r="L1203" s="355"/>
      <c r="M1203" s="354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</row>
    <row r="1204" spans="1:27" ht="13">
      <c r="A1204" s="54">
        <v>2025</v>
      </c>
      <c r="B1204" s="353">
        <v>45807</v>
      </c>
      <c r="C1204" s="354" t="s">
        <v>474</v>
      </c>
      <c r="D1204" s="354" t="s">
        <v>478</v>
      </c>
      <c r="E1204" s="354" t="s">
        <v>701</v>
      </c>
      <c r="F1204" s="354" t="s">
        <v>539</v>
      </c>
      <c r="G1204" s="355"/>
      <c r="H1204" s="355">
        <v>13.13</v>
      </c>
      <c r="I1204" s="355">
        <v>13.13</v>
      </c>
      <c r="J1204" s="355"/>
      <c r="K1204" s="355"/>
      <c r="L1204" s="355"/>
      <c r="M1204" s="354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  <c r="AA1204" s="45"/>
    </row>
    <row r="1205" spans="1:27" ht="13">
      <c r="A1205" s="54">
        <v>2025</v>
      </c>
      <c r="B1205" s="353">
        <v>45807</v>
      </c>
      <c r="C1205" s="354" t="s">
        <v>474</v>
      </c>
      <c r="D1205" s="354" t="s">
        <v>478</v>
      </c>
      <c r="E1205" s="354" t="s">
        <v>479</v>
      </c>
      <c r="F1205" s="354" t="s">
        <v>480</v>
      </c>
      <c r="G1205" s="355"/>
      <c r="H1205" s="355">
        <f t="shared" ref="H1205:I1205" si="86">(40/3)*2</f>
        <v>26.666666666666668</v>
      </c>
      <c r="I1205" s="355">
        <f t="shared" si="86"/>
        <v>26.666666666666668</v>
      </c>
      <c r="J1205" s="355"/>
      <c r="K1205" s="355"/>
      <c r="L1205" s="355"/>
      <c r="M1205" s="354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  <c r="AA1205" s="45"/>
    </row>
    <row r="1206" spans="1:27" ht="13">
      <c r="A1206" s="54">
        <v>2025</v>
      </c>
      <c r="B1206" s="353">
        <v>45807</v>
      </c>
      <c r="C1206" s="354" t="s">
        <v>474</v>
      </c>
      <c r="D1206" s="354" t="s">
        <v>482</v>
      </c>
      <c r="E1206" s="354" t="s">
        <v>541</v>
      </c>
      <c r="F1206" s="354" t="s">
        <v>459</v>
      </c>
      <c r="G1206" s="355"/>
      <c r="H1206" s="355">
        <v>1300</v>
      </c>
      <c r="I1206" s="355">
        <v>1300</v>
      </c>
      <c r="J1206" s="355"/>
      <c r="K1206" s="355"/>
      <c r="L1206" s="355"/>
      <c r="M1206" s="354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</row>
    <row r="1207" spans="1:27" ht="13">
      <c r="A1207" s="54">
        <v>2025</v>
      </c>
      <c r="B1207" s="353">
        <v>45807</v>
      </c>
      <c r="C1207" s="343" t="s">
        <v>474</v>
      </c>
      <c r="D1207" s="354" t="s">
        <v>478</v>
      </c>
      <c r="E1207" s="354" t="s">
        <v>701</v>
      </c>
      <c r="F1207" s="354" t="s">
        <v>539</v>
      </c>
      <c r="G1207" s="354"/>
      <c r="H1207" s="355">
        <v>13.13</v>
      </c>
      <c r="I1207" s="355">
        <v>13.13</v>
      </c>
      <c r="J1207" s="355"/>
      <c r="K1207" s="355"/>
      <c r="L1207" s="355"/>
      <c r="M1207" s="354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</row>
    <row r="1208" spans="1:27" ht="13">
      <c r="A1208" s="54">
        <v>2025</v>
      </c>
      <c r="B1208" s="353">
        <v>45807</v>
      </c>
      <c r="C1208" s="343" t="s">
        <v>679</v>
      </c>
      <c r="D1208" s="354" t="s">
        <v>482</v>
      </c>
      <c r="E1208" s="354" t="s">
        <v>752</v>
      </c>
      <c r="F1208" s="354" t="s">
        <v>459</v>
      </c>
      <c r="G1208" s="354"/>
      <c r="H1208" s="355">
        <v>2500</v>
      </c>
      <c r="I1208" s="355">
        <v>2500</v>
      </c>
      <c r="J1208" s="355"/>
      <c r="K1208" s="355"/>
      <c r="L1208" s="355"/>
      <c r="M1208" s="354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</row>
    <row r="1209" spans="1:27" ht="13">
      <c r="A1209" s="54">
        <v>2025</v>
      </c>
      <c r="B1209" s="353">
        <v>45807</v>
      </c>
      <c r="C1209" s="354" t="s">
        <v>481</v>
      </c>
      <c r="D1209" s="354" t="s">
        <v>491</v>
      </c>
      <c r="E1209" s="493" t="s">
        <v>654</v>
      </c>
      <c r="F1209" s="354" t="s">
        <v>576</v>
      </c>
      <c r="G1209" s="355"/>
      <c r="H1209" s="483"/>
      <c r="I1209" s="483"/>
      <c r="J1209" s="355">
        <f t="shared" ref="J1209:K1209" si="87">1555*2</f>
        <v>3110</v>
      </c>
      <c r="K1209" s="355">
        <f t="shared" si="87"/>
        <v>3110</v>
      </c>
      <c r="L1209" s="355"/>
      <c r="M1209" s="35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  <c r="AA1209" s="45"/>
    </row>
    <row r="1210" spans="1:27" ht="13">
      <c r="A1210" s="54">
        <v>2025</v>
      </c>
      <c r="B1210" s="353">
        <v>45807</v>
      </c>
      <c r="C1210" s="354" t="s">
        <v>481</v>
      </c>
      <c r="D1210" s="354" t="s">
        <v>491</v>
      </c>
      <c r="E1210" s="354" t="s">
        <v>534</v>
      </c>
      <c r="F1210" s="354" t="s">
        <v>576</v>
      </c>
      <c r="G1210" s="355"/>
      <c r="H1210" s="355">
        <v>15.99</v>
      </c>
      <c r="I1210" s="355">
        <v>15.99</v>
      </c>
      <c r="J1210" s="355"/>
      <c r="K1210" s="355"/>
      <c r="L1210" s="355"/>
      <c r="M1210" s="35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  <c r="AA1210" s="45"/>
    </row>
    <row r="1211" spans="1:27" ht="13">
      <c r="A1211" s="54">
        <v>2025</v>
      </c>
      <c r="B1211" s="353">
        <v>45807</v>
      </c>
      <c r="C1211" s="354" t="s">
        <v>481</v>
      </c>
      <c r="D1211" s="354" t="s">
        <v>491</v>
      </c>
      <c r="E1211" s="354" t="s">
        <v>591</v>
      </c>
      <c r="F1211" s="354" t="s">
        <v>576</v>
      </c>
      <c r="G1211" s="355"/>
      <c r="H1211" s="355">
        <v>20</v>
      </c>
      <c r="I1211" s="355">
        <v>20</v>
      </c>
      <c r="J1211" s="355"/>
      <c r="K1211" s="355"/>
      <c r="L1211" s="355"/>
      <c r="M1211" s="35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  <c r="AA1211" s="45"/>
    </row>
    <row r="1212" spans="1:27" ht="13">
      <c r="A1212" s="54">
        <v>2025</v>
      </c>
      <c r="B1212" s="353">
        <v>45807</v>
      </c>
      <c r="C1212" s="354" t="s">
        <v>481</v>
      </c>
      <c r="D1212" s="354" t="s">
        <v>491</v>
      </c>
      <c r="E1212" s="354" t="s">
        <v>639</v>
      </c>
      <c r="F1212" s="354" t="s">
        <v>576</v>
      </c>
      <c r="G1212" s="355"/>
      <c r="H1212" s="355">
        <v>20</v>
      </c>
      <c r="I1212" s="355">
        <v>20</v>
      </c>
      <c r="J1212" s="355"/>
      <c r="K1212" s="355"/>
      <c r="L1212" s="355"/>
      <c r="M1212" s="35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  <c r="AA1212" s="45"/>
    </row>
    <row r="1213" spans="1:27" ht="13">
      <c r="A1213" s="54">
        <v>2025</v>
      </c>
      <c r="B1213" s="353">
        <v>45807</v>
      </c>
      <c r="C1213" s="354" t="s">
        <v>481</v>
      </c>
      <c r="D1213" s="354" t="s">
        <v>491</v>
      </c>
      <c r="E1213" s="354" t="s">
        <v>592</v>
      </c>
      <c r="F1213" s="354" t="s">
        <v>576</v>
      </c>
      <c r="G1213" s="355"/>
      <c r="H1213" s="355">
        <v>40</v>
      </c>
      <c r="I1213" s="355">
        <v>40</v>
      </c>
      <c r="J1213" s="355"/>
      <c r="K1213" s="355"/>
      <c r="L1213" s="355"/>
      <c r="M1213" s="35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  <c r="AA1213" s="45"/>
    </row>
    <row r="1214" spans="1:27" ht="13">
      <c r="A1214" s="54">
        <v>2025</v>
      </c>
      <c r="B1214" s="353">
        <v>45807</v>
      </c>
      <c r="C1214" s="354" t="s">
        <v>481</v>
      </c>
      <c r="D1214" s="354" t="s">
        <v>491</v>
      </c>
      <c r="E1214" s="354" t="s">
        <v>633</v>
      </c>
      <c r="F1214" s="354" t="s">
        <v>576</v>
      </c>
      <c r="G1214" s="355"/>
      <c r="H1214" s="355">
        <v>43.2</v>
      </c>
      <c r="I1214" s="355">
        <v>43.2</v>
      </c>
      <c r="J1214" s="355"/>
      <c r="K1214" s="355"/>
      <c r="L1214" s="355"/>
      <c r="M1214" s="35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  <c r="AA1214" s="45"/>
    </row>
    <row r="1215" spans="1:27" ht="13">
      <c r="A1215" s="54">
        <v>2025</v>
      </c>
      <c r="B1215" s="353">
        <v>45807</v>
      </c>
      <c r="C1215" s="354" t="s">
        <v>481</v>
      </c>
      <c r="D1215" s="354" t="s">
        <v>491</v>
      </c>
      <c r="E1215" s="354" t="s">
        <v>69</v>
      </c>
      <c r="F1215" s="354" t="s">
        <v>576</v>
      </c>
      <c r="G1215" s="355"/>
      <c r="H1215" s="355">
        <v>178.58</v>
      </c>
      <c r="I1215" s="355">
        <v>178.58</v>
      </c>
      <c r="J1215" s="355"/>
      <c r="K1215" s="355"/>
      <c r="L1215" s="355"/>
      <c r="M1215" s="35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  <c r="AA1215" s="45"/>
    </row>
    <row r="1216" spans="1:27" ht="13">
      <c r="A1216" s="54">
        <v>2025</v>
      </c>
      <c r="B1216" s="353">
        <v>45807</v>
      </c>
      <c r="C1216" s="354" t="s">
        <v>481</v>
      </c>
      <c r="D1216" s="354" t="s">
        <v>491</v>
      </c>
      <c r="E1216" s="354" t="s">
        <v>725</v>
      </c>
      <c r="F1216" s="354" t="s">
        <v>576</v>
      </c>
      <c r="G1216" s="355"/>
      <c r="H1216" s="355">
        <v>4.1100000000000003</v>
      </c>
      <c r="I1216" s="355">
        <v>4.1100000000000003</v>
      </c>
      <c r="J1216" s="355"/>
      <c r="K1216" s="355"/>
      <c r="L1216" s="355"/>
      <c r="M1216" s="35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  <c r="AA1216" s="45"/>
    </row>
    <row r="1217" spans="1:27" ht="13">
      <c r="A1217" s="54">
        <v>2025</v>
      </c>
      <c r="B1217" s="353">
        <v>45807</v>
      </c>
      <c r="C1217" s="354" t="s">
        <v>481</v>
      </c>
      <c r="D1217" s="354" t="s">
        <v>491</v>
      </c>
      <c r="E1217" s="354" t="s">
        <v>723</v>
      </c>
      <c r="F1217" s="354" t="s">
        <v>576</v>
      </c>
      <c r="G1217" s="355"/>
      <c r="H1217" s="355">
        <v>187.36</v>
      </c>
      <c r="I1217" s="355">
        <v>187.36</v>
      </c>
      <c r="J1217" s="355"/>
      <c r="K1217" s="355"/>
      <c r="L1217" s="355"/>
      <c r="M1217" s="35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  <c r="AA1217" s="45"/>
    </row>
    <row r="1218" spans="1:27" ht="13">
      <c r="A1218" s="54">
        <v>2025</v>
      </c>
      <c r="B1218" s="472">
        <v>45819</v>
      </c>
      <c r="C1218" s="473" t="s">
        <v>740</v>
      </c>
      <c r="D1218" s="473" t="s">
        <v>489</v>
      </c>
      <c r="E1218" s="473" t="s">
        <v>744</v>
      </c>
      <c r="F1218" s="473" t="s">
        <v>464</v>
      </c>
      <c r="G1218" s="473"/>
      <c r="H1218" s="476">
        <v>2500</v>
      </c>
      <c r="I1218" s="476">
        <v>2500</v>
      </c>
      <c r="J1218" s="476"/>
      <c r="K1218" s="476"/>
      <c r="L1218" s="476"/>
      <c r="M1218" s="473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  <c r="AA1218" s="45"/>
    </row>
    <row r="1219" spans="1:27" ht="13">
      <c r="A1219" s="54">
        <v>2025</v>
      </c>
      <c r="B1219" s="605">
        <v>45810</v>
      </c>
      <c r="C1219" s="606" t="s">
        <v>481</v>
      </c>
      <c r="D1219" s="606" t="s">
        <v>493</v>
      </c>
      <c r="E1219" s="606" t="s">
        <v>63</v>
      </c>
      <c r="F1219" s="606" t="s">
        <v>660</v>
      </c>
      <c r="G1219" s="606"/>
      <c r="H1219" s="607"/>
      <c r="I1219" s="607"/>
      <c r="J1219" s="607">
        <v>80.290000000000006</v>
      </c>
      <c r="K1219" s="607">
        <v>80.290000000000006</v>
      </c>
      <c r="L1219" s="607"/>
      <c r="M1219" s="606"/>
      <c r="N1219" s="45"/>
      <c r="O1219" s="608" t="s">
        <v>457</v>
      </c>
      <c r="P1219" s="609"/>
      <c r="Q1219" s="45"/>
      <c r="R1219" s="45"/>
      <c r="S1219" s="516" t="s">
        <v>669</v>
      </c>
      <c r="T1219" s="517"/>
      <c r="U1219" s="45"/>
      <c r="V1219" s="45"/>
      <c r="W1219" s="45"/>
      <c r="X1219" s="45"/>
      <c r="Y1219" s="45"/>
      <c r="Z1219" s="45"/>
      <c r="AA1219" s="45"/>
    </row>
    <row r="1220" spans="1:27" ht="13">
      <c r="A1220" s="54">
        <v>2025</v>
      </c>
      <c r="B1220" s="605">
        <v>45820</v>
      </c>
      <c r="C1220" s="606" t="s">
        <v>481</v>
      </c>
      <c r="D1220" s="606" t="s">
        <v>493</v>
      </c>
      <c r="E1220" s="606" t="s">
        <v>479</v>
      </c>
      <c r="F1220" s="606" t="s">
        <v>660</v>
      </c>
      <c r="G1220" s="606"/>
      <c r="H1220" s="607">
        <v>25</v>
      </c>
      <c r="I1220" s="607">
        <v>25</v>
      </c>
      <c r="J1220" s="607"/>
      <c r="K1220" s="607"/>
      <c r="L1220" s="607"/>
      <c r="M1220" s="606"/>
      <c r="N1220" s="45"/>
      <c r="O1220" s="552">
        <f>SUM(Facturacion!I169:I175)</f>
        <v>175394.60619999998</v>
      </c>
      <c r="P1220" s="470"/>
      <c r="Q1220" s="45"/>
      <c r="R1220" s="45"/>
      <c r="S1220" s="491" t="s">
        <v>411</v>
      </c>
      <c r="T1220" s="552">
        <f>SUM(K1218:K1253)</f>
        <v>430643.33</v>
      </c>
      <c r="U1220" s="45"/>
      <c r="V1220" s="45"/>
      <c r="W1220" s="45"/>
      <c r="X1220" s="45"/>
      <c r="Y1220" s="45"/>
      <c r="Z1220" s="45"/>
      <c r="AA1220" s="45"/>
    </row>
    <row r="1221" spans="1:27" ht="13">
      <c r="A1221" s="54">
        <v>2025</v>
      </c>
      <c r="B1221" s="605">
        <v>45828</v>
      </c>
      <c r="C1221" s="606" t="s">
        <v>481</v>
      </c>
      <c r="D1221" s="606" t="s">
        <v>489</v>
      </c>
      <c r="E1221" s="606" t="s">
        <v>759</v>
      </c>
      <c r="F1221" s="606" t="s">
        <v>760</v>
      </c>
      <c r="G1221" s="606"/>
      <c r="H1221" s="607"/>
      <c r="I1221" s="607"/>
      <c r="J1221" s="607">
        <v>9298</v>
      </c>
      <c r="K1221" s="607">
        <f>J1221-L1221</f>
        <v>7621.38</v>
      </c>
      <c r="L1221" s="607">
        <v>1676.62</v>
      </c>
      <c r="M1221" s="606"/>
      <c r="N1221" s="45"/>
      <c r="O1221" s="469" t="s">
        <v>461</v>
      </c>
      <c r="P1221" s="469" t="s">
        <v>462</v>
      </c>
      <c r="Q1221" s="45"/>
      <c r="R1221" s="45"/>
      <c r="S1221" s="469" t="s">
        <v>584</v>
      </c>
      <c r="T1221" s="552">
        <f>SUM(I1218:I1253)</f>
        <v>13293.4</v>
      </c>
      <c r="U1221" s="45"/>
      <c r="V1221" s="45"/>
      <c r="W1221" s="45"/>
      <c r="X1221" s="45"/>
      <c r="Y1221" s="45"/>
      <c r="Z1221" s="45"/>
      <c r="AA1221" s="45"/>
    </row>
    <row r="1222" spans="1:27" ht="13">
      <c r="A1222" s="54">
        <v>2025</v>
      </c>
      <c r="B1222" s="605">
        <v>45833</v>
      </c>
      <c r="C1222" s="606" t="s">
        <v>481</v>
      </c>
      <c r="D1222" s="606" t="s">
        <v>493</v>
      </c>
      <c r="E1222" s="606" t="s">
        <v>479</v>
      </c>
      <c r="F1222" s="606" t="s">
        <v>660</v>
      </c>
      <c r="G1222" s="606"/>
      <c r="H1222" s="607">
        <v>25</v>
      </c>
      <c r="I1222" s="607">
        <v>25</v>
      </c>
      <c r="J1222" s="607">
        <v>387.96</v>
      </c>
      <c r="K1222" s="607">
        <v>387.96</v>
      </c>
      <c r="L1222" s="607"/>
      <c r="M1222" s="606"/>
      <c r="N1222" s="45"/>
      <c r="O1222" s="552">
        <f>SUM(L1218:L1253)</f>
        <v>2938.92</v>
      </c>
      <c r="P1222" s="552">
        <f>(O1220-O1222)</f>
        <v>172455.68619999997</v>
      </c>
      <c r="Q1222" s="45"/>
      <c r="R1222" s="45"/>
      <c r="S1222" s="492"/>
      <c r="T1222" s="492"/>
      <c r="U1222" s="45"/>
      <c r="V1222" s="45"/>
      <c r="W1222" s="45"/>
      <c r="X1222" s="45"/>
      <c r="Y1222" s="45"/>
      <c r="Z1222" s="45"/>
      <c r="AA1222" s="45"/>
    </row>
    <row r="1223" spans="1:27" ht="13">
      <c r="A1223" s="54">
        <v>2025</v>
      </c>
      <c r="B1223" s="605">
        <v>45833</v>
      </c>
      <c r="C1223" s="606" t="s">
        <v>481</v>
      </c>
      <c r="D1223" s="606" t="s">
        <v>494</v>
      </c>
      <c r="E1223" s="606" t="s">
        <v>502</v>
      </c>
      <c r="F1223" s="606" t="s">
        <v>522</v>
      </c>
      <c r="G1223" s="607"/>
      <c r="H1223" s="607"/>
      <c r="I1223" s="607"/>
      <c r="J1223" s="607">
        <v>8621</v>
      </c>
      <c r="K1223" s="607">
        <v>8621</v>
      </c>
      <c r="L1223" s="607"/>
      <c r="M1223" s="606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</row>
    <row r="1224" spans="1:27" ht="13">
      <c r="A1224" s="54">
        <v>2025</v>
      </c>
      <c r="B1224" s="605">
        <v>45833</v>
      </c>
      <c r="C1224" s="606" t="s">
        <v>481</v>
      </c>
      <c r="D1224" s="606" t="s">
        <v>494</v>
      </c>
      <c r="E1224" s="606" t="s">
        <v>512</v>
      </c>
      <c r="F1224" s="606" t="s">
        <v>528</v>
      </c>
      <c r="G1224" s="607"/>
      <c r="H1224" s="607"/>
      <c r="I1224" s="607"/>
      <c r="J1224" s="607">
        <v>172456</v>
      </c>
      <c r="K1224" s="607">
        <v>172456</v>
      </c>
      <c r="L1224" s="607"/>
      <c r="M1224" s="606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  <c r="AA1224" s="45"/>
    </row>
    <row r="1225" spans="1:27" ht="13">
      <c r="A1225" s="54">
        <v>2025</v>
      </c>
      <c r="B1225" s="605">
        <v>45833</v>
      </c>
      <c r="C1225" s="606" t="s">
        <v>481</v>
      </c>
      <c r="D1225" s="606" t="s">
        <v>494</v>
      </c>
      <c r="E1225" s="606" t="s">
        <v>512</v>
      </c>
      <c r="F1225" s="606" t="s">
        <v>574</v>
      </c>
      <c r="G1225" s="607"/>
      <c r="H1225" s="607"/>
      <c r="I1225" s="607"/>
      <c r="J1225" s="607">
        <v>3197</v>
      </c>
      <c r="K1225" s="607">
        <v>3197</v>
      </c>
      <c r="L1225" s="607"/>
      <c r="M1225" s="606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  <c r="AA1225" s="45"/>
    </row>
    <row r="1226" spans="1:27" ht="13">
      <c r="A1226" s="54">
        <v>2025</v>
      </c>
      <c r="B1226" s="605">
        <v>45838</v>
      </c>
      <c r="C1226" s="473" t="s">
        <v>679</v>
      </c>
      <c r="D1226" s="473" t="s">
        <v>478</v>
      </c>
      <c r="E1226" s="473" t="s">
        <v>479</v>
      </c>
      <c r="F1226" s="473" t="s">
        <v>480</v>
      </c>
      <c r="G1226" s="476"/>
      <c r="H1226" s="476">
        <f t="shared" ref="H1226:I1226" si="88">40/3</f>
        <v>13.333333333333334</v>
      </c>
      <c r="I1226" s="476">
        <f t="shared" si="88"/>
        <v>13.333333333333334</v>
      </c>
      <c r="J1226" s="607"/>
      <c r="K1226" s="607"/>
      <c r="L1226" s="607"/>
      <c r="M1226" s="606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  <c r="AA1226" s="45"/>
    </row>
    <row r="1227" spans="1:27" ht="13">
      <c r="A1227" s="54">
        <v>2025</v>
      </c>
      <c r="B1227" s="605">
        <v>45838</v>
      </c>
      <c r="C1227" s="473" t="s">
        <v>679</v>
      </c>
      <c r="D1227" s="473" t="s">
        <v>482</v>
      </c>
      <c r="E1227" s="473" t="s">
        <v>680</v>
      </c>
      <c r="F1227" s="473" t="s">
        <v>459</v>
      </c>
      <c r="G1227" s="476"/>
      <c r="H1227" s="476">
        <v>1300</v>
      </c>
      <c r="I1227" s="476">
        <v>1300</v>
      </c>
      <c r="J1227" s="607"/>
      <c r="K1227" s="607"/>
      <c r="L1227" s="607"/>
      <c r="M1227" s="606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  <c r="AA1227" s="45"/>
    </row>
    <row r="1228" spans="1:27" ht="13">
      <c r="A1228" s="54">
        <v>2025</v>
      </c>
      <c r="B1228" s="605">
        <v>45838</v>
      </c>
      <c r="C1228" s="473" t="s">
        <v>679</v>
      </c>
      <c r="D1228" s="473" t="s">
        <v>478</v>
      </c>
      <c r="E1228" s="473" t="s">
        <v>701</v>
      </c>
      <c r="F1228" s="473" t="s">
        <v>539</v>
      </c>
      <c r="G1228" s="476"/>
      <c r="H1228" s="476">
        <v>13.13</v>
      </c>
      <c r="I1228" s="476">
        <v>13.13</v>
      </c>
      <c r="J1228" s="607"/>
      <c r="K1228" s="607"/>
      <c r="L1228" s="607"/>
      <c r="M1228" s="606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</row>
    <row r="1229" spans="1:27" ht="13">
      <c r="A1229" s="54">
        <v>2025</v>
      </c>
      <c r="B1229" s="605">
        <v>45838</v>
      </c>
      <c r="C1229" s="473" t="s">
        <v>474</v>
      </c>
      <c r="D1229" s="473" t="s">
        <v>482</v>
      </c>
      <c r="E1229" s="473" t="s">
        <v>483</v>
      </c>
      <c r="F1229" s="473" t="s">
        <v>459</v>
      </c>
      <c r="G1229" s="476"/>
      <c r="H1229" s="476">
        <v>1300</v>
      </c>
      <c r="I1229" s="476">
        <v>1300</v>
      </c>
      <c r="J1229" s="607"/>
      <c r="K1229" s="607"/>
      <c r="L1229" s="607"/>
      <c r="M1229" s="606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</row>
    <row r="1230" spans="1:27" ht="13">
      <c r="A1230" s="54">
        <v>2025</v>
      </c>
      <c r="B1230" s="605">
        <v>45838</v>
      </c>
      <c r="C1230" s="473" t="s">
        <v>474</v>
      </c>
      <c r="D1230" s="473" t="s">
        <v>478</v>
      </c>
      <c r="E1230" s="473" t="s">
        <v>758</v>
      </c>
      <c r="F1230" s="473" t="s">
        <v>480</v>
      </c>
      <c r="G1230" s="476"/>
      <c r="H1230" s="476">
        <v>15</v>
      </c>
      <c r="I1230" s="476">
        <v>15</v>
      </c>
      <c r="J1230" s="607"/>
      <c r="K1230" s="607"/>
      <c r="L1230" s="607"/>
      <c r="M1230" s="606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  <c r="AA1230" s="45"/>
    </row>
    <row r="1231" spans="1:27" ht="13">
      <c r="A1231" s="54">
        <v>2025</v>
      </c>
      <c r="B1231" s="605">
        <v>45838</v>
      </c>
      <c r="C1231" s="473" t="s">
        <v>474</v>
      </c>
      <c r="D1231" s="473" t="s">
        <v>482</v>
      </c>
      <c r="E1231" s="473" t="s">
        <v>535</v>
      </c>
      <c r="F1231" s="473" t="s">
        <v>459</v>
      </c>
      <c r="G1231" s="476"/>
      <c r="H1231" s="476">
        <v>1300</v>
      </c>
      <c r="I1231" s="476">
        <v>1300</v>
      </c>
      <c r="J1231" s="607"/>
      <c r="K1231" s="607"/>
      <c r="L1231" s="607"/>
      <c r="M1231" s="606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</row>
    <row r="1232" spans="1:27" ht="13">
      <c r="A1232" s="54">
        <v>2025</v>
      </c>
      <c r="B1232" s="605">
        <v>45838</v>
      </c>
      <c r="C1232" s="473" t="s">
        <v>474</v>
      </c>
      <c r="D1232" s="473" t="s">
        <v>478</v>
      </c>
      <c r="E1232" s="473" t="s">
        <v>701</v>
      </c>
      <c r="F1232" s="473" t="s">
        <v>539</v>
      </c>
      <c r="G1232" s="476"/>
      <c r="H1232" s="476">
        <v>13.13</v>
      </c>
      <c r="I1232" s="476">
        <v>13.13</v>
      </c>
      <c r="J1232" s="607"/>
      <c r="K1232" s="607"/>
      <c r="L1232" s="607"/>
      <c r="M1232" s="606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  <c r="AA1232" s="45"/>
    </row>
    <row r="1233" spans="1:27" ht="13">
      <c r="A1233" s="54">
        <v>2025</v>
      </c>
      <c r="B1233" s="605">
        <v>45838</v>
      </c>
      <c r="C1233" s="473" t="s">
        <v>474</v>
      </c>
      <c r="D1233" s="473" t="s">
        <v>478</v>
      </c>
      <c r="E1233" s="473" t="s">
        <v>479</v>
      </c>
      <c r="F1233" s="473" t="s">
        <v>480</v>
      </c>
      <c r="G1233" s="476"/>
      <c r="H1233" s="476">
        <f t="shared" ref="H1233:I1233" si="89">(40/3)*2</f>
        <v>26.666666666666668</v>
      </c>
      <c r="I1233" s="476">
        <f t="shared" si="89"/>
        <v>26.666666666666668</v>
      </c>
      <c r="J1233" s="607"/>
      <c r="K1233" s="607"/>
      <c r="L1233" s="607"/>
      <c r="M1233" s="606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</row>
    <row r="1234" spans="1:27" ht="13">
      <c r="A1234" s="54">
        <v>2025</v>
      </c>
      <c r="B1234" s="605">
        <v>45838</v>
      </c>
      <c r="C1234" s="473" t="s">
        <v>474</v>
      </c>
      <c r="D1234" s="473" t="s">
        <v>482</v>
      </c>
      <c r="E1234" s="473" t="s">
        <v>541</v>
      </c>
      <c r="F1234" s="473" t="s">
        <v>459</v>
      </c>
      <c r="G1234" s="476"/>
      <c r="H1234" s="476">
        <v>1300</v>
      </c>
      <c r="I1234" s="476">
        <v>1300</v>
      </c>
      <c r="J1234" s="607"/>
      <c r="K1234" s="607"/>
      <c r="L1234" s="607"/>
      <c r="M1234" s="606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  <c r="AA1234" s="45"/>
    </row>
    <row r="1235" spans="1:27" ht="13">
      <c r="A1235" s="54">
        <v>2025</v>
      </c>
      <c r="B1235" s="605">
        <v>45838</v>
      </c>
      <c r="C1235" s="606" t="s">
        <v>474</v>
      </c>
      <c r="D1235" s="473" t="s">
        <v>478</v>
      </c>
      <c r="E1235" s="473" t="s">
        <v>701</v>
      </c>
      <c r="F1235" s="473" t="s">
        <v>539</v>
      </c>
      <c r="G1235" s="473"/>
      <c r="H1235" s="476">
        <v>13.13</v>
      </c>
      <c r="I1235" s="476">
        <v>13.13</v>
      </c>
      <c r="J1235" s="476"/>
      <c r="K1235" s="476"/>
      <c r="L1235" s="476"/>
      <c r="M1235" s="473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</row>
    <row r="1236" spans="1:27" ht="13">
      <c r="A1236" s="54">
        <v>2025</v>
      </c>
      <c r="B1236" s="472">
        <v>45838</v>
      </c>
      <c r="C1236" s="473" t="s">
        <v>679</v>
      </c>
      <c r="D1236" s="477" t="s">
        <v>482</v>
      </c>
      <c r="E1236" s="477" t="s">
        <v>752</v>
      </c>
      <c r="F1236" s="477" t="s">
        <v>459</v>
      </c>
      <c r="G1236" s="477"/>
      <c r="H1236" s="478">
        <v>2500</v>
      </c>
      <c r="I1236" s="478">
        <v>2500</v>
      </c>
      <c r="J1236" s="478"/>
      <c r="K1236" s="478"/>
      <c r="L1236" s="478"/>
      <c r="M1236" s="477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  <c r="AA1236" s="45"/>
    </row>
    <row r="1237" spans="1:27" ht="13">
      <c r="A1237" s="54">
        <v>2025</v>
      </c>
      <c r="B1237" s="472">
        <v>45838</v>
      </c>
      <c r="C1237" s="473" t="s">
        <v>679</v>
      </c>
      <c r="D1237" s="477" t="s">
        <v>478</v>
      </c>
      <c r="E1237" s="477" t="s">
        <v>479</v>
      </c>
      <c r="F1237" s="477" t="s">
        <v>480</v>
      </c>
      <c r="G1237" s="478"/>
      <c r="H1237" s="610">
        <v>40</v>
      </c>
      <c r="I1237" s="610">
        <v>40</v>
      </c>
      <c r="J1237" s="478"/>
      <c r="K1237" s="478"/>
      <c r="L1237" s="478"/>
      <c r="M1237" s="477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</row>
    <row r="1238" spans="1:27" ht="13">
      <c r="A1238" s="54">
        <v>2025</v>
      </c>
      <c r="B1238" s="472">
        <v>45838</v>
      </c>
      <c r="C1238" s="473" t="s">
        <v>679</v>
      </c>
      <c r="D1238" s="477" t="s">
        <v>482</v>
      </c>
      <c r="E1238" s="477" t="s">
        <v>761</v>
      </c>
      <c r="F1238" s="477" t="s">
        <v>459</v>
      </c>
      <c r="G1238" s="478"/>
      <c r="H1238" s="610">
        <v>2200</v>
      </c>
      <c r="I1238" s="610">
        <v>2200</v>
      </c>
      <c r="J1238" s="478"/>
      <c r="K1238" s="478"/>
      <c r="L1238" s="478"/>
      <c r="M1238" s="477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  <c r="AA1238" s="45"/>
    </row>
    <row r="1239" spans="1:27" ht="13">
      <c r="A1239" s="54">
        <v>2025</v>
      </c>
      <c r="B1239" s="472">
        <v>45838</v>
      </c>
      <c r="C1239" s="473" t="s">
        <v>679</v>
      </c>
      <c r="D1239" s="473" t="s">
        <v>478</v>
      </c>
      <c r="E1239" s="473" t="s">
        <v>701</v>
      </c>
      <c r="F1239" s="473" t="s">
        <v>539</v>
      </c>
      <c r="G1239" s="478"/>
      <c r="H1239" s="610">
        <v>22</v>
      </c>
      <c r="I1239" s="610">
        <v>22</v>
      </c>
      <c r="J1239" s="478"/>
      <c r="K1239" s="478"/>
      <c r="L1239" s="478"/>
      <c r="M1239" s="477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5"/>
    </row>
    <row r="1240" spans="1:27" ht="13">
      <c r="A1240" s="54">
        <v>2025</v>
      </c>
      <c r="B1240" s="472">
        <v>45838</v>
      </c>
      <c r="C1240" s="473" t="s">
        <v>481</v>
      </c>
      <c r="D1240" s="477" t="s">
        <v>482</v>
      </c>
      <c r="E1240" s="477" t="s">
        <v>495</v>
      </c>
      <c r="F1240" s="477" t="s">
        <v>496</v>
      </c>
      <c r="G1240" s="478"/>
      <c r="H1240" s="610"/>
      <c r="I1240" s="610"/>
      <c r="J1240" s="478">
        <v>232093</v>
      </c>
      <c r="K1240" s="478">
        <v>232093</v>
      </c>
      <c r="L1240" s="478"/>
      <c r="M1240" s="477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  <c r="AA1240" s="45"/>
    </row>
    <row r="1241" spans="1:27" ht="13">
      <c r="A1241" s="54">
        <v>2025</v>
      </c>
      <c r="B1241" s="472">
        <v>45838</v>
      </c>
      <c r="C1241" s="473" t="s">
        <v>481</v>
      </c>
      <c r="D1241" s="473" t="s">
        <v>489</v>
      </c>
      <c r="E1241" s="473" t="s">
        <v>463</v>
      </c>
      <c r="F1241" s="473" t="s">
        <v>464</v>
      </c>
      <c r="G1241" s="476"/>
      <c r="H1241" s="476"/>
      <c r="I1241" s="476"/>
      <c r="J1241" s="476">
        <v>7000</v>
      </c>
      <c r="K1241" s="476">
        <v>5737.7</v>
      </c>
      <c r="L1241" s="476">
        <v>1262.3</v>
      </c>
      <c r="M1241" s="473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</row>
    <row r="1242" spans="1:27" ht="13">
      <c r="A1242" s="54">
        <v>2025</v>
      </c>
      <c r="B1242" s="472">
        <v>45838</v>
      </c>
      <c r="C1242" s="473" t="s">
        <v>481</v>
      </c>
      <c r="D1242" s="473" t="s">
        <v>762</v>
      </c>
      <c r="E1242" s="496" t="s">
        <v>654</v>
      </c>
      <c r="F1242" s="473" t="s">
        <v>576</v>
      </c>
      <c r="G1242" s="476"/>
      <c r="H1242" s="476"/>
      <c r="I1242" s="476"/>
      <c r="J1242" s="476"/>
      <c r="K1242" s="476"/>
      <c r="L1242" s="476"/>
      <c r="M1242" s="473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  <c r="AA1242" s="45"/>
    </row>
    <row r="1243" spans="1:27" ht="13">
      <c r="A1243" s="54">
        <v>2025</v>
      </c>
      <c r="B1243" s="472">
        <v>45838</v>
      </c>
      <c r="C1243" s="473" t="s">
        <v>481</v>
      </c>
      <c r="D1243" s="473" t="s">
        <v>491</v>
      </c>
      <c r="E1243" s="473" t="s">
        <v>534</v>
      </c>
      <c r="F1243" s="473" t="s">
        <v>576</v>
      </c>
      <c r="G1243" s="476"/>
      <c r="H1243" s="476">
        <v>16.989999999999998</v>
      </c>
      <c r="I1243" s="476">
        <v>16.989999999999998</v>
      </c>
      <c r="J1243" s="476"/>
      <c r="K1243" s="476"/>
      <c r="L1243" s="476"/>
      <c r="M1243" s="473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  <c r="AA1243" s="45"/>
    </row>
    <row r="1244" spans="1:27" ht="13">
      <c r="A1244" s="54">
        <v>2025</v>
      </c>
      <c r="B1244" s="472">
        <v>45838</v>
      </c>
      <c r="C1244" s="473" t="s">
        <v>481</v>
      </c>
      <c r="D1244" s="473" t="s">
        <v>491</v>
      </c>
      <c r="E1244" s="473" t="s">
        <v>591</v>
      </c>
      <c r="F1244" s="473" t="s">
        <v>576</v>
      </c>
      <c r="G1244" s="476"/>
      <c r="H1244" s="476">
        <v>20</v>
      </c>
      <c r="I1244" s="476">
        <v>20</v>
      </c>
      <c r="J1244" s="476"/>
      <c r="K1244" s="476"/>
      <c r="L1244" s="476"/>
      <c r="M1244" s="473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</row>
    <row r="1245" spans="1:27" ht="13">
      <c r="A1245" s="54">
        <v>2025</v>
      </c>
      <c r="B1245" s="472">
        <v>45838</v>
      </c>
      <c r="C1245" s="473" t="s">
        <v>481</v>
      </c>
      <c r="D1245" s="473" t="s">
        <v>491</v>
      </c>
      <c r="E1245" s="473" t="s">
        <v>639</v>
      </c>
      <c r="F1245" s="473" t="s">
        <v>576</v>
      </c>
      <c r="G1245" s="476"/>
      <c r="H1245" s="476">
        <v>20</v>
      </c>
      <c r="I1245" s="476">
        <v>20</v>
      </c>
      <c r="J1245" s="476"/>
      <c r="K1245" s="476"/>
      <c r="L1245" s="476"/>
      <c r="M1245" s="473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</row>
    <row r="1246" spans="1:27" ht="13">
      <c r="A1246" s="54">
        <v>2025</v>
      </c>
      <c r="B1246" s="472">
        <v>45838</v>
      </c>
      <c r="C1246" s="473" t="s">
        <v>481</v>
      </c>
      <c r="D1246" s="473" t="s">
        <v>491</v>
      </c>
      <c r="E1246" s="473" t="s">
        <v>592</v>
      </c>
      <c r="F1246" s="473" t="s">
        <v>576</v>
      </c>
      <c r="G1246" s="476"/>
      <c r="H1246" s="476">
        <v>40</v>
      </c>
      <c r="I1246" s="476">
        <v>40</v>
      </c>
      <c r="J1246" s="476"/>
      <c r="K1246" s="476"/>
      <c r="L1246" s="476"/>
      <c r="M1246" s="473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  <c r="AA1246" s="45"/>
    </row>
    <row r="1247" spans="1:27" ht="13">
      <c r="A1247" s="54">
        <v>2025</v>
      </c>
      <c r="B1247" s="472">
        <v>45838</v>
      </c>
      <c r="C1247" s="473" t="s">
        <v>481</v>
      </c>
      <c r="D1247" s="473" t="s">
        <v>491</v>
      </c>
      <c r="E1247" s="473" t="s">
        <v>633</v>
      </c>
      <c r="F1247" s="473" t="s">
        <v>576</v>
      </c>
      <c r="G1247" s="476"/>
      <c r="H1247" s="476">
        <v>43.2</v>
      </c>
      <c r="I1247" s="476">
        <v>43.2</v>
      </c>
      <c r="J1247" s="476"/>
      <c r="K1247" s="476"/>
      <c r="L1247" s="476"/>
      <c r="M1247" s="473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  <c r="AA1247" s="45"/>
    </row>
    <row r="1248" spans="1:27" ht="13">
      <c r="A1248" s="54">
        <v>2025</v>
      </c>
      <c r="B1248" s="472">
        <v>45838</v>
      </c>
      <c r="C1248" s="473" t="s">
        <v>481</v>
      </c>
      <c r="D1248" s="473" t="s">
        <v>491</v>
      </c>
      <c r="E1248" s="473" t="s">
        <v>69</v>
      </c>
      <c r="F1248" s="473" t="s">
        <v>576</v>
      </c>
      <c r="G1248" s="476"/>
      <c r="H1248" s="476">
        <v>175.84</v>
      </c>
      <c r="I1248" s="476">
        <v>175.84</v>
      </c>
      <c r="J1248" s="476"/>
      <c r="K1248" s="476"/>
      <c r="L1248" s="476"/>
      <c r="M1248" s="473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  <c r="AA1248" s="45"/>
    </row>
    <row r="1249" spans="1:27" ht="13">
      <c r="A1249" s="54">
        <v>2025</v>
      </c>
      <c r="B1249" s="472">
        <v>45838</v>
      </c>
      <c r="C1249" s="473" t="s">
        <v>481</v>
      </c>
      <c r="D1249" s="473" t="s">
        <v>491</v>
      </c>
      <c r="E1249" s="473" t="s">
        <v>725</v>
      </c>
      <c r="F1249" s="473" t="s">
        <v>576</v>
      </c>
      <c r="G1249" s="476"/>
      <c r="H1249" s="476">
        <v>4.9000000000000004</v>
      </c>
      <c r="I1249" s="476">
        <v>4.9000000000000004</v>
      </c>
      <c r="J1249" s="476"/>
      <c r="K1249" s="476"/>
      <c r="L1249" s="476"/>
      <c r="M1249" s="473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</row>
    <row r="1250" spans="1:27" ht="13">
      <c r="A1250" s="54">
        <v>2025</v>
      </c>
      <c r="B1250" s="472">
        <v>45838</v>
      </c>
      <c r="C1250" s="473" t="s">
        <v>481</v>
      </c>
      <c r="D1250" s="473" t="s">
        <v>491</v>
      </c>
      <c r="E1250" s="473" t="s">
        <v>723</v>
      </c>
      <c r="F1250" s="473" t="s">
        <v>576</v>
      </c>
      <c r="G1250" s="476"/>
      <c r="H1250" s="476">
        <v>183.56</v>
      </c>
      <c r="I1250" s="476">
        <v>183.56</v>
      </c>
      <c r="J1250" s="476"/>
      <c r="K1250" s="476"/>
      <c r="L1250" s="476"/>
      <c r="M1250" s="473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  <c r="AA1250" s="45"/>
    </row>
    <row r="1251" spans="1:27" ht="13">
      <c r="A1251" s="54">
        <v>2025</v>
      </c>
      <c r="B1251" s="472">
        <v>45838</v>
      </c>
      <c r="C1251" s="473" t="s">
        <v>481</v>
      </c>
      <c r="D1251" s="473" t="s">
        <v>491</v>
      </c>
      <c r="E1251" s="473" t="s">
        <v>763</v>
      </c>
      <c r="F1251" s="473" t="s">
        <v>549</v>
      </c>
      <c r="G1251" s="476"/>
      <c r="H1251" s="476">
        <f t="shared" ref="H1251:I1251" si="90">22.17+70.32</f>
        <v>92.49</v>
      </c>
      <c r="I1251" s="476">
        <f t="shared" si="90"/>
        <v>92.49</v>
      </c>
      <c r="J1251" s="476"/>
      <c r="K1251" s="476"/>
      <c r="L1251" s="476"/>
      <c r="M1251" s="473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  <c r="AA1251" s="45"/>
    </row>
    <row r="1252" spans="1:27" ht="13">
      <c r="A1252" s="54">
        <v>2025</v>
      </c>
      <c r="B1252" s="480">
        <v>45838</v>
      </c>
      <c r="C1252" s="477" t="s">
        <v>481</v>
      </c>
      <c r="D1252" s="477" t="s">
        <v>491</v>
      </c>
      <c r="E1252" s="477" t="s">
        <v>602</v>
      </c>
      <c r="F1252" s="477" t="s">
        <v>576</v>
      </c>
      <c r="G1252" s="478"/>
      <c r="H1252" s="478">
        <f t="shared" ref="H1252:I1252" si="91">80.03+5.05+4.95</f>
        <v>90.03</v>
      </c>
      <c r="I1252" s="478">
        <f t="shared" si="91"/>
        <v>90.03</v>
      </c>
      <c r="J1252" s="478"/>
      <c r="K1252" s="478"/>
      <c r="L1252" s="478"/>
      <c r="M1252" s="477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  <c r="AA1252" s="45"/>
    </row>
    <row r="1253" spans="1:27" ht="13">
      <c r="A1253" s="54">
        <v>2025</v>
      </c>
      <c r="B1253" s="472">
        <v>45838</v>
      </c>
      <c r="C1253" s="473" t="s">
        <v>481</v>
      </c>
      <c r="D1253" s="473" t="s">
        <v>491</v>
      </c>
      <c r="E1253" s="473" t="s">
        <v>498</v>
      </c>
      <c r="F1253" s="473" t="s">
        <v>576</v>
      </c>
      <c r="G1253" s="476"/>
      <c r="H1253" s="476"/>
      <c r="I1253" s="476"/>
      <c r="J1253" s="476">
        <v>449</v>
      </c>
      <c r="K1253" s="476">
        <v>449</v>
      </c>
      <c r="L1253" s="476"/>
      <c r="M1253" s="473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  <c r="AA1253" s="45"/>
    </row>
    <row r="1254" spans="1:27" ht="13">
      <c r="A1254" s="54">
        <v>2025</v>
      </c>
      <c r="B1254" s="386">
        <v>45842</v>
      </c>
      <c r="C1254" s="387" t="s">
        <v>481</v>
      </c>
      <c r="D1254" s="387" t="s">
        <v>489</v>
      </c>
      <c r="E1254" s="387" t="s">
        <v>759</v>
      </c>
      <c r="F1254" s="387" t="s">
        <v>685</v>
      </c>
      <c r="G1254" s="387"/>
      <c r="H1254" s="388"/>
      <c r="I1254" s="388"/>
      <c r="J1254" s="388">
        <v>-8523</v>
      </c>
      <c r="K1254" s="388">
        <f>J1254-L1254</f>
        <v>-6986.07</v>
      </c>
      <c r="L1254" s="388">
        <v>-1536.93</v>
      </c>
      <c r="M1254" s="387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</row>
    <row r="1255" spans="1:27" ht="13">
      <c r="A1255" s="54">
        <v>2025</v>
      </c>
      <c r="B1255" s="386">
        <v>45853</v>
      </c>
      <c r="C1255" s="387" t="s">
        <v>481</v>
      </c>
      <c r="D1255" s="387" t="s">
        <v>493</v>
      </c>
      <c r="E1255" s="387" t="s">
        <v>479</v>
      </c>
      <c r="F1255" s="387" t="s">
        <v>539</v>
      </c>
      <c r="G1255" s="387"/>
      <c r="H1255" s="388"/>
      <c r="I1255" s="388"/>
      <c r="J1255" s="388">
        <v>1320</v>
      </c>
      <c r="K1255" s="388">
        <v>1320</v>
      </c>
      <c r="L1255" s="388"/>
      <c r="M1255" s="387"/>
      <c r="N1255" s="45"/>
      <c r="O1255" s="469" t="s">
        <v>457</v>
      </c>
      <c r="P1255" s="470"/>
      <c r="Q1255" s="45"/>
      <c r="R1255" s="45"/>
      <c r="S1255" s="516" t="s">
        <v>669</v>
      </c>
      <c r="T1255" s="517"/>
      <c r="U1255" s="45"/>
      <c r="V1255" s="45"/>
      <c r="W1255" s="45"/>
      <c r="X1255" s="45"/>
      <c r="Y1255" s="45"/>
      <c r="Z1255" s="45"/>
      <c r="AA1255" s="45"/>
    </row>
    <row r="1256" spans="1:27" ht="13">
      <c r="A1256" s="54">
        <v>2025</v>
      </c>
      <c r="B1256" s="386">
        <v>45859</v>
      </c>
      <c r="C1256" s="387" t="s">
        <v>481</v>
      </c>
      <c r="D1256" s="387" t="s">
        <v>489</v>
      </c>
      <c r="E1256" s="387" t="s">
        <v>759</v>
      </c>
      <c r="F1256" s="387" t="s">
        <v>760</v>
      </c>
      <c r="G1256" s="387"/>
      <c r="H1256" s="388"/>
      <c r="I1256" s="388"/>
      <c r="J1256" s="388">
        <v>5435</v>
      </c>
      <c r="K1256" s="388">
        <f>J1256-L1256</f>
        <v>4454.8999999999996</v>
      </c>
      <c r="L1256" s="388">
        <v>980.1</v>
      </c>
      <c r="M1256" s="387"/>
      <c r="N1256" s="45"/>
      <c r="O1256" s="552">
        <f>SUM(Facturacion!I176:I182)</f>
        <v>227567.46100000001</v>
      </c>
      <c r="P1256" s="470"/>
      <c r="Q1256" s="45"/>
      <c r="R1256" s="45"/>
      <c r="S1256" s="491" t="s">
        <v>411</v>
      </c>
      <c r="T1256" s="552">
        <f>SUM(K1254:K1294)</f>
        <v>319064.47000000003</v>
      </c>
      <c r="U1256" s="45"/>
      <c r="V1256" s="45"/>
      <c r="W1256" s="45"/>
      <c r="X1256" s="45"/>
      <c r="Y1256" s="45"/>
      <c r="Z1256" s="45"/>
      <c r="AA1256" s="45"/>
    </row>
    <row r="1257" spans="1:27" ht="13">
      <c r="A1257" s="54">
        <v>2025</v>
      </c>
      <c r="B1257" s="386">
        <v>45862</v>
      </c>
      <c r="C1257" s="387" t="s">
        <v>679</v>
      </c>
      <c r="D1257" s="387" t="s">
        <v>493</v>
      </c>
      <c r="E1257" s="387" t="s">
        <v>755</v>
      </c>
      <c r="F1257" s="387" t="s">
        <v>756</v>
      </c>
      <c r="G1257" s="387"/>
      <c r="H1257" s="388">
        <v>3000</v>
      </c>
      <c r="I1257" s="388">
        <v>3000</v>
      </c>
      <c r="J1257" s="388"/>
      <c r="K1257" s="388"/>
      <c r="L1257" s="388"/>
      <c r="M1257" s="387"/>
      <c r="N1257" s="45"/>
      <c r="O1257" s="469" t="s">
        <v>461</v>
      </c>
      <c r="P1257" s="469" t="s">
        <v>462</v>
      </c>
      <c r="Q1257" s="45"/>
      <c r="R1257" s="45"/>
      <c r="S1257" s="469" t="s">
        <v>584</v>
      </c>
      <c r="T1257" s="552">
        <f>SUM(I1254:I1294)</f>
        <v>14532.699999999999</v>
      </c>
      <c r="U1257" s="45"/>
      <c r="V1257" s="45"/>
      <c r="W1257" s="45"/>
      <c r="X1257" s="45"/>
      <c r="Y1257" s="45"/>
      <c r="Z1257" s="45"/>
      <c r="AA1257" s="45"/>
    </row>
    <row r="1258" spans="1:27" ht="13">
      <c r="A1258" s="54">
        <v>2025</v>
      </c>
      <c r="B1258" s="386">
        <v>45862</v>
      </c>
      <c r="C1258" s="387" t="s">
        <v>679</v>
      </c>
      <c r="D1258" s="387" t="s">
        <v>493</v>
      </c>
      <c r="E1258" s="387" t="s">
        <v>479</v>
      </c>
      <c r="F1258" s="387" t="s">
        <v>480</v>
      </c>
      <c r="G1258" s="387"/>
      <c r="H1258" s="388">
        <v>40</v>
      </c>
      <c r="I1258" s="388">
        <v>40</v>
      </c>
      <c r="J1258" s="388"/>
      <c r="K1258" s="388"/>
      <c r="L1258" s="388"/>
      <c r="M1258" s="387"/>
      <c r="N1258" s="45"/>
      <c r="O1258" s="552">
        <f>SUM(L1254:L1294)</f>
        <v>159412.70324999999</v>
      </c>
      <c r="P1258" s="552">
        <f>(O1256-O1258)</f>
        <v>68154.757750000019</v>
      </c>
      <c r="Q1258" s="45"/>
      <c r="R1258" s="45"/>
      <c r="S1258" s="492"/>
      <c r="T1258" s="492"/>
      <c r="U1258" s="45"/>
      <c r="V1258" s="45"/>
      <c r="W1258" s="45"/>
      <c r="X1258" s="45"/>
      <c r="Y1258" s="45"/>
      <c r="Z1258" s="45"/>
      <c r="AA1258" s="45"/>
    </row>
    <row r="1259" spans="1:27" ht="13">
      <c r="A1259" s="54">
        <v>2025</v>
      </c>
      <c r="B1259" s="386">
        <v>45862</v>
      </c>
      <c r="C1259" s="463" t="s">
        <v>481</v>
      </c>
      <c r="D1259" s="463" t="s">
        <v>493</v>
      </c>
      <c r="E1259" s="463" t="s">
        <v>479</v>
      </c>
      <c r="F1259" s="463" t="s">
        <v>660</v>
      </c>
      <c r="G1259" s="388"/>
      <c r="H1259" s="388">
        <v>25</v>
      </c>
      <c r="I1259" s="388">
        <v>25</v>
      </c>
      <c r="J1259" s="465"/>
      <c r="K1259" s="465"/>
      <c r="L1259" s="465"/>
      <c r="M1259" s="463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</row>
    <row r="1260" spans="1:27" ht="13">
      <c r="A1260" s="54">
        <v>2025</v>
      </c>
      <c r="B1260" s="386">
        <v>45862</v>
      </c>
      <c r="C1260" s="463" t="s">
        <v>481</v>
      </c>
      <c r="D1260" s="463" t="s">
        <v>494</v>
      </c>
      <c r="E1260" s="463" t="s">
        <v>502</v>
      </c>
      <c r="F1260" s="463" t="s">
        <v>522</v>
      </c>
      <c r="G1260" s="388"/>
      <c r="H1260" s="388"/>
      <c r="I1260" s="388"/>
      <c r="J1260" s="465">
        <v>8121</v>
      </c>
      <c r="K1260" s="465">
        <v>8121</v>
      </c>
      <c r="L1260" s="465"/>
      <c r="M1260" s="463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  <c r="AA1260" s="45"/>
    </row>
    <row r="1261" spans="1:27" ht="13">
      <c r="A1261" s="54">
        <v>2025</v>
      </c>
      <c r="B1261" s="386">
        <v>45862</v>
      </c>
      <c r="C1261" s="463" t="s">
        <v>481</v>
      </c>
      <c r="D1261" s="463" t="s">
        <v>494</v>
      </c>
      <c r="E1261" s="463" t="s">
        <v>512</v>
      </c>
      <c r="F1261" s="463" t="s">
        <v>528</v>
      </c>
      <c r="G1261" s="388"/>
      <c r="H1261" s="388"/>
      <c r="I1261" s="388"/>
      <c r="J1261" s="465">
        <v>68155</v>
      </c>
      <c r="K1261" s="465">
        <v>68155</v>
      </c>
      <c r="L1261" s="611"/>
      <c r="M1261" s="463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  <c r="AA1261" s="45"/>
    </row>
    <row r="1262" spans="1:27" ht="13">
      <c r="A1262" s="54">
        <v>2025</v>
      </c>
      <c r="B1262" s="386">
        <v>45862</v>
      </c>
      <c r="C1262" s="463" t="s">
        <v>481</v>
      </c>
      <c r="D1262" s="463" t="s">
        <v>494</v>
      </c>
      <c r="E1262" s="463" t="s">
        <v>512</v>
      </c>
      <c r="F1262" s="463" t="s">
        <v>574</v>
      </c>
      <c r="G1262" s="388"/>
      <c r="H1262" s="388"/>
      <c r="I1262" s="388"/>
      <c r="J1262" s="465">
        <v>3197</v>
      </c>
      <c r="K1262" s="465">
        <v>3197</v>
      </c>
      <c r="L1262" s="611"/>
      <c r="M1262" s="463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  <c r="AA1262" s="45"/>
    </row>
    <row r="1263" spans="1:27" ht="13">
      <c r="A1263" s="54">
        <v>2025</v>
      </c>
      <c r="B1263" s="386">
        <v>45862</v>
      </c>
      <c r="C1263" s="387" t="s">
        <v>679</v>
      </c>
      <c r="D1263" s="387" t="s">
        <v>478</v>
      </c>
      <c r="E1263" s="387" t="s">
        <v>479</v>
      </c>
      <c r="F1263" s="387" t="s">
        <v>480</v>
      </c>
      <c r="G1263" s="388"/>
      <c r="H1263" s="388">
        <f t="shared" ref="H1263:I1263" si="92">(40/4)*2</f>
        <v>20</v>
      </c>
      <c r="I1263" s="388">
        <f t="shared" si="92"/>
        <v>20</v>
      </c>
      <c r="J1263" s="465"/>
      <c r="K1263" s="465"/>
      <c r="L1263" s="465"/>
      <c r="M1263" s="463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</row>
    <row r="1264" spans="1:27" ht="13">
      <c r="A1264" s="54">
        <v>2025</v>
      </c>
      <c r="B1264" s="386">
        <v>45866</v>
      </c>
      <c r="C1264" s="387" t="s">
        <v>481</v>
      </c>
      <c r="D1264" s="387" t="s">
        <v>493</v>
      </c>
      <c r="E1264" s="387" t="s">
        <v>479</v>
      </c>
      <c r="F1264" s="387" t="s">
        <v>624</v>
      </c>
      <c r="G1264" s="388"/>
      <c r="H1264" s="388">
        <v>18.03</v>
      </c>
      <c r="I1264" s="388">
        <v>14.78</v>
      </c>
      <c r="J1264" s="465"/>
      <c r="K1264" s="465"/>
      <c r="L1264" s="465">
        <f>3.25*M1264</f>
        <v>130.00324999999998</v>
      </c>
      <c r="M1264" s="463">
        <v>40.000999999999998</v>
      </c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  <c r="AA1264" s="45"/>
    </row>
    <row r="1265" spans="1:27" ht="13">
      <c r="A1265" s="54">
        <v>2025</v>
      </c>
      <c r="B1265" s="386">
        <v>45869</v>
      </c>
      <c r="C1265" s="387" t="s">
        <v>679</v>
      </c>
      <c r="D1265" s="387" t="s">
        <v>482</v>
      </c>
      <c r="E1265" s="387" t="s">
        <v>680</v>
      </c>
      <c r="F1265" s="387" t="s">
        <v>459</v>
      </c>
      <c r="G1265" s="388"/>
      <c r="H1265" s="388">
        <v>1300</v>
      </c>
      <c r="I1265" s="388">
        <v>1300</v>
      </c>
      <c r="J1265" s="465"/>
      <c r="K1265" s="465"/>
      <c r="L1265" s="465"/>
      <c r="M1265" s="463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</row>
    <row r="1266" spans="1:27" ht="13">
      <c r="A1266" s="54">
        <v>2025</v>
      </c>
      <c r="B1266" s="386">
        <v>45869</v>
      </c>
      <c r="C1266" s="387" t="s">
        <v>679</v>
      </c>
      <c r="D1266" s="387" t="s">
        <v>478</v>
      </c>
      <c r="E1266" s="387" t="s">
        <v>701</v>
      </c>
      <c r="F1266" s="387" t="s">
        <v>539</v>
      </c>
      <c r="G1266" s="388"/>
      <c r="H1266" s="388">
        <v>13.13</v>
      </c>
      <c r="I1266" s="388">
        <v>13.13</v>
      </c>
      <c r="J1266" s="465"/>
      <c r="K1266" s="465"/>
      <c r="L1266" s="465"/>
      <c r="M1266" s="463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  <c r="AA1266" s="45"/>
    </row>
    <row r="1267" spans="1:27" ht="13">
      <c r="A1267" s="54">
        <v>2025</v>
      </c>
      <c r="B1267" s="386">
        <v>45869</v>
      </c>
      <c r="C1267" s="387" t="s">
        <v>481</v>
      </c>
      <c r="D1267" s="387" t="s">
        <v>493</v>
      </c>
      <c r="E1267" s="387" t="s">
        <v>479</v>
      </c>
      <c r="F1267" s="387" t="s">
        <v>660</v>
      </c>
      <c r="G1267" s="388"/>
      <c r="H1267" s="388">
        <v>1.9</v>
      </c>
      <c r="I1267" s="388">
        <v>1.9</v>
      </c>
      <c r="J1267" s="465"/>
      <c r="K1267" s="465"/>
      <c r="L1267" s="465"/>
      <c r="M1267" s="463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</row>
    <row r="1268" spans="1:27" ht="13">
      <c r="A1268" s="54">
        <v>2025</v>
      </c>
      <c r="B1268" s="386">
        <v>45869</v>
      </c>
      <c r="C1268" s="387" t="s">
        <v>474</v>
      </c>
      <c r="D1268" s="387" t="s">
        <v>482</v>
      </c>
      <c r="E1268" s="387" t="s">
        <v>483</v>
      </c>
      <c r="F1268" s="387" t="s">
        <v>459</v>
      </c>
      <c r="G1268" s="388"/>
      <c r="H1268" s="388">
        <v>95</v>
      </c>
      <c r="I1268" s="388">
        <v>95</v>
      </c>
      <c r="J1268" s="465"/>
      <c r="K1268" s="465"/>
      <c r="L1268" s="465"/>
      <c r="M1268" s="463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  <c r="AA1268" s="45"/>
    </row>
    <row r="1269" spans="1:27" ht="13">
      <c r="A1269" s="54">
        <v>2025</v>
      </c>
      <c r="B1269" s="386">
        <v>45869</v>
      </c>
      <c r="C1269" s="387" t="s">
        <v>474</v>
      </c>
      <c r="D1269" s="387" t="s">
        <v>482</v>
      </c>
      <c r="E1269" s="387" t="s">
        <v>483</v>
      </c>
      <c r="F1269" s="387" t="s">
        <v>459</v>
      </c>
      <c r="G1269" s="388"/>
      <c r="H1269" s="388">
        <v>1300</v>
      </c>
      <c r="I1269" s="388">
        <v>1300</v>
      </c>
      <c r="J1269" s="465"/>
      <c r="K1269" s="465"/>
      <c r="L1269" s="465"/>
      <c r="M1269" s="463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</row>
    <row r="1270" spans="1:27" ht="13">
      <c r="A1270" s="54">
        <v>2025</v>
      </c>
      <c r="B1270" s="386">
        <v>45869</v>
      </c>
      <c r="C1270" s="387" t="s">
        <v>474</v>
      </c>
      <c r="D1270" s="387" t="s">
        <v>478</v>
      </c>
      <c r="E1270" s="387" t="s">
        <v>479</v>
      </c>
      <c r="F1270" s="387" t="s">
        <v>480</v>
      </c>
      <c r="G1270" s="388"/>
      <c r="H1270" s="388">
        <v>40</v>
      </c>
      <c r="I1270" s="388">
        <v>40</v>
      </c>
      <c r="J1270" s="465"/>
      <c r="K1270" s="465"/>
      <c r="L1270" s="465"/>
      <c r="M1270" s="463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  <c r="AA1270" s="45"/>
    </row>
    <row r="1271" spans="1:27" ht="13">
      <c r="A1271" s="54">
        <v>2025</v>
      </c>
      <c r="B1271" s="386">
        <v>45869</v>
      </c>
      <c r="C1271" s="387" t="s">
        <v>474</v>
      </c>
      <c r="D1271" s="387" t="s">
        <v>482</v>
      </c>
      <c r="E1271" s="387" t="s">
        <v>535</v>
      </c>
      <c r="F1271" s="387" t="s">
        <v>459</v>
      </c>
      <c r="G1271" s="388"/>
      <c r="H1271" s="388">
        <v>1300</v>
      </c>
      <c r="I1271" s="388">
        <v>1300</v>
      </c>
      <c r="J1271" s="465"/>
      <c r="K1271" s="465"/>
      <c r="L1271" s="465"/>
      <c r="M1271" s="463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</row>
    <row r="1272" spans="1:27" ht="13">
      <c r="A1272" s="54">
        <v>2025</v>
      </c>
      <c r="B1272" s="386">
        <v>45869</v>
      </c>
      <c r="C1272" s="387" t="s">
        <v>474</v>
      </c>
      <c r="D1272" s="387" t="s">
        <v>478</v>
      </c>
      <c r="E1272" s="387" t="s">
        <v>701</v>
      </c>
      <c r="F1272" s="387" t="s">
        <v>539</v>
      </c>
      <c r="G1272" s="388"/>
      <c r="H1272" s="388">
        <v>13.13</v>
      </c>
      <c r="I1272" s="388">
        <v>13.13</v>
      </c>
      <c r="J1272" s="465"/>
      <c r="K1272" s="465"/>
      <c r="L1272" s="465"/>
      <c r="M1272" s="463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</row>
    <row r="1273" spans="1:27" ht="13">
      <c r="A1273" s="54">
        <v>2025</v>
      </c>
      <c r="B1273" s="386">
        <v>45869</v>
      </c>
      <c r="C1273" s="387" t="s">
        <v>474</v>
      </c>
      <c r="D1273" s="387" t="s">
        <v>478</v>
      </c>
      <c r="E1273" s="387" t="s">
        <v>479</v>
      </c>
      <c r="F1273" s="387" t="s">
        <v>480</v>
      </c>
      <c r="G1273" s="388"/>
      <c r="H1273" s="388">
        <f t="shared" ref="H1273:I1273" si="93">(40/4)*2</f>
        <v>20</v>
      </c>
      <c r="I1273" s="388">
        <f t="shared" si="93"/>
        <v>20</v>
      </c>
      <c r="J1273" s="465"/>
      <c r="K1273" s="465"/>
      <c r="L1273" s="465"/>
      <c r="M1273" s="463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  <c r="AA1273" s="45"/>
    </row>
    <row r="1274" spans="1:27" ht="13">
      <c r="A1274" s="54">
        <v>2025</v>
      </c>
      <c r="B1274" s="386">
        <v>45869</v>
      </c>
      <c r="C1274" s="387" t="s">
        <v>474</v>
      </c>
      <c r="D1274" s="387" t="s">
        <v>482</v>
      </c>
      <c r="E1274" s="387" t="s">
        <v>541</v>
      </c>
      <c r="F1274" s="387" t="s">
        <v>459</v>
      </c>
      <c r="G1274" s="388"/>
      <c r="H1274" s="388">
        <v>1300</v>
      </c>
      <c r="I1274" s="388">
        <v>1300</v>
      </c>
      <c r="J1274" s="465"/>
      <c r="K1274" s="465"/>
      <c r="L1274" s="465"/>
      <c r="M1274" s="463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  <c r="AA1274" s="45"/>
    </row>
    <row r="1275" spans="1:27" ht="13">
      <c r="A1275" s="54">
        <v>2025</v>
      </c>
      <c r="B1275" s="386">
        <v>45869</v>
      </c>
      <c r="C1275" s="463" t="s">
        <v>474</v>
      </c>
      <c r="D1275" s="387" t="s">
        <v>478</v>
      </c>
      <c r="E1275" s="387" t="s">
        <v>701</v>
      </c>
      <c r="F1275" s="387" t="s">
        <v>539</v>
      </c>
      <c r="G1275" s="387"/>
      <c r="H1275" s="388">
        <v>13.13</v>
      </c>
      <c r="I1275" s="388">
        <v>13.13</v>
      </c>
      <c r="J1275" s="388"/>
      <c r="K1275" s="388"/>
      <c r="L1275" s="388"/>
      <c r="M1275" s="387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</row>
    <row r="1276" spans="1:27" ht="13">
      <c r="A1276" s="54">
        <v>2025</v>
      </c>
      <c r="B1276" s="386">
        <v>45869</v>
      </c>
      <c r="C1276" s="387" t="s">
        <v>679</v>
      </c>
      <c r="D1276" s="387" t="s">
        <v>482</v>
      </c>
      <c r="E1276" s="387" t="s">
        <v>752</v>
      </c>
      <c r="F1276" s="387" t="s">
        <v>459</v>
      </c>
      <c r="G1276" s="387"/>
      <c r="H1276" s="388">
        <v>2500</v>
      </c>
      <c r="I1276" s="388">
        <v>2500</v>
      </c>
      <c r="J1276" s="388"/>
      <c r="K1276" s="567"/>
      <c r="L1276" s="567"/>
      <c r="M1276" s="568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  <c r="AA1276" s="45"/>
    </row>
    <row r="1277" spans="1:27" ht="13">
      <c r="A1277" s="54">
        <v>2025</v>
      </c>
      <c r="B1277" s="386">
        <v>45869</v>
      </c>
      <c r="C1277" s="387" t="s">
        <v>679</v>
      </c>
      <c r="D1277" s="387" t="s">
        <v>478</v>
      </c>
      <c r="E1277" s="387" t="s">
        <v>701</v>
      </c>
      <c r="F1277" s="387" t="s">
        <v>480</v>
      </c>
      <c r="G1277" s="388"/>
      <c r="H1277" s="467">
        <v>40</v>
      </c>
      <c r="I1277" s="467">
        <v>40</v>
      </c>
      <c r="J1277" s="388"/>
      <c r="K1277" s="567"/>
      <c r="L1277" s="567"/>
      <c r="M1277" s="568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  <c r="AA1277" s="45"/>
    </row>
    <row r="1278" spans="1:27" ht="13">
      <c r="A1278" s="54">
        <v>2025</v>
      </c>
      <c r="B1278" s="386">
        <v>45869</v>
      </c>
      <c r="C1278" s="612" t="s">
        <v>679</v>
      </c>
      <c r="D1278" s="568" t="s">
        <v>482</v>
      </c>
      <c r="E1278" s="568" t="s">
        <v>761</v>
      </c>
      <c r="F1278" s="568" t="s">
        <v>459</v>
      </c>
      <c r="G1278" s="567"/>
      <c r="H1278" s="613">
        <v>3000</v>
      </c>
      <c r="I1278" s="613">
        <v>3000</v>
      </c>
      <c r="J1278" s="567"/>
      <c r="K1278" s="567"/>
      <c r="L1278" s="567"/>
      <c r="M1278" s="568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  <c r="AA1278" s="45"/>
    </row>
    <row r="1279" spans="1:27" ht="13">
      <c r="A1279" s="54">
        <v>2025</v>
      </c>
      <c r="B1279" s="386">
        <v>45869</v>
      </c>
      <c r="C1279" s="387" t="s">
        <v>679</v>
      </c>
      <c r="D1279" s="387" t="s">
        <v>478</v>
      </c>
      <c r="E1279" s="387" t="s">
        <v>701</v>
      </c>
      <c r="F1279" s="387" t="s">
        <v>539</v>
      </c>
      <c r="G1279" s="567"/>
      <c r="H1279" s="613">
        <v>30.3</v>
      </c>
      <c r="I1279" s="613">
        <v>30.3</v>
      </c>
      <c r="J1279" s="567"/>
      <c r="K1279" s="567"/>
      <c r="L1279" s="567"/>
      <c r="M1279" s="568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</row>
    <row r="1280" spans="1:27" ht="13">
      <c r="A1280" s="54">
        <v>2025</v>
      </c>
      <c r="B1280" s="386">
        <v>45869</v>
      </c>
      <c r="C1280" s="568" t="s">
        <v>481</v>
      </c>
      <c r="D1280" s="568" t="s">
        <v>482</v>
      </c>
      <c r="E1280" s="568" t="s">
        <v>495</v>
      </c>
      <c r="F1280" s="568" t="s">
        <v>496</v>
      </c>
      <c r="G1280" s="567"/>
      <c r="H1280" s="613"/>
      <c r="I1280" s="613"/>
      <c r="J1280" s="567">
        <v>232093</v>
      </c>
      <c r="K1280" s="567">
        <v>232093</v>
      </c>
      <c r="L1280" s="567"/>
      <c r="M1280" s="568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  <c r="AA1280" s="45"/>
    </row>
    <row r="1281" spans="1:27" ht="13">
      <c r="A1281" s="54">
        <v>2025</v>
      </c>
      <c r="B1281" s="386">
        <v>45869</v>
      </c>
      <c r="C1281" s="387" t="s">
        <v>481</v>
      </c>
      <c r="D1281" s="387" t="s">
        <v>489</v>
      </c>
      <c r="E1281" s="387" t="s">
        <v>463</v>
      </c>
      <c r="F1281" s="387" t="s">
        <v>464</v>
      </c>
      <c r="G1281" s="388"/>
      <c r="H1281" s="388"/>
      <c r="I1281" s="388"/>
      <c r="J1281" s="388">
        <v>7000</v>
      </c>
      <c r="K1281" s="388">
        <v>5737.7</v>
      </c>
      <c r="L1281" s="388">
        <v>1262.3</v>
      </c>
      <c r="M1281" s="387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</row>
    <row r="1282" spans="1:27" ht="13">
      <c r="A1282" s="54">
        <v>2025</v>
      </c>
      <c r="B1282" s="386">
        <v>45869</v>
      </c>
      <c r="C1282" s="387" t="s">
        <v>481</v>
      </c>
      <c r="D1282" s="387" t="s">
        <v>491</v>
      </c>
      <c r="E1282" s="507" t="s">
        <v>654</v>
      </c>
      <c r="F1282" s="387" t="s">
        <v>576</v>
      </c>
      <c r="G1282" s="387"/>
      <c r="H1282" s="467"/>
      <c r="I1282" s="467"/>
      <c r="J1282" s="388">
        <f t="shared" ref="J1282:K1282" si="94">31.1+1555</f>
        <v>1586.1</v>
      </c>
      <c r="K1282" s="388">
        <f t="shared" si="94"/>
        <v>1586.1</v>
      </c>
      <c r="L1282" s="388"/>
      <c r="M1282" s="387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</row>
    <row r="1283" spans="1:27" ht="13">
      <c r="A1283" s="54">
        <v>2025</v>
      </c>
      <c r="B1283" s="386">
        <v>45869</v>
      </c>
      <c r="C1283" s="387" t="s">
        <v>481</v>
      </c>
      <c r="D1283" s="387" t="s">
        <v>491</v>
      </c>
      <c r="E1283" s="387" t="s">
        <v>534</v>
      </c>
      <c r="F1283" s="387" t="s">
        <v>576</v>
      </c>
      <c r="G1283" s="387"/>
      <c r="H1283" s="388">
        <v>16.989999999999998</v>
      </c>
      <c r="I1283" s="388">
        <v>16.989999999999998</v>
      </c>
      <c r="J1283" s="388"/>
      <c r="K1283" s="388"/>
      <c r="L1283" s="388"/>
      <c r="M1283" s="387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</row>
    <row r="1284" spans="1:27" ht="13">
      <c r="A1284" s="54">
        <v>2025</v>
      </c>
      <c r="B1284" s="386">
        <v>45869</v>
      </c>
      <c r="C1284" s="387" t="s">
        <v>481</v>
      </c>
      <c r="D1284" s="387" t="s">
        <v>491</v>
      </c>
      <c r="E1284" s="387" t="s">
        <v>639</v>
      </c>
      <c r="F1284" s="387" t="s">
        <v>576</v>
      </c>
      <c r="G1284" s="387"/>
      <c r="H1284" s="388">
        <v>20</v>
      </c>
      <c r="I1284" s="388">
        <v>20</v>
      </c>
      <c r="J1284" s="388"/>
      <c r="K1284" s="388"/>
      <c r="L1284" s="388"/>
      <c r="M1284" s="387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  <c r="AA1284" s="45"/>
    </row>
    <row r="1285" spans="1:27" ht="13">
      <c r="A1285" s="54">
        <v>2025</v>
      </c>
      <c r="B1285" s="386">
        <v>45869</v>
      </c>
      <c r="C1285" s="387" t="s">
        <v>481</v>
      </c>
      <c r="D1285" s="387" t="s">
        <v>491</v>
      </c>
      <c r="E1285" s="387" t="s">
        <v>592</v>
      </c>
      <c r="F1285" s="387" t="s">
        <v>576</v>
      </c>
      <c r="G1285" s="387"/>
      <c r="H1285" s="388">
        <v>40</v>
      </c>
      <c r="I1285" s="388">
        <v>40</v>
      </c>
      <c r="J1285" s="388"/>
      <c r="K1285" s="388"/>
      <c r="L1285" s="388"/>
      <c r="M1285" s="387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5"/>
    </row>
    <row r="1286" spans="1:27" ht="13">
      <c r="A1286" s="54">
        <v>2025</v>
      </c>
      <c r="B1286" s="386">
        <v>45869</v>
      </c>
      <c r="C1286" s="387" t="s">
        <v>481</v>
      </c>
      <c r="D1286" s="387" t="s">
        <v>491</v>
      </c>
      <c r="E1286" s="387" t="s">
        <v>633</v>
      </c>
      <c r="F1286" s="387" t="s">
        <v>576</v>
      </c>
      <c r="G1286" s="387"/>
      <c r="H1286" s="388">
        <v>43.2</v>
      </c>
      <c r="I1286" s="388">
        <v>43.2</v>
      </c>
      <c r="J1286" s="388"/>
      <c r="K1286" s="388"/>
      <c r="L1286" s="388"/>
      <c r="M1286" s="387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  <c r="AA1286" s="45"/>
    </row>
    <row r="1287" spans="1:27" ht="13">
      <c r="A1287" s="54">
        <v>2025</v>
      </c>
      <c r="B1287" s="386">
        <v>45869</v>
      </c>
      <c r="C1287" s="387" t="s">
        <v>481</v>
      </c>
      <c r="D1287" s="387" t="s">
        <v>491</v>
      </c>
      <c r="E1287" s="387" t="s">
        <v>69</v>
      </c>
      <c r="F1287" s="387" t="s">
        <v>576</v>
      </c>
      <c r="G1287" s="387"/>
      <c r="H1287" s="388">
        <v>169.05</v>
      </c>
      <c r="I1287" s="388">
        <v>169.05</v>
      </c>
      <c r="J1287" s="388"/>
      <c r="K1287" s="388"/>
      <c r="L1287" s="388"/>
      <c r="M1287" s="387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  <c r="AA1287" s="45"/>
    </row>
    <row r="1288" spans="1:27" ht="13">
      <c r="A1288" s="54">
        <v>2025</v>
      </c>
      <c r="B1288" s="386">
        <v>45869</v>
      </c>
      <c r="C1288" s="387" t="s">
        <v>481</v>
      </c>
      <c r="D1288" s="387" t="s">
        <v>491</v>
      </c>
      <c r="E1288" s="387" t="s">
        <v>725</v>
      </c>
      <c r="F1288" s="387" t="s">
        <v>576</v>
      </c>
      <c r="G1288" s="387"/>
      <c r="H1288" s="388">
        <v>5.51</v>
      </c>
      <c r="I1288" s="388">
        <v>5.51</v>
      </c>
      <c r="J1288" s="388"/>
      <c r="K1288" s="388"/>
      <c r="L1288" s="388"/>
      <c r="M1288" s="387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  <c r="AA1288" s="45"/>
    </row>
    <row r="1289" spans="1:27" ht="13">
      <c r="A1289" s="54">
        <v>2025</v>
      </c>
      <c r="B1289" s="386">
        <v>45869</v>
      </c>
      <c r="C1289" s="387" t="s">
        <v>481</v>
      </c>
      <c r="D1289" s="387" t="s">
        <v>491</v>
      </c>
      <c r="E1289" s="387" t="s">
        <v>723</v>
      </c>
      <c r="F1289" s="387" t="s">
        <v>576</v>
      </c>
      <c r="G1289" s="387"/>
      <c r="H1289" s="388">
        <v>171.58</v>
      </c>
      <c r="I1289" s="388">
        <v>171.58</v>
      </c>
      <c r="J1289" s="388"/>
      <c r="K1289" s="388"/>
      <c r="L1289" s="388"/>
      <c r="M1289" s="387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</row>
    <row r="1290" spans="1:27" ht="13">
      <c r="A1290" s="54">
        <v>2025</v>
      </c>
      <c r="B1290" s="386">
        <v>45869</v>
      </c>
      <c r="C1290" s="387" t="s">
        <v>481</v>
      </c>
      <c r="D1290" s="387" t="s">
        <v>491</v>
      </c>
      <c r="E1290" s="568" t="s">
        <v>498</v>
      </c>
      <c r="F1290" s="568" t="s">
        <v>576</v>
      </c>
      <c r="G1290" s="387"/>
      <c r="H1290" s="388"/>
      <c r="I1290" s="388"/>
      <c r="J1290" s="388">
        <v>449</v>
      </c>
      <c r="K1290" s="388">
        <v>449</v>
      </c>
      <c r="L1290" s="388"/>
      <c r="M1290" s="387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  <c r="AA1290" s="45"/>
    </row>
    <row r="1291" spans="1:27" ht="13">
      <c r="A1291" s="614">
        <v>2025</v>
      </c>
      <c r="B1291" s="615">
        <v>45869</v>
      </c>
      <c r="C1291" s="616" t="s">
        <v>481</v>
      </c>
      <c r="D1291" s="616" t="s">
        <v>493</v>
      </c>
      <c r="E1291" s="617" t="s">
        <v>400</v>
      </c>
      <c r="F1291" s="617" t="s">
        <v>764</v>
      </c>
      <c r="G1291" s="616"/>
      <c r="H1291" s="618"/>
      <c r="I1291" s="618"/>
      <c r="J1291" s="618"/>
      <c r="K1291" s="618"/>
      <c r="L1291" s="618">
        <v>8371.35</v>
      </c>
      <c r="M1291" s="616"/>
      <c r="N1291" s="619"/>
      <c r="O1291" s="619"/>
      <c r="P1291" s="619"/>
      <c r="Q1291" s="619"/>
      <c r="R1291" s="619"/>
      <c r="S1291" s="619"/>
      <c r="T1291" s="619"/>
      <c r="U1291" s="619"/>
      <c r="V1291" s="619"/>
      <c r="W1291" s="619"/>
      <c r="X1291" s="619"/>
      <c r="Y1291" s="619"/>
      <c r="Z1291" s="619"/>
      <c r="AA1291" s="619"/>
    </row>
    <row r="1292" spans="1:27" ht="13">
      <c r="A1292" s="54">
        <v>2025</v>
      </c>
      <c r="B1292" s="386">
        <v>45869</v>
      </c>
      <c r="C1292" s="387" t="s">
        <v>481</v>
      </c>
      <c r="D1292" s="387" t="s">
        <v>493</v>
      </c>
      <c r="E1292" s="568" t="s">
        <v>765</v>
      </c>
      <c r="F1292" s="568" t="s">
        <v>766</v>
      </c>
      <c r="G1292" s="387"/>
      <c r="H1292" s="388"/>
      <c r="I1292" s="388"/>
      <c r="J1292" s="388"/>
      <c r="K1292" s="388"/>
      <c r="L1292" s="388">
        <f>3740*M1292</f>
        <v>150205.88</v>
      </c>
      <c r="M1292" s="387">
        <v>40.161999999999999</v>
      </c>
      <c r="N1292" s="45"/>
      <c r="O1292" s="45"/>
      <c r="P1292" s="45" t="s">
        <v>767</v>
      </c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  <c r="AA1292" s="45"/>
    </row>
    <row r="1293" spans="1:27" ht="13">
      <c r="A1293" s="54">
        <v>2025</v>
      </c>
      <c r="B1293" s="620">
        <v>45869</v>
      </c>
      <c r="C1293" s="621" t="s">
        <v>481</v>
      </c>
      <c r="D1293" s="621" t="s">
        <v>493</v>
      </c>
      <c r="E1293" s="622" t="s">
        <v>63</v>
      </c>
      <c r="F1293" s="622" t="s">
        <v>539</v>
      </c>
      <c r="G1293" s="623"/>
      <c r="H1293" s="624"/>
      <c r="I1293" s="624"/>
      <c r="J1293" s="624">
        <v>859.03</v>
      </c>
      <c r="K1293" s="624">
        <v>859.03</v>
      </c>
      <c r="L1293" s="624"/>
      <c r="M1293" s="623"/>
      <c r="N1293" s="62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</row>
    <row r="1294" spans="1:27" ht="13">
      <c r="A1294" s="54">
        <v>2025</v>
      </c>
      <c r="B1294" s="626">
        <v>45869</v>
      </c>
      <c r="C1294" s="622" t="s">
        <v>481</v>
      </c>
      <c r="D1294" s="622" t="s">
        <v>493</v>
      </c>
      <c r="E1294" s="622" t="s">
        <v>63</v>
      </c>
      <c r="F1294" s="622" t="s">
        <v>660</v>
      </c>
      <c r="G1294" s="622"/>
      <c r="H1294" s="627"/>
      <c r="I1294" s="627"/>
      <c r="J1294" s="627">
        <v>77.81</v>
      </c>
      <c r="K1294" s="627">
        <v>77.81</v>
      </c>
      <c r="L1294" s="627"/>
      <c r="M1294" s="622"/>
      <c r="N1294" s="62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</row>
    <row r="1295" spans="1:27" ht="13">
      <c r="A1295" s="54">
        <v>2025</v>
      </c>
      <c r="B1295" s="628">
        <v>45869</v>
      </c>
      <c r="C1295" s="629" t="s">
        <v>481</v>
      </c>
      <c r="D1295" s="629" t="s">
        <v>489</v>
      </c>
      <c r="E1295" s="629" t="s">
        <v>515</v>
      </c>
      <c r="F1295" s="629" t="s">
        <v>648</v>
      </c>
      <c r="G1295" s="629"/>
      <c r="H1295" s="630"/>
      <c r="I1295" s="630"/>
      <c r="J1295" s="630"/>
      <c r="K1295" s="630"/>
      <c r="L1295" s="630">
        <v>135.63</v>
      </c>
      <c r="M1295" s="629"/>
      <c r="N1295" s="625"/>
      <c r="O1295" s="45" t="s">
        <v>768</v>
      </c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  <c r="AA1295" s="45"/>
    </row>
    <row r="1296" spans="1:27" ht="13">
      <c r="A1296" s="54">
        <v>2025</v>
      </c>
      <c r="B1296" s="628">
        <v>45869</v>
      </c>
      <c r="C1296" s="629" t="s">
        <v>481</v>
      </c>
      <c r="D1296" s="629" t="s">
        <v>489</v>
      </c>
      <c r="E1296" s="629" t="s">
        <v>515</v>
      </c>
      <c r="F1296" s="629" t="s">
        <v>648</v>
      </c>
      <c r="G1296" s="629"/>
      <c r="H1296" s="630"/>
      <c r="I1296" s="630"/>
      <c r="J1296" s="630"/>
      <c r="K1296" s="630"/>
      <c r="L1296" s="630">
        <v>135.63</v>
      </c>
      <c r="M1296" s="629"/>
      <c r="N1296" s="625"/>
      <c r="O1296" s="45" t="s">
        <v>769</v>
      </c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  <c r="AA1296" s="45"/>
    </row>
    <row r="1297" spans="1:27" ht="13">
      <c r="A1297" s="54">
        <v>2025</v>
      </c>
      <c r="B1297" s="628">
        <v>45870</v>
      </c>
      <c r="C1297" s="629" t="s">
        <v>481</v>
      </c>
      <c r="D1297" s="629" t="s">
        <v>489</v>
      </c>
      <c r="E1297" s="629" t="s">
        <v>770</v>
      </c>
      <c r="F1297" s="629" t="s">
        <v>771</v>
      </c>
      <c r="G1297" s="629"/>
      <c r="H1297" s="630"/>
      <c r="I1297" s="630"/>
      <c r="J1297" s="630">
        <v>21960</v>
      </c>
      <c r="K1297" s="630">
        <f>J1297-L1297</f>
        <v>18000</v>
      </c>
      <c r="L1297" s="630">
        <v>3960</v>
      </c>
      <c r="M1297" s="629"/>
      <c r="N1297" s="62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</row>
    <row r="1298" spans="1:27" ht="13">
      <c r="A1298" s="54">
        <v>2025</v>
      </c>
      <c r="B1298" s="628">
        <v>45870</v>
      </c>
      <c r="C1298" s="629" t="s">
        <v>481</v>
      </c>
      <c r="D1298" s="629" t="s">
        <v>489</v>
      </c>
      <c r="E1298" s="629" t="s">
        <v>770</v>
      </c>
      <c r="F1298" s="629" t="s">
        <v>771</v>
      </c>
      <c r="G1298" s="629"/>
      <c r="H1298" s="630"/>
      <c r="I1298" s="630"/>
      <c r="J1298" s="630">
        <v>42052</v>
      </c>
      <c r="K1298" s="630">
        <v>46012</v>
      </c>
      <c r="L1298" s="630"/>
      <c r="M1298" s="629"/>
      <c r="N1298" s="62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  <c r="AA1298" s="45"/>
    </row>
    <row r="1299" spans="1:27" ht="13">
      <c r="A1299" s="54">
        <v>2025</v>
      </c>
      <c r="B1299" s="628">
        <v>45874</v>
      </c>
      <c r="C1299" s="629" t="s">
        <v>481</v>
      </c>
      <c r="D1299" s="629" t="s">
        <v>493</v>
      </c>
      <c r="E1299" s="629" t="s">
        <v>595</v>
      </c>
      <c r="F1299" s="629" t="s">
        <v>700</v>
      </c>
      <c r="G1299" s="629"/>
      <c r="H1299" s="630"/>
      <c r="I1299" s="630"/>
      <c r="J1299" s="630">
        <v>2450</v>
      </c>
      <c r="K1299" s="630">
        <f>J1299-L1299</f>
        <v>2008.2</v>
      </c>
      <c r="L1299" s="630">
        <v>441.8</v>
      </c>
      <c r="M1299" s="629"/>
      <c r="N1299" s="62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  <c r="AA1299" s="45"/>
    </row>
    <row r="1300" spans="1:27" ht="13">
      <c r="A1300" s="54">
        <v>2025</v>
      </c>
      <c r="B1300" s="631">
        <v>45875</v>
      </c>
      <c r="C1300" s="632" t="s">
        <v>481</v>
      </c>
      <c r="D1300" s="632" t="s">
        <v>493</v>
      </c>
      <c r="E1300" s="633" t="s">
        <v>772</v>
      </c>
      <c r="F1300" s="633" t="s">
        <v>700</v>
      </c>
      <c r="G1300" s="632"/>
      <c r="H1300" s="634"/>
      <c r="I1300" s="634"/>
      <c r="J1300" s="634"/>
      <c r="K1300" s="634"/>
      <c r="L1300" s="634">
        <v>142.28</v>
      </c>
      <c r="M1300" s="632"/>
      <c r="N1300" s="625"/>
      <c r="O1300" s="469" t="s">
        <v>457</v>
      </c>
      <c r="P1300" s="470"/>
      <c r="Q1300" s="45"/>
      <c r="R1300" s="45"/>
      <c r="S1300" s="491" t="s">
        <v>669</v>
      </c>
      <c r="T1300" s="492"/>
      <c r="U1300" s="45"/>
      <c r="V1300" s="45"/>
      <c r="W1300" s="45"/>
      <c r="X1300" s="45"/>
      <c r="Y1300" s="45"/>
      <c r="Z1300" s="45"/>
      <c r="AA1300" s="45"/>
    </row>
    <row r="1301" spans="1:27" ht="13">
      <c r="A1301" s="54">
        <v>2025</v>
      </c>
      <c r="B1301" s="628">
        <v>45875</v>
      </c>
      <c r="C1301" s="629" t="s">
        <v>481</v>
      </c>
      <c r="D1301" s="629" t="s">
        <v>493</v>
      </c>
      <c r="E1301" s="635" t="s">
        <v>773</v>
      </c>
      <c r="F1301" s="635" t="s">
        <v>700</v>
      </c>
      <c r="G1301" s="629"/>
      <c r="H1301" s="630"/>
      <c r="I1301" s="630"/>
      <c r="J1301" s="630"/>
      <c r="K1301" s="630"/>
      <c r="L1301" s="630">
        <v>351.64</v>
      </c>
      <c r="M1301" s="629"/>
      <c r="N1301" s="625"/>
      <c r="O1301" s="552">
        <f>SUM(Facturacion!I183:I188)</f>
        <v>230411.20299999998</v>
      </c>
      <c r="P1301" s="470"/>
      <c r="Q1301" s="45"/>
      <c r="R1301" s="45"/>
      <c r="S1301" s="491" t="s">
        <v>411</v>
      </c>
      <c r="T1301" s="552">
        <f>SUM(K1295:K1351)</f>
        <v>625735.64000000013</v>
      </c>
      <c r="U1301" s="45"/>
      <c r="V1301" s="45"/>
      <c r="W1301" s="45"/>
      <c r="X1301" s="45"/>
      <c r="Y1301" s="45"/>
      <c r="Z1301" s="45"/>
      <c r="AA1301" s="45"/>
    </row>
    <row r="1302" spans="1:27" ht="13">
      <c r="A1302" s="54">
        <v>2025</v>
      </c>
      <c r="B1302" s="628">
        <v>45879</v>
      </c>
      <c r="C1302" s="629" t="s">
        <v>481</v>
      </c>
      <c r="D1302" s="629" t="s">
        <v>493</v>
      </c>
      <c r="E1302" s="635" t="s">
        <v>774</v>
      </c>
      <c r="F1302" s="635" t="s">
        <v>700</v>
      </c>
      <c r="G1302" s="629"/>
      <c r="H1302" s="630"/>
      <c r="I1302" s="630"/>
      <c r="J1302" s="630"/>
      <c r="K1302" s="630"/>
      <c r="L1302" s="630">
        <v>449.92</v>
      </c>
      <c r="M1302" s="629"/>
      <c r="N1302" s="625"/>
      <c r="O1302" s="469" t="s">
        <v>461</v>
      </c>
      <c r="P1302" s="469" t="s">
        <v>462</v>
      </c>
      <c r="Q1302" s="45"/>
      <c r="R1302" s="45"/>
      <c r="S1302" s="469" t="s">
        <v>584</v>
      </c>
      <c r="T1302" s="552">
        <f>SUM(I1295:I1351)</f>
        <v>17593.329999999998</v>
      </c>
      <c r="U1302" s="45"/>
      <c r="V1302" s="45"/>
      <c r="W1302" s="45"/>
      <c r="X1302" s="45"/>
      <c r="Y1302" s="45"/>
      <c r="Z1302" s="45"/>
      <c r="AA1302" s="45"/>
    </row>
    <row r="1303" spans="1:27" ht="13">
      <c r="A1303" s="54">
        <v>2025</v>
      </c>
      <c r="B1303" s="628">
        <v>45880</v>
      </c>
      <c r="C1303" s="629" t="s">
        <v>481</v>
      </c>
      <c r="D1303" s="629" t="s">
        <v>493</v>
      </c>
      <c r="E1303" s="635" t="s">
        <v>63</v>
      </c>
      <c r="F1303" s="635" t="s">
        <v>660</v>
      </c>
      <c r="G1303" s="629"/>
      <c r="H1303" s="630">
        <v>1.9</v>
      </c>
      <c r="I1303" s="630">
        <v>1.9</v>
      </c>
      <c r="J1303" s="630"/>
      <c r="K1303" s="630"/>
      <c r="L1303" s="630"/>
      <c r="M1303" s="629"/>
      <c r="N1303" s="625"/>
      <c r="O1303" s="552">
        <f>SUM(L1295:L1351)</f>
        <v>47186.7696</v>
      </c>
      <c r="P1303" s="552">
        <f>(O1301-O1303)</f>
        <v>183224.43339999998</v>
      </c>
      <c r="Q1303" s="45"/>
      <c r="R1303" s="45"/>
      <c r="S1303" s="492"/>
      <c r="T1303" s="492"/>
      <c r="U1303" s="45"/>
      <c r="V1303" s="45"/>
      <c r="W1303" s="45"/>
      <c r="X1303" s="45"/>
      <c r="Y1303" s="45"/>
      <c r="Z1303" s="45"/>
      <c r="AA1303" s="45"/>
    </row>
    <row r="1304" spans="1:27" ht="13">
      <c r="A1304" s="54">
        <v>2025</v>
      </c>
      <c r="B1304" s="628">
        <v>45882</v>
      </c>
      <c r="C1304" s="629" t="s">
        <v>481</v>
      </c>
      <c r="D1304" s="629" t="s">
        <v>493</v>
      </c>
      <c r="E1304" s="635" t="s">
        <v>775</v>
      </c>
      <c r="F1304" s="635" t="s">
        <v>689</v>
      </c>
      <c r="G1304" s="629"/>
      <c r="H1304" s="630"/>
      <c r="I1304" s="630"/>
      <c r="J1304" s="630"/>
      <c r="K1304" s="630"/>
      <c r="L1304" s="630">
        <v>126.23</v>
      </c>
      <c r="M1304" s="629"/>
      <c r="N1304" s="62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  <c r="AA1304" s="45"/>
    </row>
    <row r="1305" spans="1:27" ht="13">
      <c r="A1305" s="54">
        <v>2025</v>
      </c>
      <c r="B1305" s="628">
        <v>45887</v>
      </c>
      <c r="C1305" s="629" t="s">
        <v>481</v>
      </c>
      <c r="D1305" s="629" t="s">
        <v>493</v>
      </c>
      <c r="E1305" s="635" t="s">
        <v>479</v>
      </c>
      <c r="F1305" s="635" t="s">
        <v>539</v>
      </c>
      <c r="G1305" s="629"/>
      <c r="H1305" s="630"/>
      <c r="I1305" s="630"/>
      <c r="J1305" s="630">
        <v>1320</v>
      </c>
      <c r="K1305" s="630">
        <v>1320</v>
      </c>
      <c r="L1305" s="630"/>
      <c r="M1305" s="629"/>
      <c r="N1305" s="62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  <c r="AA1305" s="45"/>
    </row>
    <row r="1306" spans="1:27" ht="13">
      <c r="A1306" s="54">
        <v>2025</v>
      </c>
      <c r="B1306" s="628">
        <v>45888</v>
      </c>
      <c r="C1306" s="629" t="s">
        <v>481</v>
      </c>
      <c r="D1306" s="629" t="s">
        <v>493</v>
      </c>
      <c r="E1306" s="635" t="s">
        <v>63</v>
      </c>
      <c r="F1306" s="635" t="s">
        <v>660</v>
      </c>
      <c r="G1306" s="629"/>
      <c r="H1306" s="630">
        <v>1.9</v>
      </c>
      <c r="I1306" s="630">
        <v>1.9</v>
      </c>
      <c r="J1306" s="630"/>
      <c r="K1306" s="630"/>
      <c r="L1306" s="630"/>
      <c r="M1306" s="629"/>
      <c r="N1306" s="62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5"/>
    </row>
    <row r="1307" spans="1:27" ht="13">
      <c r="A1307" s="54">
        <v>2025</v>
      </c>
      <c r="B1307" s="628">
        <v>45888</v>
      </c>
      <c r="C1307" s="629" t="s">
        <v>481</v>
      </c>
      <c r="D1307" s="629" t="s">
        <v>493</v>
      </c>
      <c r="E1307" s="629" t="s">
        <v>776</v>
      </c>
      <c r="F1307" s="629" t="s">
        <v>777</v>
      </c>
      <c r="G1307" s="629"/>
      <c r="H1307" s="630">
        <v>120</v>
      </c>
      <c r="I1307" s="630">
        <v>120</v>
      </c>
      <c r="J1307" s="630"/>
      <c r="K1307" s="630"/>
      <c r="L1307" s="630"/>
      <c r="M1307" s="629"/>
      <c r="N1307" s="62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  <c r="AA1307" s="45"/>
    </row>
    <row r="1308" spans="1:27" ht="13">
      <c r="A1308" s="54">
        <v>2025</v>
      </c>
      <c r="B1308" s="628">
        <v>45888</v>
      </c>
      <c r="C1308" s="473" t="s">
        <v>481</v>
      </c>
      <c r="D1308" s="473" t="s">
        <v>494</v>
      </c>
      <c r="E1308" s="473" t="s">
        <v>502</v>
      </c>
      <c r="F1308" s="473" t="s">
        <v>522</v>
      </c>
      <c r="G1308" s="629"/>
      <c r="H1308" s="630"/>
      <c r="I1308" s="630"/>
      <c r="J1308" s="630">
        <v>15223</v>
      </c>
      <c r="K1308" s="630">
        <v>15223</v>
      </c>
      <c r="L1308" s="630"/>
      <c r="M1308" s="629"/>
      <c r="N1308" s="62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  <c r="AA1308" s="45"/>
    </row>
    <row r="1309" spans="1:27" ht="13">
      <c r="A1309" s="54">
        <v>2025</v>
      </c>
      <c r="B1309" s="628">
        <v>45888</v>
      </c>
      <c r="C1309" s="473" t="s">
        <v>481</v>
      </c>
      <c r="D1309" s="473" t="s">
        <v>494</v>
      </c>
      <c r="E1309" s="473" t="s">
        <v>512</v>
      </c>
      <c r="F1309" s="473" t="s">
        <v>528</v>
      </c>
      <c r="G1309" s="629"/>
      <c r="H1309" s="630"/>
      <c r="I1309" s="630"/>
      <c r="J1309" s="630">
        <v>183225</v>
      </c>
      <c r="K1309" s="630">
        <v>183225</v>
      </c>
      <c r="L1309" s="630"/>
      <c r="M1309" s="629"/>
      <c r="N1309" s="62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  <c r="AA1309" s="45"/>
    </row>
    <row r="1310" spans="1:27" ht="13">
      <c r="A1310" s="54">
        <v>2025</v>
      </c>
      <c r="B1310" s="628">
        <v>45888</v>
      </c>
      <c r="C1310" s="473" t="s">
        <v>481</v>
      </c>
      <c r="D1310" s="473" t="s">
        <v>494</v>
      </c>
      <c r="E1310" s="473" t="s">
        <v>512</v>
      </c>
      <c r="F1310" s="473" t="s">
        <v>51</v>
      </c>
      <c r="G1310" s="629"/>
      <c r="H1310" s="630"/>
      <c r="I1310" s="630"/>
      <c r="J1310" s="630">
        <v>8110</v>
      </c>
      <c r="K1310" s="630">
        <v>8110</v>
      </c>
      <c r="L1310" s="630"/>
      <c r="M1310" s="629"/>
      <c r="N1310" s="62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  <c r="AA1310" s="45"/>
    </row>
    <row r="1311" spans="1:27" ht="13">
      <c r="A1311" s="54">
        <v>2025</v>
      </c>
      <c r="B1311" s="628">
        <v>45888</v>
      </c>
      <c r="C1311" s="473" t="s">
        <v>481</v>
      </c>
      <c r="D1311" s="473" t="s">
        <v>494</v>
      </c>
      <c r="E1311" s="473" t="s">
        <v>512</v>
      </c>
      <c r="F1311" s="635" t="s">
        <v>574</v>
      </c>
      <c r="G1311" s="629"/>
      <c r="H1311" s="630"/>
      <c r="I1311" s="630"/>
      <c r="J1311" s="630">
        <v>3197</v>
      </c>
      <c r="K1311" s="630">
        <v>3197</v>
      </c>
      <c r="L1311" s="630"/>
      <c r="M1311" s="629"/>
      <c r="N1311" s="62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</row>
    <row r="1312" spans="1:27" ht="13">
      <c r="A1312" s="54">
        <v>2025</v>
      </c>
      <c r="B1312" s="628">
        <v>45891</v>
      </c>
      <c r="C1312" s="629" t="s">
        <v>481</v>
      </c>
      <c r="D1312" s="629" t="s">
        <v>493</v>
      </c>
      <c r="E1312" s="635" t="s">
        <v>479</v>
      </c>
      <c r="F1312" s="635" t="s">
        <v>660</v>
      </c>
      <c r="G1312" s="629"/>
      <c r="H1312" s="630">
        <v>25</v>
      </c>
      <c r="I1312" s="630">
        <v>25</v>
      </c>
      <c r="J1312" s="630"/>
      <c r="K1312" s="630"/>
      <c r="L1312" s="630"/>
      <c r="M1312" s="629"/>
      <c r="N1312" s="62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  <c r="AA1312" s="45"/>
    </row>
    <row r="1313" spans="1:27" ht="13">
      <c r="A1313" s="54">
        <v>2025</v>
      </c>
      <c r="B1313" s="628">
        <v>45895</v>
      </c>
      <c r="C1313" s="629" t="s">
        <v>481</v>
      </c>
      <c r="D1313" s="629" t="s">
        <v>778</v>
      </c>
      <c r="E1313" s="635" t="s">
        <v>779</v>
      </c>
      <c r="F1313" s="635" t="s">
        <v>780</v>
      </c>
      <c r="G1313" s="629"/>
      <c r="H1313" s="630"/>
      <c r="I1313" s="630"/>
      <c r="J1313" s="630">
        <v>43110</v>
      </c>
      <c r="K1313" s="630">
        <v>43110</v>
      </c>
      <c r="L1313" s="630"/>
      <c r="M1313" s="629"/>
      <c r="N1313" s="62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  <c r="AA1313" s="45"/>
    </row>
    <row r="1314" spans="1:27" ht="13">
      <c r="A1314" s="54">
        <v>2025</v>
      </c>
      <c r="B1314" s="628">
        <v>45895</v>
      </c>
      <c r="C1314" s="636" t="s">
        <v>481</v>
      </c>
      <c r="D1314" s="629" t="s">
        <v>489</v>
      </c>
      <c r="E1314" s="635" t="s">
        <v>507</v>
      </c>
      <c r="F1314" s="635" t="s">
        <v>779</v>
      </c>
      <c r="G1314" s="629"/>
      <c r="H1314" s="630"/>
      <c r="I1314" s="630"/>
      <c r="J1314" s="630">
        <v>2484</v>
      </c>
      <c r="K1314" s="630">
        <v>2484</v>
      </c>
      <c r="L1314" s="630"/>
      <c r="M1314" s="629"/>
      <c r="N1314" s="62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  <c r="AA1314" s="45"/>
    </row>
    <row r="1315" spans="1:27" ht="13">
      <c r="A1315" s="54">
        <v>2025</v>
      </c>
      <c r="B1315" s="628">
        <v>45895</v>
      </c>
      <c r="C1315" s="629" t="s">
        <v>481</v>
      </c>
      <c r="D1315" s="629" t="s">
        <v>493</v>
      </c>
      <c r="E1315" s="635" t="s">
        <v>781</v>
      </c>
      <c r="F1315" s="635" t="s">
        <v>782</v>
      </c>
      <c r="G1315" s="629"/>
      <c r="H1315" s="630"/>
      <c r="I1315" s="630"/>
      <c r="J1315" s="630">
        <v>8249.59</v>
      </c>
      <c r="K1315" s="630">
        <f>J1315-L1315</f>
        <v>6761.96</v>
      </c>
      <c r="L1315" s="630">
        <v>1487.63</v>
      </c>
      <c r="M1315" s="629"/>
      <c r="N1315" s="62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</row>
    <row r="1316" spans="1:27" ht="13">
      <c r="A1316" s="54">
        <v>2025</v>
      </c>
      <c r="B1316" s="628">
        <v>45895</v>
      </c>
      <c r="C1316" s="629" t="s">
        <v>481</v>
      </c>
      <c r="D1316" s="629" t="s">
        <v>493</v>
      </c>
      <c r="E1316" s="635" t="s">
        <v>63</v>
      </c>
      <c r="F1316" s="635" t="s">
        <v>660</v>
      </c>
      <c r="G1316" s="629"/>
      <c r="H1316" s="630"/>
      <c r="I1316" s="630"/>
      <c r="J1316" s="630">
        <v>77.31</v>
      </c>
      <c r="K1316" s="630">
        <v>77.31</v>
      </c>
      <c r="L1316" s="630"/>
      <c r="M1316" s="629"/>
      <c r="N1316" s="62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  <c r="AA1316" s="45"/>
    </row>
    <row r="1317" spans="1:27" ht="13">
      <c r="A1317" s="54">
        <v>2025</v>
      </c>
      <c r="B1317" s="628">
        <v>45897</v>
      </c>
      <c r="C1317" s="629" t="s">
        <v>481</v>
      </c>
      <c r="D1317" s="629" t="s">
        <v>493</v>
      </c>
      <c r="E1317" s="635" t="s">
        <v>783</v>
      </c>
      <c r="F1317" s="635" t="s">
        <v>784</v>
      </c>
      <c r="G1317" s="629"/>
      <c r="H1317" s="630"/>
      <c r="I1317" s="630"/>
      <c r="J1317" s="630">
        <v>849</v>
      </c>
      <c r="K1317" s="630">
        <f>J1317-L1317</f>
        <v>695.9</v>
      </c>
      <c r="L1317" s="630">
        <v>153.1</v>
      </c>
      <c r="M1317" s="629"/>
      <c r="N1317" s="62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</row>
    <row r="1318" spans="1:27" ht="13">
      <c r="A1318" s="54">
        <v>2025</v>
      </c>
      <c r="B1318" s="628">
        <v>45895</v>
      </c>
      <c r="C1318" s="629" t="s">
        <v>481</v>
      </c>
      <c r="D1318" s="629" t="s">
        <v>493</v>
      </c>
      <c r="E1318" s="635" t="s">
        <v>479</v>
      </c>
      <c r="F1318" s="473" t="s">
        <v>624</v>
      </c>
      <c r="G1318" s="629"/>
      <c r="H1318" s="630">
        <v>28.84</v>
      </c>
      <c r="I1318" s="630">
        <v>23.64</v>
      </c>
      <c r="J1318" s="630"/>
      <c r="K1318" s="630"/>
      <c r="L1318" s="630">
        <f>5.2*M1318</f>
        <v>207.8596</v>
      </c>
      <c r="M1318" s="629">
        <v>39.972999999999999</v>
      </c>
      <c r="N1318" s="62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  <c r="AA1318" s="45"/>
    </row>
    <row r="1319" spans="1:27" ht="13">
      <c r="A1319" s="54">
        <v>2025</v>
      </c>
      <c r="B1319" s="628">
        <v>45898</v>
      </c>
      <c r="C1319" s="629" t="s">
        <v>481</v>
      </c>
      <c r="D1319" s="629" t="s">
        <v>493</v>
      </c>
      <c r="E1319" s="635" t="s">
        <v>479</v>
      </c>
      <c r="F1319" s="635" t="s">
        <v>660</v>
      </c>
      <c r="G1319" s="629"/>
      <c r="H1319" s="630">
        <v>50</v>
      </c>
      <c r="I1319" s="630">
        <v>50</v>
      </c>
      <c r="J1319" s="630"/>
      <c r="K1319" s="630"/>
      <c r="L1319" s="630"/>
      <c r="M1319" s="629"/>
      <c r="N1319" s="62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</row>
    <row r="1320" spans="1:27" ht="13">
      <c r="A1320" s="54">
        <v>2025</v>
      </c>
      <c r="B1320" s="637">
        <v>45898</v>
      </c>
      <c r="C1320" s="635" t="s">
        <v>481</v>
      </c>
      <c r="D1320" s="635" t="s">
        <v>493</v>
      </c>
      <c r="E1320" s="635" t="s">
        <v>63</v>
      </c>
      <c r="F1320" s="635" t="s">
        <v>785</v>
      </c>
      <c r="G1320" s="635"/>
      <c r="H1320" s="638"/>
      <c r="I1320" s="638"/>
      <c r="J1320" s="638">
        <v>859.27</v>
      </c>
      <c r="K1320" s="638">
        <v>859.27</v>
      </c>
      <c r="L1320" s="638"/>
      <c r="M1320" s="629"/>
      <c r="N1320" s="62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</row>
    <row r="1321" spans="1:27" ht="13">
      <c r="A1321" s="54">
        <v>2025</v>
      </c>
      <c r="B1321" s="472">
        <v>45900</v>
      </c>
      <c r="C1321" s="639" t="s">
        <v>481</v>
      </c>
      <c r="D1321" s="639" t="s">
        <v>762</v>
      </c>
      <c r="E1321" s="639" t="s">
        <v>786</v>
      </c>
      <c r="F1321" s="639" t="s">
        <v>576</v>
      </c>
      <c r="G1321" s="640"/>
      <c r="H1321" s="641">
        <v>48.53</v>
      </c>
      <c r="I1321" s="641">
        <v>48.53</v>
      </c>
      <c r="J1321" s="476"/>
      <c r="K1321" s="476"/>
      <c r="L1321" s="630"/>
      <c r="M1321" s="642"/>
      <c r="N1321" s="62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  <c r="AA1321" s="45"/>
    </row>
    <row r="1322" spans="1:27" ht="13">
      <c r="A1322" s="54">
        <v>2025</v>
      </c>
      <c r="B1322" s="472">
        <v>45900</v>
      </c>
      <c r="C1322" s="639" t="s">
        <v>481</v>
      </c>
      <c r="D1322" s="639" t="s">
        <v>762</v>
      </c>
      <c r="E1322" s="639" t="s">
        <v>787</v>
      </c>
      <c r="F1322" s="639" t="s">
        <v>576</v>
      </c>
      <c r="G1322" s="640"/>
      <c r="H1322" s="641">
        <v>5.38</v>
      </c>
      <c r="I1322" s="641">
        <v>5.38</v>
      </c>
      <c r="J1322" s="476"/>
      <c r="K1322" s="476"/>
      <c r="L1322" s="630"/>
      <c r="M1322" s="642"/>
      <c r="N1322" s="62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  <c r="AA1322" s="45"/>
    </row>
    <row r="1323" spans="1:27" ht="13">
      <c r="A1323" s="54">
        <v>2025</v>
      </c>
      <c r="B1323" s="472">
        <v>45900</v>
      </c>
      <c r="C1323" s="639" t="s">
        <v>481</v>
      </c>
      <c r="D1323" s="639" t="s">
        <v>762</v>
      </c>
      <c r="E1323" s="639" t="s">
        <v>788</v>
      </c>
      <c r="F1323" s="639" t="s">
        <v>576</v>
      </c>
      <c r="G1323" s="640"/>
      <c r="H1323" s="641">
        <v>80.03</v>
      </c>
      <c r="I1323" s="641">
        <v>80.03</v>
      </c>
      <c r="J1323" s="476"/>
      <c r="K1323" s="476"/>
      <c r="L1323" s="630"/>
      <c r="M1323" s="642"/>
      <c r="N1323" s="62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</row>
    <row r="1324" spans="1:27" ht="13">
      <c r="A1324" s="54">
        <v>2025</v>
      </c>
      <c r="B1324" s="472">
        <v>45900</v>
      </c>
      <c r="C1324" s="639" t="s">
        <v>481</v>
      </c>
      <c r="D1324" s="639" t="s">
        <v>762</v>
      </c>
      <c r="E1324" s="639" t="s">
        <v>789</v>
      </c>
      <c r="F1324" s="639" t="s">
        <v>576</v>
      </c>
      <c r="G1324" s="640"/>
      <c r="H1324" s="641">
        <v>177.57</v>
      </c>
      <c r="I1324" s="641">
        <v>177.57</v>
      </c>
      <c r="J1324" s="476"/>
      <c r="K1324" s="476"/>
      <c r="L1324" s="630"/>
      <c r="M1324" s="642"/>
      <c r="N1324" s="62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5"/>
    </row>
    <row r="1325" spans="1:27" ht="13">
      <c r="A1325" s="54">
        <v>2025</v>
      </c>
      <c r="B1325" s="472">
        <v>45900</v>
      </c>
      <c r="C1325" s="639" t="s">
        <v>481</v>
      </c>
      <c r="D1325" s="639" t="s">
        <v>762</v>
      </c>
      <c r="E1325" s="639" t="s">
        <v>790</v>
      </c>
      <c r="F1325" s="639" t="s">
        <v>576</v>
      </c>
      <c r="G1325" s="640"/>
      <c r="H1325" s="641">
        <v>172.36</v>
      </c>
      <c r="I1325" s="641">
        <v>172.36</v>
      </c>
      <c r="J1325" s="476"/>
      <c r="K1325" s="476"/>
      <c r="L1325" s="630"/>
      <c r="M1325" s="642"/>
      <c r="N1325" s="62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  <c r="AA1325" s="45"/>
    </row>
    <row r="1326" spans="1:27" ht="13">
      <c r="A1326" s="54">
        <v>2025</v>
      </c>
      <c r="B1326" s="472">
        <v>45900</v>
      </c>
      <c r="C1326" s="639" t="s">
        <v>481</v>
      </c>
      <c r="D1326" s="639" t="s">
        <v>762</v>
      </c>
      <c r="E1326" s="639" t="s">
        <v>791</v>
      </c>
      <c r="F1326" s="639" t="s">
        <v>576</v>
      </c>
      <c r="G1326" s="640"/>
      <c r="H1326" s="641">
        <v>16.170000000000002</v>
      </c>
      <c r="I1326" s="641">
        <v>16.170000000000002</v>
      </c>
      <c r="J1326" s="476"/>
      <c r="K1326" s="476"/>
      <c r="L1326" s="630"/>
      <c r="M1326" s="642"/>
      <c r="N1326" s="62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  <c r="AA1326" s="45"/>
    </row>
    <row r="1327" spans="1:27" ht="13">
      <c r="A1327" s="54">
        <v>2025</v>
      </c>
      <c r="B1327" s="472">
        <v>45900</v>
      </c>
      <c r="C1327" s="473" t="s">
        <v>481</v>
      </c>
      <c r="D1327" s="473" t="s">
        <v>491</v>
      </c>
      <c r="E1327" s="473" t="s">
        <v>68</v>
      </c>
      <c r="F1327" s="473" t="s">
        <v>576</v>
      </c>
      <c r="G1327" s="476"/>
      <c r="H1327" s="643">
        <v>117.6</v>
      </c>
      <c r="I1327" s="643">
        <v>117.6</v>
      </c>
      <c r="J1327" s="476"/>
      <c r="K1327" s="476"/>
      <c r="L1327" s="630"/>
      <c r="M1327" s="642"/>
      <c r="N1327" s="62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</row>
    <row r="1328" spans="1:27" ht="13">
      <c r="A1328" s="54"/>
      <c r="B1328" s="472">
        <v>45900</v>
      </c>
      <c r="C1328" s="629" t="s">
        <v>481</v>
      </c>
      <c r="D1328" s="629" t="s">
        <v>491</v>
      </c>
      <c r="E1328" s="629" t="s">
        <v>792</v>
      </c>
      <c r="F1328" s="629" t="s">
        <v>576</v>
      </c>
      <c r="G1328" s="629"/>
      <c r="H1328" s="644">
        <f t="shared" ref="H1328:I1328" si="95">42.17-SUM(H1329:H1330)</f>
        <v>18.810000000000002</v>
      </c>
      <c r="I1328" s="644">
        <f t="shared" si="95"/>
        <v>18.810000000000002</v>
      </c>
      <c r="J1328" s="474"/>
      <c r="K1328" s="476"/>
      <c r="L1328" s="630"/>
      <c r="M1328" s="642"/>
      <c r="N1328" s="62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  <c r="AA1328" s="45"/>
    </row>
    <row r="1329" spans="1:27" ht="13">
      <c r="A1329" s="54"/>
      <c r="B1329" s="472">
        <v>45900</v>
      </c>
      <c r="C1329" s="639" t="s">
        <v>481</v>
      </c>
      <c r="D1329" s="639" t="s">
        <v>762</v>
      </c>
      <c r="E1329" s="639" t="s">
        <v>793</v>
      </c>
      <c r="F1329" s="639" t="s">
        <v>576</v>
      </c>
      <c r="G1329" s="640"/>
      <c r="H1329" s="641">
        <v>11.65</v>
      </c>
      <c r="I1329" s="641">
        <v>11.65</v>
      </c>
      <c r="J1329" s="476"/>
      <c r="K1329" s="476"/>
      <c r="L1329" s="630"/>
      <c r="M1329" s="642"/>
      <c r="N1329" s="625"/>
      <c r="O1329" s="45" t="s">
        <v>794</v>
      </c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</row>
    <row r="1330" spans="1:27" ht="13">
      <c r="A1330" s="54"/>
      <c r="B1330" s="472">
        <v>45900</v>
      </c>
      <c r="C1330" s="639" t="s">
        <v>481</v>
      </c>
      <c r="D1330" s="639" t="s">
        <v>762</v>
      </c>
      <c r="E1330" s="639" t="s">
        <v>795</v>
      </c>
      <c r="F1330" s="639" t="s">
        <v>576</v>
      </c>
      <c r="G1330" s="640"/>
      <c r="H1330" s="641">
        <v>11.71</v>
      </c>
      <c r="I1330" s="641">
        <v>11.71</v>
      </c>
      <c r="J1330" s="476"/>
      <c r="K1330" s="476"/>
      <c r="L1330" s="630"/>
      <c r="M1330" s="642"/>
      <c r="N1330" s="625"/>
      <c r="O1330" s="45" t="s">
        <v>794</v>
      </c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  <c r="AA1330" s="45"/>
    </row>
    <row r="1331" spans="1:27" ht="13">
      <c r="A1331" s="54">
        <v>2025</v>
      </c>
      <c r="B1331" s="472">
        <v>45900</v>
      </c>
      <c r="C1331" s="473" t="s">
        <v>481</v>
      </c>
      <c r="D1331" s="473" t="s">
        <v>491</v>
      </c>
      <c r="E1331" s="473" t="s">
        <v>754</v>
      </c>
      <c r="F1331" s="473" t="s">
        <v>576</v>
      </c>
      <c r="G1331" s="476"/>
      <c r="H1331" s="643">
        <v>160</v>
      </c>
      <c r="I1331" s="643">
        <v>160</v>
      </c>
      <c r="J1331" s="476"/>
      <c r="K1331" s="476"/>
      <c r="L1331" s="630"/>
      <c r="M1331" s="642"/>
      <c r="N1331" s="62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  <c r="AA1331" s="45"/>
    </row>
    <row r="1332" spans="1:27" ht="13">
      <c r="A1332" s="54">
        <v>2025</v>
      </c>
      <c r="B1332" s="472">
        <v>45900</v>
      </c>
      <c r="C1332" s="473" t="s">
        <v>481</v>
      </c>
      <c r="D1332" s="473" t="s">
        <v>491</v>
      </c>
      <c r="E1332" s="473" t="s">
        <v>796</v>
      </c>
      <c r="F1332" s="473" t="s">
        <v>576</v>
      </c>
      <c r="G1332" s="476"/>
      <c r="H1332" s="643">
        <v>49</v>
      </c>
      <c r="I1332" s="643">
        <v>49</v>
      </c>
      <c r="J1332" s="476"/>
      <c r="K1332" s="476"/>
      <c r="L1332" s="630"/>
      <c r="M1332" s="642"/>
      <c r="N1332" s="62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  <c r="AA1332" s="45"/>
    </row>
    <row r="1333" spans="1:27" ht="13">
      <c r="A1333" s="54">
        <v>2025</v>
      </c>
      <c r="B1333" s="472">
        <v>45900</v>
      </c>
      <c r="C1333" s="473" t="s">
        <v>481</v>
      </c>
      <c r="D1333" s="473" t="s">
        <v>491</v>
      </c>
      <c r="E1333" s="473" t="s">
        <v>639</v>
      </c>
      <c r="F1333" s="473" t="s">
        <v>576</v>
      </c>
      <c r="G1333" s="476"/>
      <c r="H1333" s="643">
        <v>20</v>
      </c>
      <c r="I1333" s="643">
        <v>20</v>
      </c>
      <c r="J1333" s="476"/>
      <c r="K1333" s="476"/>
      <c r="L1333" s="630"/>
      <c r="M1333" s="642"/>
      <c r="N1333" s="62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</row>
    <row r="1334" spans="1:27" ht="13">
      <c r="A1334" s="54">
        <v>2025</v>
      </c>
      <c r="B1334" s="472">
        <v>45900</v>
      </c>
      <c r="C1334" s="473" t="s">
        <v>481</v>
      </c>
      <c r="D1334" s="473" t="s">
        <v>491</v>
      </c>
      <c r="E1334" s="473" t="s">
        <v>592</v>
      </c>
      <c r="F1334" s="473" t="s">
        <v>576</v>
      </c>
      <c r="G1334" s="476"/>
      <c r="H1334" s="643">
        <v>32</v>
      </c>
      <c r="I1334" s="643">
        <v>32</v>
      </c>
      <c r="J1334" s="476"/>
      <c r="K1334" s="476"/>
      <c r="L1334" s="630"/>
      <c r="M1334" s="642"/>
      <c r="N1334" s="62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</row>
    <row r="1335" spans="1:27" ht="13">
      <c r="A1335" s="54">
        <v>2025</v>
      </c>
      <c r="B1335" s="472">
        <v>45900</v>
      </c>
      <c r="C1335" s="473" t="s">
        <v>481</v>
      </c>
      <c r="D1335" s="473" t="s">
        <v>491</v>
      </c>
      <c r="E1335" s="473" t="s">
        <v>797</v>
      </c>
      <c r="F1335" s="473" t="s">
        <v>576</v>
      </c>
      <c r="G1335" s="476"/>
      <c r="H1335" s="643">
        <v>20</v>
      </c>
      <c r="I1335" s="643">
        <v>20</v>
      </c>
      <c r="J1335" s="476"/>
      <c r="K1335" s="476"/>
      <c r="L1335" s="630"/>
      <c r="M1335" s="642"/>
      <c r="N1335" s="62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  <c r="AA1335" s="45"/>
    </row>
    <row r="1336" spans="1:27" ht="13">
      <c r="A1336" s="54">
        <v>2025</v>
      </c>
      <c r="B1336" s="472">
        <v>45900</v>
      </c>
      <c r="C1336" s="473" t="s">
        <v>481</v>
      </c>
      <c r="D1336" s="473" t="s">
        <v>491</v>
      </c>
      <c r="E1336" s="473" t="s">
        <v>534</v>
      </c>
      <c r="F1336" s="473" t="s">
        <v>576</v>
      </c>
      <c r="G1336" s="476"/>
      <c r="H1336" s="643">
        <v>16.989999999999998</v>
      </c>
      <c r="I1336" s="643">
        <v>16.989999999999998</v>
      </c>
      <c r="J1336" s="476"/>
      <c r="K1336" s="476"/>
      <c r="L1336" s="630"/>
      <c r="M1336" s="642"/>
      <c r="N1336" s="62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  <c r="AA1336" s="45"/>
    </row>
    <row r="1337" spans="1:27" ht="13">
      <c r="A1337" s="54">
        <v>2025</v>
      </c>
      <c r="B1337" s="631">
        <v>45900</v>
      </c>
      <c r="C1337" s="645" t="s">
        <v>481</v>
      </c>
      <c r="D1337" s="645" t="s">
        <v>482</v>
      </c>
      <c r="E1337" s="645" t="s">
        <v>495</v>
      </c>
      <c r="F1337" s="645" t="s">
        <v>496</v>
      </c>
      <c r="G1337" s="646"/>
      <c r="H1337" s="647"/>
      <c r="I1337" s="647"/>
      <c r="J1337" s="646">
        <v>263334</v>
      </c>
      <c r="K1337" s="646">
        <v>263334</v>
      </c>
      <c r="L1337" s="634"/>
      <c r="M1337" s="629"/>
      <c r="N1337" s="62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</row>
    <row r="1338" spans="1:27" ht="13">
      <c r="A1338" s="54">
        <v>2025</v>
      </c>
      <c r="B1338" s="628">
        <v>45900</v>
      </c>
      <c r="C1338" s="629" t="s">
        <v>481</v>
      </c>
      <c r="D1338" s="629" t="s">
        <v>484</v>
      </c>
      <c r="E1338" s="635" t="s">
        <v>513</v>
      </c>
      <c r="F1338" s="635" t="s">
        <v>488</v>
      </c>
      <c r="G1338" s="629"/>
      <c r="H1338" s="630"/>
      <c r="I1338" s="630"/>
      <c r="J1338" s="630">
        <v>31318</v>
      </c>
      <c r="K1338" s="630">
        <v>31318</v>
      </c>
      <c r="L1338" s="630"/>
      <c r="M1338" s="629"/>
      <c r="N1338" s="62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  <c r="AA1338" s="45"/>
    </row>
    <row r="1339" spans="1:27" ht="13">
      <c r="A1339" s="54">
        <v>2025</v>
      </c>
      <c r="B1339" s="628">
        <v>45900</v>
      </c>
      <c r="C1339" s="473" t="s">
        <v>481</v>
      </c>
      <c r="D1339" s="473" t="s">
        <v>482</v>
      </c>
      <c r="E1339" s="477" t="s">
        <v>458</v>
      </c>
      <c r="F1339" s="477" t="s">
        <v>459</v>
      </c>
      <c r="G1339" s="629"/>
      <c r="H1339" s="630">
        <v>5490</v>
      </c>
      <c r="I1339" s="630">
        <v>4500</v>
      </c>
      <c r="J1339" s="630"/>
      <c r="K1339" s="630"/>
      <c r="L1339" s="630">
        <f>990*M1339</f>
        <v>39595.049999999996</v>
      </c>
      <c r="M1339" s="629">
        <v>39.994999999999997</v>
      </c>
      <c r="N1339" s="62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  <c r="AA1339" s="45"/>
    </row>
    <row r="1340" spans="1:27" ht="13">
      <c r="A1340" s="54">
        <v>2025</v>
      </c>
      <c r="B1340" s="628">
        <v>45900</v>
      </c>
      <c r="C1340" s="473" t="s">
        <v>474</v>
      </c>
      <c r="D1340" s="473" t="s">
        <v>482</v>
      </c>
      <c r="E1340" s="473" t="s">
        <v>483</v>
      </c>
      <c r="F1340" s="473" t="s">
        <v>459</v>
      </c>
      <c r="G1340" s="629"/>
      <c r="H1340" s="630">
        <v>2323</v>
      </c>
      <c r="I1340" s="630">
        <v>2323</v>
      </c>
      <c r="J1340" s="630"/>
      <c r="K1340" s="630"/>
      <c r="L1340" s="630"/>
      <c r="M1340" s="629"/>
      <c r="N1340" s="62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  <c r="AA1340" s="45"/>
    </row>
    <row r="1341" spans="1:27" ht="13">
      <c r="A1341" s="54">
        <v>2025</v>
      </c>
      <c r="B1341" s="628">
        <v>45900</v>
      </c>
      <c r="C1341" s="629" t="s">
        <v>474</v>
      </c>
      <c r="D1341" s="629" t="s">
        <v>478</v>
      </c>
      <c r="E1341" s="635" t="s">
        <v>479</v>
      </c>
      <c r="F1341" s="635" t="s">
        <v>480</v>
      </c>
      <c r="G1341" s="629"/>
      <c r="H1341" s="630">
        <v>40</v>
      </c>
      <c r="I1341" s="630">
        <v>40</v>
      </c>
      <c r="J1341" s="630"/>
      <c r="K1341" s="630"/>
      <c r="L1341" s="630"/>
      <c r="M1341" s="629"/>
      <c r="N1341" s="62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  <c r="AA1341" s="45"/>
    </row>
    <row r="1342" spans="1:27" ht="13">
      <c r="A1342" s="54">
        <v>2025</v>
      </c>
      <c r="B1342" s="628">
        <v>45900</v>
      </c>
      <c r="C1342" s="629" t="s">
        <v>679</v>
      </c>
      <c r="D1342" s="629" t="s">
        <v>478</v>
      </c>
      <c r="E1342" s="635" t="s">
        <v>479</v>
      </c>
      <c r="F1342" s="635" t="s">
        <v>480</v>
      </c>
      <c r="G1342" s="629"/>
      <c r="H1342" s="630">
        <v>40</v>
      </c>
      <c r="I1342" s="630">
        <v>40</v>
      </c>
      <c r="J1342" s="630"/>
      <c r="K1342" s="630"/>
      <c r="L1342" s="630"/>
      <c r="M1342" s="629"/>
      <c r="N1342" s="62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  <c r="AA1342" s="45"/>
    </row>
    <row r="1343" spans="1:27" ht="13">
      <c r="A1343" s="54">
        <v>2025</v>
      </c>
      <c r="B1343" s="628">
        <v>45900</v>
      </c>
      <c r="C1343" s="473" t="s">
        <v>679</v>
      </c>
      <c r="D1343" s="473" t="s">
        <v>482</v>
      </c>
      <c r="E1343" s="473" t="s">
        <v>752</v>
      </c>
      <c r="F1343" s="473" t="s">
        <v>459</v>
      </c>
      <c r="G1343" s="473"/>
      <c r="H1343" s="476">
        <v>2500</v>
      </c>
      <c r="I1343" s="476">
        <v>2500</v>
      </c>
      <c r="J1343" s="630"/>
      <c r="K1343" s="630"/>
      <c r="L1343" s="630"/>
      <c r="M1343" s="629"/>
      <c r="N1343" s="62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  <c r="AA1343" s="45"/>
    </row>
    <row r="1344" spans="1:27" ht="13">
      <c r="A1344" s="54">
        <v>2025</v>
      </c>
      <c r="B1344" s="628">
        <v>45900</v>
      </c>
      <c r="C1344" s="473" t="s">
        <v>474</v>
      </c>
      <c r="D1344" s="473" t="s">
        <v>482</v>
      </c>
      <c r="E1344" s="473" t="s">
        <v>535</v>
      </c>
      <c r="F1344" s="473" t="s">
        <v>459</v>
      </c>
      <c r="G1344" s="476"/>
      <c r="H1344" s="643">
        <v>1320</v>
      </c>
      <c r="I1344" s="643">
        <v>1320</v>
      </c>
      <c r="J1344" s="630"/>
      <c r="K1344" s="630"/>
      <c r="L1344" s="630"/>
      <c r="M1344" s="629"/>
      <c r="N1344" s="62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  <c r="AA1344" s="45"/>
    </row>
    <row r="1345" spans="1:27" ht="13">
      <c r="A1345" s="54">
        <v>2025</v>
      </c>
      <c r="B1345" s="628">
        <v>45900</v>
      </c>
      <c r="C1345" s="473" t="s">
        <v>474</v>
      </c>
      <c r="D1345" s="473" t="s">
        <v>478</v>
      </c>
      <c r="E1345" s="473" t="s">
        <v>701</v>
      </c>
      <c r="F1345" s="473" t="s">
        <v>539</v>
      </c>
      <c r="G1345" s="476"/>
      <c r="H1345" s="643">
        <v>13.33</v>
      </c>
      <c r="I1345" s="643">
        <v>13.33</v>
      </c>
      <c r="J1345" s="630"/>
      <c r="K1345" s="630"/>
      <c r="L1345" s="630"/>
      <c r="M1345" s="629"/>
      <c r="N1345" s="62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  <c r="AA1345" s="45"/>
    </row>
    <row r="1346" spans="1:27" ht="13">
      <c r="A1346" s="54">
        <v>2025</v>
      </c>
      <c r="B1346" s="628">
        <v>45900</v>
      </c>
      <c r="C1346" s="473" t="s">
        <v>474</v>
      </c>
      <c r="D1346" s="473" t="s">
        <v>482</v>
      </c>
      <c r="E1346" s="473" t="s">
        <v>541</v>
      </c>
      <c r="F1346" s="473" t="s">
        <v>459</v>
      </c>
      <c r="G1346" s="476"/>
      <c r="H1346" s="643">
        <v>1320</v>
      </c>
      <c r="I1346" s="643">
        <v>1320</v>
      </c>
      <c r="J1346" s="630"/>
      <c r="K1346" s="630"/>
      <c r="L1346" s="630"/>
      <c r="M1346" s="629"/>
      <c r="N1346" s="62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  <c r="AA1346" s="45"/>
    </row>
    <row r="1347" spans="1:27" ht="13">
      <c r="A1347" s="54">
        <v>2025</v>
      </c>
      <c r="B1347" s="628">
        <v>45900</v>
      </c>
      <c r="C1347" s="606" t="s">
        <v>474</v>
      </c>
      <c r="D1347" s="473" t="s">
        <v>478</v>
      </c>
      <c r="E1347" s="473" t="s">
        <v>701</v>
      </c>
      <c r="F1347" s="473" t="s">
        <v>539</v>
      </c>
      <c r="G1347" s="473"/>
      <c r="H1347" s="643">
        <v>13.33</v>
      </c>
      <c r="I1347" s="643">
        <v>13.33</v>
      </c>
      <c r="J1347" s="630"/>
      <c r="K1347" s="630"/>
      <c r="L1347" s="630"/>
      <c r="M1347" s="629"/>
      <c r="N1347" s="62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  <c r="AA1347" s="45"/>
    </row>
    <row r="1348" spans="1:27" ht="13">
      <c r="A1348" s="54">
        <v>2025</v>
      </c>
      <c r="B1348" s="628">
        <v>45900</v>
      </c>
      <c r="C1348" s="645" t="s">
        <v>679</v>
      </c>
      <c r="D1348" s="477" t="s">
        <v>482</v>
      </c>
      <c r="E1348" s="477" t="s">
        <v>761</v>
      </c>
      <c r="F1348" s="477" t="s">
        <v>459</v>
      </c>
      <c r="G1348" s="478"/>
      <c r="H1348" s="648">
        <v>3000</v>
      </c>
      <c r="I1348" s="648">
        <v>3000</v>
      </c>
      <c r="J1348" s="630"/>
      <c r="K1348" s="630"/>
      <c r="L1348" s="630"/>
      <c r="M1348" s="629"/>
      <c r="N1348" s="62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  <c r="AA1348" s="45"/>
    </row>
    <row r="1349" spans="1:27" ht="13">
      <c r="A1349" s="54">
        <v>2025</v>
      </c>
      <c r="B1349" s="628">
        <v>45900</v>
      </c>
      <c r="C1349" s="473" t="s">
        <v>679</v>
      </c>
      <c r="D1349" s="473" t="s">
        <v>478</v>
      </c>
      <c r="E1349" s="473" t="s">
        <v>701</v>
      </c>
      <c r="F1349" s="473" t="s">
        <v>539</v>
      </c>
      <c r="G1349" s="478"/>
      <c r="H1349" s="648">
        <v>30.3</v>
      </c>
      <c r="I1349" s="648">
        <v>30.3</v>
      </c>
      <c r="J1349" s="630"/>
      <c r="K1349" s="630"/>
      <c r="L1349" s="630"/>
      <c r="M1349" s="629"/>
      <c r="N1349" s="62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  <c r="AA1349" s="45"/>
    </row>
    <row r="1350" spans="1:27" ht="13">
      <c r="A1350" s="54">
        <v>2025</v>
      </c>
      <c r="B1350" s="628">
        <v>45900</v>
      </c>
      <c r="C1350" s="473" t="s">
        <v>679</v>
      </c>
      <c r="D1350" s="473" t="s">
        <v>482</v>
      </c>
      <c r="E1350" s="473" t="s">
        <v>680</v>
      </c>
      <c r="F1350" s="473" t="s">
        <v>459</v>
      </c>
      <c r="G1350" s="476"/>
      <c r="H1350" s="476">
        <v>1300</v>
      </c>
      <c r="I1350" s="476">
        <v>1300</v>
      </c>
      <c r="J1350" s="630"/>
      <c r="K1350" s="630"/>
      <c r="L1350" s="630"/>
      <c r="M1350" s="629"/>
      <c r="N1350" s="62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  <c r="AA1350" s="45"/>
    </row>
    <row r="1351" spans="1:27" ht="13">
      <c r="A1351" s="54">
        <v>2025</v>
      </c>
      <c r="B1351" s="637">
        <v>45900</v>
      </c>
      <c r="C1351" s="477" t="s">
        <v>679</v>
      </c>
      <c r="D1351" s="477" t="s">
        <v>478</v>
      </c>
      <c r="E1351" s="477" t="s">
        <v>701</v>
      </c>
      <c r="F1351" s="477" t="s">
        <v>539</v>
      </c>
      <c r="G1351" s="478"/>
      <c r="H1351" s="478">
        <v>13.13</v>
      </c>
      <c r="I1351" s="478">
        <v>13.13</v>
      </c>
      <c r="J1351" s="638"/>
      <c r="K1351" s="638"/>
      <c r="L1351" s="638"/>
      <c r="M1351" s="635"/>
      <c r="N1351" s="62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  <c r="AA1351" s="45"/>
    </row>
    <row r="1352" spans="1:27" ht="13">
      <c r="A1352" s="501">
        <v>2025</v>
      </c>
      <c r="B1352" s="649">
        <v>45905</v>
      </c>
      <c r="C1352" s="650" t="s">
        <v>481</v>
      </c>
      <c r="D1352" s="650" t="s">
        <v>489</v>
      </c>
      <c r="E1352" s="651" t="s">
        <v>515</v>
      </c>
      <c r="F1352" s="651" t="s">
        <v>798</v>
      </c>
      <c r="G1352" s="651"/>
      <c r="H1352" s="652"/>
      <c r="I1352" s="652"/>
      <c r="J1352" s="653">
        <v>5748</v>
      </c>
      <c r="K1352" s="653">
        <v>5748</v>
      </c>
      <c r="L1352" s="653"/>
      <c r="M1352" s="650"/>
      <c r="N1352" s="654"/>
      <c r="O1352" s="505"/>
      <c r="P1352" s="505"/>
      <c r="Q1352" s="505"/>
      <c r="R1352" s="505"/>
      <c r="S1352" s="505"/>
      <c r="T1352" s="505"/>
      <c r="U1352" s="505"/>
      <c r="V1352" s="505"/>
      <c r="W1352" s="505"/>
      <c r="X1352" s="505"/>
      <c r="Y1352" s="505"/>
      <c r="Z1352" s="505"/>
      <c r="AA1352" s="505"/>
    </row>
    <row r="1353" spans="1:27" ht="13">
      <c r="A1353" s="54">
        <v>2025</v>
      </c>
      <c r="B1353" s="655">
        <v>45910</v>
      </c>
      <c r="C1353" s="656" t="s">
        <v>481</v>
      </c>
      <c r="D1353" s="656" t="s">
        <v>493</v>
      </c>
      <c r="E1353" s="657" t="s">
        <v>493</v>
      </c>
      <c r="F1353" s="657" t="s">
        <v>799</v>
      </c>
      <c r="G1353" s="657"/>
      <c r="H1353" s="658"/>
      <c r="I1353" s="658"/>
      <c r="J1353" s="659">
        <v>9278</v>
      </c>
      <c r="K1353" s="659">
        <v>9278</v>
      </c>
      <c r="L1353" s="659"/>
      <c r="M1353" s="656"/>
      <c r="N1353" s="625"/>
      <c r="O1353" s="469" t="s">
        <v>457</v>
      </c>
      <c r="P1353" s="470"/>
      <c r="Q1353" s="45"/>
      <c r="R1353" s="45"/>
      <c r="S1353" s="491" t="s">
        <v>669</v>
      </c>
      <c r="T1353" s="492"/>
      <c r="U1353" s="45"/>
      <c r="V1353" s="45"/>
      <c r="W1353" s="45"/>
      <c r="X1353" s="45"/>
      <c r="Y1353" s="45"/>
      <c r="Z1353" s="45"/>
      <c r="AA1353" s="45"/>
    </row>
    <row r="1354" spans="1:27" ht="13">
      <c r="A1354" s="54">
        <v>2025</v>
      </c>
      <c r="B1354" s="655">
        <v>45910</v>
      </c>
      <c r="C1354" s="656" t="s">
        <v>481</v>
      </c>
      <c r="D1354" s="656" t="s">
        <v>493</v>
      </c>
      <c r="E1354" s="657" t="s">
        <v>63</v>
      </c>
      <c r="F1354" s="657" t="s">
        <v>660</v>
      </c>
      <c r="G1354" s="656"/>
      <c r="H1354" s="659"/>
      <c r="I1354" s="659"/>
      <c r="J1354" s="659">
        <v>77.290000000000006</v>
      </c>
      <c r="K1354" s="659">
        <v>77.290000000000006</v>
      </c>
      <c r="L1354" s="659"/>
      <c r="M1354" s="656"/>
      <c r="N1354" s="625"/>
      <c r="O1354" s="552">
        <f>SUM(Facturacion!I190:I198)</f>
        <v>382162.37653000001</v>
      </c>
      <c r="P1354" s="470"/>
      <c r="Q1354" s="45"/>
      <c r="R1354" s="45"/>
      <c r="S1354" s="491" t="s">
        <v>411</v>
      </c>
      <c r="T1354" s="552">
        <f>SUM(K1352:K1408)</f>
        <v>425085.41736000002</v>
      </c>
      <c r="U1354" s="45"/>
      <c r="V1354" s="45"/>
      <c r="W1354" s="45"/>
      <c r="X1354" s="45"/>
      <c r="Y1354" s="45"/>
      <c r="Z1354" s="45"/>
      <c r="AA1354" s="45"/>
    </row>
    <row r="1355" spans="1:27" ht="13">
      <c r="A1355" s="54">
        <v>2025</v>
      </c>
      <c r="B1355" s="655">
        <v>45916</v>
      </c>
      <c r="C1355" s="656" t="s">
        <v>481</v>
      </c>
      <c r="D1355" s="656" t="s">
        <v>493</v>
      </c>
      <c r="E1355" s="657" t="s">
        <v>479</v>
      </c>
      <c r="F1355" s="657" t="s">
        <v>539</v>
      </c>
      <c r="G1355" s="656"/>
      <c r="H1355" s="659"/>
      <c r="I1355" s="659"/>
      <c r="J1355" s="659">
        <v>1320</v>
      </c>
      <c r="K1355" s="659">
        <v>1320</v>
      </c>
      <c r="L1355" s="659"/>
      <c r="M1355" s="656"/>
      <c r="N1355" s="625"/>
      <c r="O1355" s="469" t="s">
        <v>461</v>
      </c>
      <c r="P1355" s="469" t="s">
        <v>462</v>
      </c>
      <c r="Q1355" s="45"/>
      <c r="R1355" s="45"/>
      <c r="S1355" s="469" t="s">
        <v>584</v>
      </c>
      <c r="T1355" s="552">
        <f>SUM(I1352:I1408)</f>
        <v>29332.05</v>
      </c>
      <c r="U1355" s="45"/>
      <c r="V1355" s="45"/>
      <c r="W1355" s="45"/>
      <c r="X1355" s="45"/>
      <c r="Y1355" s="45"/>
      <c r="Z1355" s="45"/>
      <c r="AA1355" s="45"/>
    </row>
    <row r="1356" spans="1:27" ht="13">
      <c r="A1356" s="54">
        <v>2025</v>
      </c>
      <c r="B1356" s="655">
        <v>45917</v>
      </c>
      <c r="C1356" s="656" t="s">
        <v>481</v>
      </c>
      <c r="D1356" s="656" t="s">
        <v>493</v>
      </c>
      <c r="E1356" s="657" t="s">
        <v>800</v>
      </c>
      <c r="F1356" s="657" t="s">
        <v>801</v>
      </c>
      <c r="G1356" s="656"/>
      <c r="H1356" s="659"/>
      <c r="I1356" s="659"/>
      <c r="J1356" s="659"/>
      <c r="K1356" s="659"/>
      <c r="L1356" s="659">
        <v>48.69</v>
      </c>
      <c r="M1356" s="656"/>
      <c r="N1356" s="625"/>
      <c r="O1356" s="552">
        <f>SUM(L1352:L1408)</f>
        <v>36758.049169999998</v>
      </c>
      <c r="P1356" s="552">
        <f>(O1354-O1356)</f>
        <v>345404.32736</v>
      </c>
      <c r="Q1356" s="45"/>
      <c r="R1356" s="45"/>
      <c r="S1356" s="492"/>
      <c r="T1356" s="492"/>
      <c r="U1356" s="45"/>
      <c r="V1356" s="45"/>
      <c r="W1356" s="45"/>
      <c r="X1356" s="45"/>
      <c r="Y1356" s="45"/>
      <c r="Z1356" s="45"/>
      <c r="AA1356" s="45"/>
    </row>
    <row r="1357" spans="1:27" ht="13">
      <c r="A1357" s="54">
        <v>2025</v>
      </c>
      <c r="B1357" s="655">
        <v>45899</v>
      </c>
      <c r="C1357" s="656" t="s">
        <v>481</v>
      </c>
      <c r="D1357" s="656" t="s">
        <v>491</v>
      </c>
      <c r="E1357" s="657" t="s">
        <v>802</v>
      </c>
      <c r="F1357" s="657" t="s">
        <v>576</v>
      </c>
      <c r="G1357" s="656"/>
      <c r="H1357" s="659">
        <v>100</v>
      </c>
      <c r="I1357" s="659">
        <v>100</v>
      </c>
      <c r="J1357" s="659"/>
      <c r="K1357" s="659"/>
      <c r="L1357" s="659"/>
      <c r="M1357" s="656"/>
      <c r="N1357" s="625"/>
      <c r="O1357" s="45"/>
      <c r="P1357" s="45"/>
      <c r="Q1357" s="45"/>
      <c r="R1357" s="45"/>
      <c r="S1357" s="45"/>
      <c r="T1357" s="45"/>
      <c r="U1357" s="45"/>
      <c r="V1357" s="45"/>
      <c r="W1357" s="45"/>
      <c r="X1357" s="45"/>
      <c r="Y1357" s="45"/>
      <c r="Z1357" s="45"/>
      <c r="AA1357" s="45"/>
    </row>
    <row r="1358" spans="1:27" ht="13">
      <c r="A1358" s="54">
        <v>2025</v>
      </c>
      <c r="B1358" s="655">
        <v>45901</v>
      </c>
      <c r="C1358" s="660" t="s">
        <v>481</v>
      </c>
      <c r="D1358" s="660" t="s">
        <v>762</v>
      </c>
      <c r="E1358" s="661" t="s">
        <v>787</v>
      </c>
      <c r="F1358" s="661" t="s">
        <v>576</v>
      </c>
      <c r="G1358" s="660"/>
      <c r="H1358" s="662">
        <v>6.8</v>
      </c>
      <c r="I1358" s="662">
        <v>6.8</v>
      </c>
      <c r="J1358" s="659"/>
      <c r="K1358" s="659"/>
      <c r="L1358" s="659"/>
      <c r="M1358" s="656"/>
      <c r="N1358" s="625"/>
      <c r="O1358" s="45"/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</row>
    <row r="1359" spans="1:27" ht="13">
      <c r="A1359" s="54">
        <v>2025</v>
      </c>
      <c r="B1359" s="655">
        <v>45901</v>
      </c>
      <c r="C1359" s="660" t="s">
        <v>481</v>
      </c>
      <c r="D1359" s="660" t="s">
        <v>762</v>
      </c>
      <c r="E1359" s="661" t="s">
        <v>803</v>
      </c>
      <c r="F1359" s="661" t="s">
        <v>576</v>
      </c>
      <c r="G1359" s="660"/>
      <c r="H1359" s="662">
        <v>50.4</v>
      </c>
      <c r="I1359" s="662">
        <v>50.4</v>
      </c>
      <c r="J1359" s="659"/>
      <c r="K1359" s="659"/>
      <c r="L1359" s="659"/>
      <c r="M1359" s="656"/>
      <c r="N1359" s="62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45"/>
      <c r="AA1359" s="45"/>
    </row>
    <row r="1360" spans="1:27" ht="13">
      <c r="A1360" s="54">
        <v>2025</v>
      </c>
      <c r="B1360" s="655">
        <v>45901</v>
      </c>
      <c r="C1360" s="660" t="s">
        <v>481</v>
      </c>
      <c r="D1360" s="660" t="s">
        <v>762</v>
      </c>
      <c r="E1360" s="661" t="s">
        <v>804</v>
      </c>
      <c r="F1360" s="661" t="s">
        <v>576</v>
      </c>
      <c r="G1360" s="660"/>
      <c r="H1360" s="662">
        <v>175.9</v>
      </c>
      <c r="I1360" s="662">
        <v>175.9</v>
      </c>
      <c r="J1360" s="659"/>
      <c r="K1360" s="659"/>
      <c r="L1360" s="659"/>
      <c r="M1360" s="656"/>
      <c r="N1360" s="625"/>
      <c r="O1360" s="45"/>
      <c r="P1360" s="45"/>
      <c r="Q1360" s="45"/>
      <c r="R1360" s="45"/>
      <c r="S1360" s="45"/>
      <c r="T1360" s="45"/>
      <c r="U1360" s="45"/>
      <c r="V1360" s="45"/>
      <c r="W1360" s="45"/>
      <c r="X1360" s="45"/>
      <c r="Y1360" s="45"/>
      <c r="Z1360" s="45"/>
      <c r="AA1360" s="45"/>
    </row>
    <row r="1361" spans="1:27" ht="13">
      <c r="A1361" s="54">
        <v>2025</v>
      </c>
      <c r="B1361" s="655">
        <v>45901</v>
      </c>
      <c r="C1361" s="660" t="s">
        <v>481</v>
      </c>
      <c r="D1361" s="660" t="s">
        <v>762</v>
      </c>
      <c r="E1361" s="661" t="s">
        <v>789</v>
      </c>
      <c r="F1361" s="661" t="s">
        <v>576</v>
      </c>
      <c r="G1361" s="660"/>
      <c r="H1361" s="662">
        <v>178.05</v>
      </c>
      <c r="I1361" s="662">
        <v>178.05</v>
      </c>
      <c r="J1361" s="659"/>
      <c r="K1361" s="659"/>
      <c r="L1361" s="659"/>
      <c r="M1361" s="656"/>
      <c r="N1361" s="625"/>
      <c r="O1361" s="45"/>
      <c r="P1361" s="45"/>
      <c r="Q1361" s="45"/>
      <c r="R1361" s="45"/>
      <c r="S1361" s="45"/>
      <c r="T1361" s="45"/>
      <c r="U1361" s="45"/>
      <c r="V1361" s="45"/>
      <c r="W1361" s="45"/>
      <c r="X1361" s="45"/>
      <c r="Y1361" s="45"/>
      <c r="Z1361" s="45"/>
      <c r="AA1361" s="45"/>
    </row>
    <row r="1362" spans="1:27" ht="13">
      <c r="A1362" s="54">
        <v>2025</v>
      </c>
      <c r="B1362" s="655">
        <v>45903</v>
      </c>
      <c r="C1362" s="656" t="s">
        <v>481</v>
      </c>
      <c r="D1362" s="656" t="s">
        <v>491</v>
      </c>
      <c r="E1362" s="657" t="s">
        <v>805</v>
      </c>
      <c r="F1362" s="657" t="s">
        <v>549</v>
      </c>
      <c r="G1362" s="656"/>
      <c r="H1362" s="659">
        <v>21.99</v>
      </c>
      <c r="I1362" s="659">
        <v>21.99</v>
      </c>
      <c r="J1362" s="659"/>
      <c r="K1362" s="659"/>
      <c r="L1362" s="659"/>
      <c r="M1362" s="656"/>
      <c r="N1362" s="625"/>
      <c r="O1362" s="45"/>
      <c r="P1362" s="45"/>
      <c r="Q1362" s="45"/>
      <c r="R1362" s="45"/>
      <c r="S1362" s="45"/>
      <c r="T1362" s="45"/>
      <c r="U1362" s="45"/>
      <c r="V1362" s="45"/>
      <c r="W1362" s="45"/>
      <c r="X1362" s="45"/>
      <c r="Y1362" s="45"/>
      <c r="Z1362" s="45"/>
      <c r="AA1362" s="45"/>
    </row>
    <row r="1363" spans="1:27" ht="13">
      <c r="A1363" s="54">
        <v>2025</v>
      </c>
      <c r="B1363" s="655">
        <v>45905</v>
      </c>
      <c r="C1363" s="656" t="s">
        <v>481</v>
      </c>
      <c r="D1363" s="656" t="s">
        <v>491</v>
      </c>
      <c r="E1363" s="657" t="s">
        <v>754</v>
      </c>
      <c r="F1363" s="657" t="s">
        <v>576</v>
      </c>
      <c r="G1363" s="656"/>
      <c r="H1363" s="659">
        <v>160</v>
      </c>
      <c r="I1363" s="659">
        <v>160</v>
      </c>
      <c r="J1363" s="659"/>
      <c r="K1363" s="659"/>
      <c r="L1363" s="659"/>
      <c r="M1363" s="656"/>
      <c r="N1363" s="625"/>
      <c r="O1363" s="45"/>
      <c r="P1363" s="45"/>
      <c r="Q1363" s="45"/>
      <c r="R1363" s="45"/>
      <c r="S1363" s="45"/>
      <c r="T1363" s="45"/>
      <c r="U1363" s="45"/>
      <c r="V1363" s="45"/>
      <c r="W1363" s="45"/>
      <c r="X1363" s="45"/>
      <c r="Y1363" s="45"/>
      <c r="Z1363" s="45"/>
      <c r="AA1363" s="45"/>
    </row>
    <row r="1364" spans="1:27" ht="13">
      <c r="A1364" s="54">
        <v>2025</v>
      </c>
      <c r="B1364" s="655">
        <v>45912</v>
      </c>
      <c r="C1364" s="660" t="s">
        <v>481</v>
      </c>
      <c r="D1364" s="660" t="s">
        <v>762</v>
      </c>
      <c r="E1364" s="661" t="s">
        <v>602</v>
      </c>
      <c r="F1364" s="661" t="s">
        <v>576</v>
      </c>
      <c r="G1364" s="660"/>
      <c r="H1364" s="662">
        <v>80.010000000000005</v>
      </c>
      <c r="I1364" s="662">
        <v>80.010000000000005</v>
      </c>
      <c r="J1364" s="659"/>
      <c r="K1364" s="659"/>
      <c r="L1364" s="659"/>
      <c r="M1364" s="656"/>
      <c r="N1364" s="625"/>
      <c r="O1364" s="45"/>
      <c r="P1364" s="45"/>
      <c r="Q1364" s="45"/>
      <c r="R1364" s="45"/>
      <c r="S1364" s="45"/>
      <c r="T1364" s="45"/>
      <c r="U1364" s="45"/>
      <c r="V1364" s="45"/>
      <c r="W1364" s="45"/>
      <c r="X1364" s="45"/>
      <c r="Y1364" s="45"/>
      <c r="Z1364" s="45"/>
      <c r="AA1364" s="45"/>
    </row>
    <row r="1365" spans="1:27" ht="13">
      <c r="A1365" s="54">
        <v>2025</v>
      </c>
      <c r="B1365" s="655">
        <v>45915</v>
      </c>
      <c r="C1365" s="656" t="s">
        <v>481</v>
      </c>
      <c r="D1365" s="656" t="s">
        <v>491</v>
      </c>
      <c r="E1365" s="657" t="s">
        <v>639</v>
      </c>
      <c r="F1365" s="657" t="s">
        <v>576</v>
      </c>
      <c r="G1365" s="656"/>
      <c r="H1365" s="659">
        <v>20</v>
      </c>
      <c r="I1365" s="659">
        <v>20</v>
      </c>
      <c r="J1365" s="659"/>
      <c r="K1365" s="659"/>
      <c r="L1365" s="659"/>
      <c r="M1365" s="656"/>
      <c r="N1365" s="625"/>
      <c r="O1365" s="45"/>
      <c r="P1365" s="45"/>
      <c r="Q1365" s="45"/>
      <c r="R1365" s="45"/>
      <c r="S1365" s="45"/>
      <c r="T1365" s="45"/>
      <c r="U1365" s="45"/>
      <c r="V1365" s="45"/>
      <c r="W1365" s="45"/>
      <c r="X1365" s="45"/>
      <c r="Y1365" s="45"/>
      <c r="Z1365" s="45"/>
      <c r="AA1365" s="45"/>
    </row>
    <row r="1366" spans="1:27" ht="13">
      <c r="A1366" s="54">
        <v>2025</v>
      </c>
      <c r="B1366" s="655">
        <v>45919</v>
      </c>
      <c r="C1366" s="656" t="s">
        <v>481</v>
      </c>
      <c r="D1366" s="656" t="s">
        <v>491</v>
      </c>
      <c r="E1366" s="657" t="s">
        <v>592</v>
      </c>
      <c r="F1366" s="657" t="s">
        <v>576</v>
      </c>
      <c r="G1366" s="656"/>
      <c r="H1366" s="659">
        <v>28</v>
      </c>
      <c r="I1366" s="659">
        <v>28</v>
      </c>
      <c r="J1366" s="659"/>
      <c r="K1366" s="659"/>
      <c r="L1366" s="659"/>
      <c r="M1366" s="656"/>
      <c r="N1366" s="625"/>
      <c r="O1366" s="45"/>
      <c r="P1366" s="45"/>
      <c r="Q1366" s="45"/>
      <c r="R1366" s="45"/>
      <c r="S1366" s="45"/>
      <c r="T1366" s="45"/>
      <c r="U1366" s="45"/>
      <c r="V1366" s="45"/>
      <c r="W1366" s="45"/>
      <c r="X1366" s="45"/>
      <c r="Y1366" s="45"/>
      <c r="Z1366" s="45"/>
      <c r="AA1366" s="45"/>
    </row>
    <row r="1367" spans="1:27" ht="13">
      <c r="A1367" s="54">
        <v>2025</v>
      </c>
      <c r="B1367" s="655">
        <v>45920</v>
      </c>
      <c r="C1367" s="656" t="s">
        <v>481</v>
      </c>
      <c r="D1367" s="656" t="s">
        <v>491</v>
      </c>
      <c r="E1367" s="657" t="s">
        <v>591</v>
      </c>
      <c r="F1367" s="657" t="s">
        <v>576</v>
      </c>
      <c r="G1367" s="656"/>
      <c r="H1367" s="659">
        <v>20</v>
      </c>
      <c r="I1367" s="659">
        <v>20</v>
      </c>
      <c r="J1367" s="659"/>
      <c r="K1367" s="659"/>
      <c r="L1367" s="659"/>
      <c r="M1367" s="656"/>
      <c r="N1367" s="625"/>
      <c r="O1367" s="45"/>
      <c r="P1367" s="45"/>
      <c r="Q1367" s="45"/>
      <c r="R1367" s="45"/>
      <c r="S1367" s="45"/>
      <c r="T1367" s="45"/>
      <c r="U1367" s="45"/>
      <c r="V1367" s="45"/>
      <c r="W1367" s="45"/>
      <c r="X1367" s="45"/>
      <c r="Y1367" s="45"/>
      <c r="Z1367" s="45"/>
      <c r="AA1367" s="45"/>
    </row>
    <row r="1368" spans="1:27" ht="13">
      <c r="A1368" s="54">
        <v>2025</v>
      </c>
      <c r="B1368" s="655">
        <v>45925</v>
      </c>
      <c r="C1368" s="656" t="s">
        <v>481</v>
      </c>
      <c r="D1368" s="656" t="s">
        <v>491</v>
      </c>
      <c r="E1368" s="657" t="s">
        <v>806</v>
      </c>
      <c r="F1368" s="657" t="s">
        <v>576</v>
      </c>
      <c r="G1368" s="656"/>
      <c r="H1368" s="659">
        <v>13.45</v>
      </c>
      <c r="I1368" s="659">
        <v>13.45</v>
      </c>
      <c r="J1368" s="659"/>
      <c r="K1368" s="659"/>
      <c r="L1368" s="659"/>
      <c r="M1368" s="656"/>
      <c r="N1368" s="625"/>
      <c r="O1368" s="45"/>
      <c r="P1368" s="45"/>
      <c r="Q1368" s="45"/>
      <c r="R1368" s="45"/>
      <c r="S1368" s="45"/>
      <c r="T1368" s="45"/>
      <c r="U1368" s="45"/>
      <c r="V1368" s="45"/>
      <c r="W1368" s="45"/>
      <c r="X1368" s="45"/>
      <c r="Y1368" s="45"/>
      <c r="Z1368" s="45"/>
      <c r="AA1368" s="45"/>
    </row>
    <row r="1369" spans="1:27" ht="13">
      <c r="A1369" s="54">
        <v>2025</v>
      </c>
      <c r="B1369" s="655">
        <v>45926</v>
      </c>
      <c r="C1369" s="656" t="s">
        <v>481</v>
      </c>
      <c r="D1369" s="656" t="s">
        <v>491</v>
      </c>
      <c r="E1369" s="657" t="s">
        <v>534</v>
      </c>
      <c r="F1369" s="657" t="s">
        <v>576</v>
      </c>
      <c r="G1369" s="656"/>
      <c r="H1369" s="659">
        <v>16.989999999999998</v>
      </c>
      <c r="I1369" s="659">
        <v>16.989999999999998</v>
      </c>
      <c r="J1369" s="659"/>
      <c r="K1369" s="659"/>
      <c r="L1369" s="659"/>
      <c r="M1369" s="656"/>
      <c r="N1369" s="625"/>
      <c r="O1369" s="45"/>
      <c r="P1369" s="45"/>
      <c r="Q1369" s="45"/>
      <c r="R1369" s="45"/>
      <c r="S1369" s="45"/>
      <c r="T1369" s="45"/>
      <c r="U1369" s="45"/>
      <c r="V1369" s="45"/>
      <c r="W1369" s="45"/>
      <c r="X1369" s="45"/>
      <c r="Y1369" s="45"/>
      <c r="Z1369" s="45"/>
      <c r="AA1369" s="45"/>
    </row>
    <row r="1370" spans="1:27" ht="13">
      <c r="A1370" s="54">
        <v>2025</v>
      </c>
      <c r="B1370" s="655">
        <v>45926</v>
      </c>
      <c r="C1370" s="656" t="s">
        <v>481</v>
      </c>
      <c r="D1370" s="656" t="s">
        <v>493</v>
      </c>
      <c r="E1370" s="657" t="s">
        <v>479</v>
      </c>
      <c r="F1370" s="354" t="s">
        <v>624</v>
      </c>
      <c r="G1370" s="656"/>
      <c r="H1370" s="659">
        <v>32.119999999999997</v>
      </c>
      <c r="I1370" s="659">
        <v>26.33</v>
      </c>
      <c r="J1370" s="659"/>
      <c r="K1370" s="659"/>
      <c r="L1370" s="659">
        <f>5.79*M1370</f>
        <v>230.76624000000001</v>
      </c>
      <c r="M1370" s="656">
        <v>39.856000000000002</v>
      </c>
      <c r="N1370" s="625"/>
      <c r="O1370" s="45"/>
      <c r="P1370" s="45"/>
      <c r="Q1370" s="45"/>
      <c r="R1370" s="45"/>
      <c r="S1370" s="45"/>
      <c r="T1370" s="45"/>
      <c r="U1370" s="45"/>
      <c r="V1370" s="45"/>
      <c r="W1370" s="45"/>
      <c r="X1370" s="45"/>
      <c r="Y1370" s="45"/>
      <c r="Z1370" s="45"/>
      <c r="AA1370" s="45"/>
    </row>
    <row r="1371" spans="1:27" ht="13">
      <c r="A1371" s="54">
        <v>2025</v>
      </c>
      <c r="B1371" s="655">
        <v>45909</v>
      </c>
      <c r="C1371" s="656" t="s">
        <v>481</v>
      </c>
      <c r="D1371" s="660" t="s">
        <v>762</v>
      </c>
      <c r="E1371" s="663" t="s">
        <v>654</v>
      </c>
      <c r="F1371" s="661" t="s">
        <v>576</v>
      </c>
      <c r="G1371" s="660"/>
      <c r="H1371" s="662"/>
      <c r="I1371" s="662"/>
      <c r="J1371" s="662">
        <v>31.1</v>
      </c>
      <c r="K1371" s="662">
        <v>31.1</v>
      </c>
      <c r="L1371" s="659"/>
      <c r="M1371" s="656"/>
      <c r="N1371" s="625"/>
      <c r="O1371" s="45"/>
      <c r="P1371" s="45"/>
      <c r="Q1371" s="45"/>
      <c r="R1371" s="45"/>
      <c r="S1371" s="45"/>
      <c r="T1371" s="45"/>
      <c r="U1371" s="45"/>
      <c r="V1371" s="45"/>
      <c r="W1371" s="45"/>
      <c r="X1371" s="45"/>
      <c r="Y1371" s="45"/>
      <c r="Z1371" s="45"/>
      <c r="AA1371" s="45"/>
    </row>
    <row r="1372" spans="1:27" ht="13">
      <c r="A1372" s="54">
        <v>2025</v>
      </c>
      <c r="B1372" s="655">
        <v>45909</v>
      </c>
      <c r="C1372" s="656" t="s">
        <v>481</v>
      </c>
      <c r="D1372" s="656" t="s">
        <v>491</v>
      </c>
      <c r="E1372" s="657" t="s">
        <v>498</v>
      </c>
      <c r="F1372" s="657" t="s">
        <v>576</v>
      </c>
      <c r="G1372" s="656"/>
      <c r="H1372" s="659"/>
      <c r="I1372" s="659"/>
      <c r="J1372" s="659">
        <v>449</v>
      </c>
      <c r="K1372" s="659">
        <v>449</v>
      </c>
      <c r="L1372" s="659"/>
      <c r="M1372" s="656"/>
      <c r="N1372" s="625"/>
      <c r="O1372" s="45"/>
      <c r="P1372" s="45"/>
      <c r="Q1372" s="45"/>
      <c r="R1372" s="45"/>
      <c r="S1372" s="45"/>
      <c r="T1372" s="45"/>
      <c r="U1372" s="45"/>
      <c r="V1372" s="45"/>
      <c r="W1372" s="45"/>
      <c r="X1372" s="45"/>
      <c r="Y1372" s="45"/>
      <c r="Z1372" s="45"/>
      <c r="AA1372" s="45"/>
    </row>
    <row r="1373" spans="1:27" ht="13">
      <c r="A1373" s="54">
        <v>2025</v>
      </c>
      <c r="B1373" s="655">
        <v>45925</v>
      </c>
      <c r="C1373" s="656" t="s">
        <v>481</v>
      </c>
      <c r="D1373" s="660" t="s">
        <v>762</v>
      </c>
      <c r="E1373" s="661" t="s">
        <v>647</v>
      </c>
      <c r="F1373" s="661" t="s">
        <v>576</v>
      </c>
      <c r="G1373" s="660"/>
      <c r="H1373" s="662"/>
      <c r="I1373" s="662"/>
      <c r="J1373" s="662">
        <v>250</v>
      </c>
      <c r="K1373" s="662">
        <v>250</v>
      </c>
      <c r="L1373" s="659"/>
      <c r="M1373" s="656"/>
      <c r="N1373" s="625"/>
      <c r="O1373" s="45"/>
      <c r="P1373" s="45"/>
      <c r="Q1373" s="45"/>
      <c r="R1373" s="45"/>
      <c r="S1373" s="45"/>
      <c r="T1373" s="45"/>
      <c r="U1373" s="45"/>
      <c r="V1373" s="45"/>
      <c r="W1373" s="45"/>
      <c r="X1373" s="45"/>
      <c r="Y1373" s="45"/>
      <c r="Z1373" s="45"/>
      <c r="AA1373" s="45"/>
    </row>
    <row r="1374" spans="1:27" ht="13">
      <c r="A1374" s="54">
        <v>2025</v>
      </c>
      <c r="B1374" s="655">
        <v>45901</v>
      </c>
      <c r="C1374" s="660" t="s">
        <v>481</v>
      </c>
      <c r="D1374" s="660" t="s">
        <v>762</v>
      </c>
      <c r="E1374" s="661" t="s">
        <v>807</v>
      </c>
      <c r="F1374" s="661" t="s">
        <v>576</v>
      </c>
      <c r="G1374" s="660"/>
      <c r="H1374" s="662">
        <v>16.8</v>
      </c>
      <c r="I1374" s="662">
        <v>16.8</v>
      </c>
      <c r="J1374" s="659"/>
      <c r="K1374" s="659"/>
      <c r="L1374" s="659"/>
      <c r="M1374" s="656"/>
      <c r="N1374" s="625"/>
      <c r="O1374" s="45"/>
      <c r="P1374" s="45"/>
      <c r="Q1374" s="45"/>
      <c r="R1374" s="45"/>
      <c r="S1374" s="45"/>
      <c r="T1374" s="45"/>
      <c r="U1374" s="45"/>
      <c r="V1374" s="45"/>
      <c r="W1374" s="45"/>
      <c r="X1374" s="45"/>
      <c r="Y1374" s="45"/>
      <c r="Z1374" s="45"/>
      <c r="AA1374" s="45"/>
    </row>
    <row r="1375" spans="1:27" ht="13">
      <c r="A1375" s="54">
        <v>2025</v>
      </c>
      <c r="B1375" s="655">
        <v>45901</v>
      </c>
      <c r="C1375" s="656" t="s">
        <v>481</v>
      </c>
      <c r="D1375" s="656" t="s">
        <v>491</v>
      </c>
      <c r="E1375" s="657" t="s">
        <v>68</v>
      </c>
      <c r="F1375" s="657" t="s">
        <v>576</v>
      </c>
      <c r="G1375" s="656"/>
      <c r="H1375" s="659">
        <v>117.6</v>
      </c>
      <c r="I1375" s="659">
        <v>117.6</v>
      </c>
      <c r="J1375" s="659"/>
      <c r="K1375" s="659"/>
      <c r="L1375" s="659"/>
      <c r="M1375" s="656"/>
      <c r="N1375" s="625"/>
      <c r="O1375" s="45"/>
      <c r="P1375" s="45"/>
      <c r="Q1375" s="45"/>
      <c r="R1375" s="45"/>
      <c r="S1375" s="45"/>
      <c r="T1375" s="45"/>
      <c r="U1375" s="45"/>
      <c r="V1375" s="45"/>
      <c r="W1375" s="45"/>
      <c r="X1375" s="45"/>
      <c r="Y1375" s="45"/>
      <c r="Z1375" s="45"/>
      <c r="AA1375" s="45"/>
    </row>
    <row r="1376" spans="1:27" ht="13">
      <c r="A1376" s="54">
        <v>2025</v>
      </c>
      <c r="B1376" s="655">
        <v>45901</v>
      </c>
      <c r="C1376" s="656" t="s">
        <v>481</v>
      </c>
      <c r="D1376" s="656" t="s">
        <v>491</v>
      </c>
      <c r="E1376" s="657" t="s">
        <v>808</v>
      </c>
      <c r="F1376" s="657" t="s">
        <v>576</v>
      </c>
      <c r="G1376" s="656"/>
      <c r="H1376" s="659">
        <f t="shared" ref="H1376:I1376" si="96">42.41-SUM(H1377:H1378)</f>
        <v>19.049999999999997</v>
      </c>
      <c r="I1376" s="659">
        <f t="shared" si="96"/>
        <v>19.049999999999997</v>
      </c>
      <c r="J1376" s="659"/>
      <c r="K1376" s="659"/>
      <c r="L1376" s="659"/>
      <c r="M1376" s="656"/>
      <c r="N1376" s="625"/>
      <c r="O1376" s="45"/>
      <c r="P1376" s="45"/>
      <c r="Q1376" s="45"/>
      <c r="R1376" s="45"/>
      <c r="S1376" s="45"/>
      <c r="T1376" s="45"/>
      <c r="U1376" s="45"/>
      <c r="V1376" s="45"/>
      <c r="W1376" s="45"/>
      <c r="X1376" s="45"/>
      <c r="Y1376" s="45"/>
      <c r="Z1376" s="45"/>
      <c r="AA1376" s="45"/>
    </row>
    <row r="1377" spans="1:27" ht="13">
      <c r="A1377" s="54">
        <v>2025</v>
      </c>
      <c r="B1377" s="655">
        <v>45901</v>
      </c>
      <c r="C1377" s="660" t="s">
        <v>481</v>
      </c>
      <c r="D1377" s="660" t="s">
        <v>762</v>
      </c>
      <c r="E1377" s="660" t="s">
        <v>793</v>
      </c>
      <c r="F1377" s="660" t="s">
        <v>576</v>
      </c>
      <c r="G1377" s="662"/>
      <c r="H1377" s="664">
        <v>11.65</v>
      </c>
      <c r="I1377" s="664">
        <v>11.65</v>
      </c>
      <c r="J1377" s="659"/>
      <c r="K1377" s="659"/>
      <c r="L1377" s="659"/>
      <c r="M1377" s="656"/>
      <c r="N1377" s="625"/>
      <c r="O1377" s="45"/>
      <c r="P1377" s="45"/>
      <c r="Q1377" s="45"/>
      <c r="R1377" s="45"/>
      <c r="S1377" s="45"/>
      <c r="T1377" s="45"/>
      <c r="U1377" s="45"/>
      <c r="V1377" s="45"/>
      <c r="W1377" s="45"/>
      <c r="X1377" s="45"/>
      <c r="Y1377" s="45"/>
      <c r="Z1377" s="45"/>
      <c r="AA1377" s="45"/>
    </row>
    <row r="1378" spans="1:27" ht="13">
      <c r="A1378" s="54">
        <v>2025</v>
      </c>
      <c r="B1378" s="655">
        <v>45901</v>
      </c>
      <c r="C1378" s="660" t="s">
        <v>481</v>
      </c>
      <c r="D1378" s="660" t="s">
        <v>762</v>
      </c>
      <c r="E1378" s="660" t="s">
        <v>795</v>
      </c>
      <c r="F1378" s="660" t="s">
        <v>576</v>
      </c>
      <c r="G1378" s="662"/>
      <c r="H1378" s="664">
        <v>11.71</v>
      </c>
      <c r="I1378" s="664">
        <v>11.71</v>
      </c>
      <c r="J1378" s="659"/>
      <c r="K1378" s="659"/>
      <c r="L1378" s="659"/>
      <c r="M1378" s="656"/>
      <c r="N1378" s="625"/>
      <c r="O1378" s="45"/>
      <c r="P1378" s="45"/>
      <c r="Q1378" s="45"/>
      <c r="R1378" s="45"/>
      <c r="S1378" s="45"/>
      <c r="T1378" s="45"/>
      <c r="U1378" s="45"/>
      <c r="V1378" s="45"/>
      <c r="W1378" s="45"/>
      <c r="X1378" s="45"/>
      <c r="Y1378" s="45"/>
      <c r="Z1378" s="45"/>
      <c r="AA1378" s="45"/>
    </row>
    <row r="1379" spans="1:27" ht="13">
      <c r="A1379" s="54">
        <v>2025</v>
      </c>
      <c r="B1379" s="655">
        <v>45901</v>
      </c>
      <c r="C1379" s="656" t="s">
        <v>481</v>
      </c>
      <c r="D1379" s="656" t="s">
        <v>491</v>
      </c>
      <c r="E1379" s="665" t="s">
        <v>809</v>
      </c>
      <c r="F1379" s="657" t="s">
        <v>576</v>
      </c>
      <c r="G1379" s="656"/>
      <c r="H1379" s="659">
        <v>0.5</v>
      </c>
      <c r="I1379" s="659">
        <v>0.5</v>
      </c>
      <c r="J1379" s="659"/>
      <c r="K1379" s="659"/>
      <c r="L1379" s="659"/>
      <c r="M1379" s="656"/>
      <c r="N1379" s="625"/>
      <c r="O1379" s="45"/>
      <c r="P1379" s="45"/>
      <c r="Q1379" s="45"/>
      <c r="R1379" s="45"/>
      <c r="S1379" s="45"/>
      <c r="T1379" s="45"/>
      <c r="U1379" s="45"/>
      <c r="V1379" s="45"/>
      <c r="W1379" s="45"/>
      <c r="X1379" s="45"/>
      <c r="Y1379" s="45"/>
      <c r="Z1379" s="45"/>
      <c r="AA1379" s="45"/>
    </row>
    <row r="1380" spans="1:27" ht="13">
      <c r="A1380" s="54">
        <v>2025</v>
      </c>
      <c r="B1380" s="655">
        <v>45901</v>
      </c>
      <c r="C1380" s="656" t="s">
        <v>481</v>
      </c>
      <c r="D1380" s="656" t="s">
        <v>491</v>
      </c>
      <c r="E1380" s="665" t="s">
        <v>809</v>
      </c>
      <c r="F1380" s="657" t="s">
        <v>576</v>
      </c>
      <c r="G1380" s="656"/>
      <c r="H1380" s="659">
        <v>0.5</v>
      </c>
      <c r="I1380" s="659">
        <v>0.5</v>
      </c>
      <c r="J1380" s="659"/>
      <c r="K1380" s="659"/>
      <c r="L1380" s="659"/>
      <c r="M1380" s="656"/>
      <c r="N1380" s="62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  <c r="AA1380" s="45"/>
    </row>
    <row r="1381" spans="1:27" ht="13">
      <c r="A1381" s="54">
        <v>2025</v>
      </c>
      <c r="B1381" s="655">
        <v>45930</v>
      </c>
      <c r="C1381" s="656" t="s">
        <v>481</v>
      </c>
      <c r="D1381" s="656" t="s">
        <v>475</v>
      </c>
      <c r="E1381" s="657" t="s">
        <v>810</v>
      </c>
      <c r="F1381" s="657" t="s">
        <v>811</v>
      </c>
      <c r="G1381" s="656"/>
      <c r="H1381" s="659">
        <v>840.54</v>
      </c>
      <c r="I1381" s="659">
        <v>688.97</v>
      </c>
      <c r="J1381" s="659"/>
      <c r="K1381" s="659"/>
      <c r="L1381" s="659">
        <f>151.57*M1381</f>
        <v>4675.7829299999994</v>
      </c>
      <c r="M1381" s="656">
        <v>30.849</v>
      </c>
      <c r="N1381" s="625"/>
      <c r="O1381" s="45"/>
      <c r="P1381" s="45"/>
      <c r="Q1381" s="45"/>
      <c r="R1381" s="45"/>
      <c r="S1381" s="45"/>
      <c r="T1381" s="45"/>
      <c r="U1381" s="45"/>
      <c r="V1381" s="45"/>
      <c r="W1381" s="45"/>
      <c r="X1381" s="45"/>
      <c r="Y1381" s="45"/>
      <c r="Z1381" s="45"/>
      <c r="AA1381" s="45"/>
    </row>
    <row r="1382" spans="1:27" ht="13">
      <c r="A1382" s="54">
        <v>2025</v>
      </c>
      <c r="B1382" s="655">
        <v>45930</v>
      </c>
      <c r="C1382" s="656" t="s">
        <v>481</v>
      </c>
      <c r="D1382" s="656" t="s">
        <v>478</v>
      </c>
      <c r="E1382" s="657" t="s">
        <v>479</v>
      </c>
      <c r="F1382" s="657" t="s">
        <v>478</v>
      </c>
      <c r="G1382" s="656"/>
      <c r="H1382" s="659">
        <v>40</v>
      </c>
      <c r="I1382" s="659">
        <v>40</v>
      </c>
      <c r="J1382" s="659"/>
      <c r="K1382" s="659"/>
      <c r="L1382" s="659"/>
      <c r="M1382" s="656"/>
      <c r="N1382" s="625"/>
      <c r="O1382" s="45"/>
      <c r="P1382" s="45"/>
      <c r="Q1382" s="45"/>
      <c r="R1382" s="45"/>
      <c r="S1382" s="45"/>
      <c r="T1382" s="45"/>
      <c r="U1382" s="45"/>
      <c r="V1382" s="45"/>
      <c r="W1382" s="45"/>
      <c r="X1382" s="45"/>
      <c r="Y1382" s="45"/>
      <c r="Z1382" s="45"/>
      <c r="AA1382" s="45"/>
    </row>
    <row r="1383" spans="1:27" ht="13">
      <c r="A1383" s="54">
        <v>2025</v>
      </c>
      <c r="B1383" s="655">
        <v>45930</v>
      </c>
      <c r="C1383" s="354" t="s">
        <v>481</v>
      </c>
      <c r="D1383" s="354" t="s">
        <v>494</v>
      </c>
      <c r="E1383" s="354" t="s">
        <v>502</v>
      </c>
      <c r="F1383" s="354" t="s">
        <v>522</v>
      </c>
      <c r="G1383" s="656"/>
      <c r="H1383" s="659"/>
      <c r="I1383" s="659"/>
      <c r="J1383" s="659">
        <v>14165</v>
      </c>
      <c r="K1383" s="659">
        <v>14165</v>
      </c>
      <c r="L1383" s="659"/>
      <c r="M1383" s="656"/>
      <c r="N1383" s="625"/>
      <c r="O1383" s="45"/>
      <c r="P1383" s="45"/>
      <c r="Q1383" s="45"/>
      <c r="R1383" s="45"/>
      <c r="S1383" s="45"/>
      <c r="T1383" s="45"/>
      <c r="U1383" s="45"/>
      <c r="V1383" s="45"/>
      <c r="W1383" s="45"/>
      <c r="X1383" s="45"/>
      <c r="Y1383" s="45"/>
      <c r="Z1383" s="45"/>
      <c r="AA1383" s="45"/>
    </row>
    <row r="1384" spans="1:27" ht="13">
      <c r="A1384" s="54">
        <v>2025</v>
      </c>
      <c r="B1384" s="655">
        <v>45930</v>
      </c>
      <c r="C1384" s="354" t="s">
        <v>481</v>
      </c>
      <c r="D1384" s="354" t="s">
        <v>494</v>
      </c>
      <c r="E1384" s="354" t="s">
        <v>512</v>
      </c>
      <c r="F1384" s="354" t="s">
        <v>528</v>
      </c>
      <c r="G1384" s="656"/>
      <c r="H1384" s="659"/>
      <c r="I1384" s="659"/>
      <c r="J1384" s="659">
        <f>P1356</f>
        <v>345404.32736</v>
      </c>
      <c r="K1384" s="659">
        <f>P1356</f>
        <v>345404.32736</v>
      </c>
      <c r="L1384" s="659"/>
      <c r="M1384" s="656"/>
      <c r="N1384" s="625"/>
      <c r="O1384" s="45"/>
      <c r="P1384" s="45"/>
      <c r="Q1384" s="45"/>
      <c r="R1384" s="45"/>
      <c r="S1384" s="45"/>
      <c r="T1384" s="45"/>
      <c r="U1384" s="45"/>
      <c r="V1384" s="45"/>
      <c r="W1384" s="45"/>
      <c r="X1384" s="45"/>
      <c r="Y1384" s="45"/>
      <c r="Z1384" s="45"/>
      <c r="AA1384" s="45"/>
    </row>
    <row r="1385" spans="1:27" ht="13">
      <c r="A1385" s="54">
        <v>2025</v>
      </c>
      <c r="B1385" s="655">
        <v>45930</v>
      </c>
      <c r="C1385" s="354" t="s">
        <v>481</v>
      </c>
      <c r="D1385" s="354" t="s">
        <v>494</v>
      </c>
      <c r="E1385" s="354" t="s">
        <v>512</v>
      </c>
      <c r="F1385" s="354" t="s">
        <v>51</v>
      </c>
      <c r="G1385" s="656"/>
      <c r="H1385" s="659"/>
      <c r="I1385" s="659"/>
      <c r="J1385" s="659">
        <v>8110</v>
      </c>
      <c r="K1385" s="659">
        <v>8110</v>
      </c>
      <c r="L1385" s="659"/>
      <c r="M1385" s="656"/>
      <c r="N1385" s="625"/>
      <c r="O1385" s="45"/>
      <c r="P1385" s="45"/>
      <c r="Q1385" s="45"/>
      <c r="R1385" s="45"/>
      <c r="S1385" s="45"/>
      <c r="T1385" s="45"/>
      <c r="U1385" s="45"/>
      <c r="V1385" s="45"/>
      <c r="W1385" s="45"/>
      <c r="X1385" s="45"/>
      <c r="Y1385" s="45"/>
      <c r="Z1385" s="45"/>
      <c r="AA1385" s="45"/>
    </row>
    <row r="1386" spans="1:27" ht="13">
      <c r="A1386" s="54">
        <v>2025</v>
      </c>
      <c r="B1386" s="655">
        <v>45930</v>
      </c>
      <c r="C1386" s="354" t="s">
        <v>481</v>
      </c>
      <c r="D1386" s="354" t="s">
        <v>494</v>
      </c>
      <c r="E1386" s="354" t="s">
        <v>512</v>
      </c>
      <c r="F1386" s="657" t="s">
        <v>574</v>
      </c>
      <c r="G1386" s="656"/>
      <c r="H1386" s="659"/>
      <c r="I1386" s="659"/>
      <c r="J1386" s="659">
        <v>3197</v>
      </c>
      <c r="K1386" s="659">
        <v>3197</v>
      </c>
      <c r="L1386" s="659"/>
      <c r="M1386" s="656"/>
      <c r="N1386" s="625"/>
      <c r="O1386" s="45"/>
      <c r="P1386" s="45"/>
      <c r="Q1386" s="45"/>
      <c r="R1386" s="45"/>
      <c r="S1386" s="45"/>
      <c r="T1386" s="45"/>
      <c r="U1386" s="45"/>
      <c r="V1386" s="45"/>
      <c r="W1386" s="45"/>
      <c r="X1386" s="45"/>
      <c r="Y1386" s="45"/>
      <c r="Z1386" s="45"/>
      <c r="AA1386" s="45"/>
    </row>
    <row r="1387" spans="1:27" ht="13">
      <c r="A1387" s="54">
        <v>2025</v>
      </c>
      <c r="B1387" s="655">
        <v>45930</v>
      </c>
      <c r="C1387" s="656" t="s">
        <v>481</v>
      </c>
      <c r="D1387" s="656" t="s">
        <v>489</v>
      </c>
      <c r="E1387" s="657" t="s">
        <v>463</v>
      </c>
      <c r="F1387" s="657" t="s">
        <v>576</v>
      </c>
      <c r="G1387" s="656"/>
      <c r="H1387" s="659"/>
      <c r="I1387" s="659"/>
      <c r="J1387" s="659">
        <v>7000</v>
      </c>
      <c r="K1387" s="659">
        <f>J1387-L1387</f>
        <v>5737.7</v>
      </c>
      <c r="L1387" s="659">
        <v>1262.3</v>
      </c>
      <c r="M1387" s="656"/>
      <c r="N1387" s="625"/>
      <c r="O1387" s="45"/>
      <c r="P1387" s="45"/>
      <c r="Q1387" s="45"/>
      <c r="R1387" s="45"/>
      <c r="S1387" s="45"/>
      <c r="T1387" s="45"/>
      <c r="U1387" s="45"/>
      <c r="V1387" s="45"/>
      <c r="W1387" s="45"/>
      <c r="X1387" s="45"/>
      <c r="Y1387" s="45"/>
      <c r="Z1387" s="45"/>
      <c r="AA1387" s="45"/>
    </row>
    <row r="1388" spans="1:27" ht="13">
      <c r="A1388" s="54">
        <v>2025</v>
      </c>
      <c r="B1388" s="655">
        <v>45930</v>
      </c>
      <c r="C1388" s="354" t="s">
        <v>481</v>
      </c>
      <c r="D1388" s="354" t="s">
        <v>482</v>
      </c>
      <c r="E1388" s="354" t="s">
        <v>458</v>
      </c>
      <c r="F1388" s="354" t="s">
        <v>459</v>
      </c>
      <c r="G1388" s="656"/>
      <c r="H1388" s="659">
        <v>5490</v>
      </c>
      <c r="I1388" s="659">
        <v>4500</v>
      </c>
      <c r="J1388" s="659"/>
      <c r="K1388" s="659"/>
      <c r="L1388" s="659">
        <f>990*M1388</f>
        <v>30540.51</v>
      </c>
      <c r="M1388" s="656">
        <v>30.849</v>
      </c>
      <c r="N1388" s="625"/>
      <c r="O1388" s="45"/>
      <c r="P1388" s="45"/>
      <c r="Q1388" s="45"/>
      <c r="R1388" s="45"/>
      <c r="S1388" s="45"/>
      <c r="T1388" s="45"/>
      <c r="U1388" s="45"/>
      <c r="V1388" s="45"/>
      <c r="W1388" s="45"/>
      <c r="X1388" s="45"/>
      <c r="Y1388" s="45"/>
      <c r="Z1388" s="45"/>
      <c r="AA1388" s="45"/>
    </row>
    <row r="1389" spans="1:27" ht="13">
      <c r="A1389" s="54">
        <v>2025</v>
      </c>
      <c r="B1389" s="655">
        <v>45930</v>
      </c>
      <c r="C1389" s="354" t="s">
        <v>481</v>
      </c>
      <c r="D1389" s="354" t="s">
        <v>482</v>
      </c>
      <c r="E1389" s="354" t="s">
        <v>495</v>
      </c>
      <c r="F1389" s="354" t="s">
        <v>496</v>
      </c>
      <c r="G1389" s="355"/>
      <c r="H1389" s="483">
        <v>9523.81</v>
      </c>
      <c r="I1389" s="483">
        <v>9523.81</v>
      </c>
      <c r="J1389" s="355"/>
      <c r="K1389" s="355"/>
      <c r="L1389" s="659"/>
      <c r="M1389" s="656"/>
      <c r="N1389" s="62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</row>
    <row r="1390" spans="1:27" ht="13">
      <c r="A1390" s="54">
        <v>2025</v>
      </c>
      <c r="B1390" s="655">
        <v>45930</v>
      </c>
      <c r="C1390" s="656" t="s">
        <v>481</v>
      </c>
      <c r="D1390" s="656" t="s">
        <v>484</v>
      </c>
      <c r="E1390" s="656" t="s">
        <v>513</v>
      </c>
      <c r="F1390" s="656" t="s">
        <v>488</v>
      </c>
      <c r="G1390" s="656"/>
      <c r="H1390" s="659"/>
      <c r="I1390" s="659"/>
      <c r="J1390" s="659">
        <v>31318</v>
      </c>
      <c r="K1390" s="659">
        <v>31318</v>
      </c>
      <c r="L1390" s="659"/>
      <c r="M1390" s="656"/>
      <c r="N1390" s="62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</row>
    <row r="1391" spans="1:27" ht="13">
      <c r="A1391" s="54">
        <v>2025</v>
      </c>
      <c r="B1391" s="655">
        <v>45930</v>
      </c>
      <c r="C1391" s="656" t="s">
        <v>679</v>
      </c>
      <c r="D1391" s="656" t="s">
        <v>478</v>
      </c>
      <c r="E1391" s="656" t="s">
        <v>479</v>
      </c>
      <c r="F1391" s="656" t="s">
        <v>480</v>
      </c>
      <c r="G1391" s="656"/>
      <c r="H1391" s="659">
        <v>40</v>
      </c>
      <c r="I1391" s="659">
        <v>40</v>
      </c>
      <c r="J1391" s="481"/>
      <c r="K1391" s="659"/>
      <c r="L1391" s="659"/>
      <c r="M1391" s="656"/>
      <c r="N1391" s="625"/>
      <c r="O1391" s="45"/>
      <c r="P1391" s="45"/>
      <c r="Q1391" s="45"/>
      <c r="R1391" s="45"/>
      <c r="S1391" s="45"/>
      <c r="T1391" s="45"/>
      <c r="U1391" s="45"/>
      <c r="V1391" s="45"/>
      <c r="W1391" s="45"/>
      <c r="X1391" s="45"/>
      <c r="Y1391" s="45"/>
      <c r="Z1391" s="45"/>
      <c r="AA1391" s="45"/>
    </row>
    <row r="1392" spans="1:27" ht="13">
      <c r="A1392" s="54">
        <v>2025</v>
      </c>
      <c r="B1392" s="655">
        <v>45930</v>
      </c>
      <c r="C1392" s="354" t="s">
        <v>679</v>
      </c>
      <c r="D1392" s="354" t="s">
        <v>482</v>
      </c>
      <c r="E1392" s="354" t="s">
        <v>752</v>
      </c>
      <c r="F1392" s="354" t="s">
        <v>459</v>
      </c>
      <c r="G1392" s="354"/>
      <c r="H1392" s="355">
        <v>2500</v>
      </c>
      <c r="I1392" s="355">
        <v>2500</v>
      </c>
      <c r="J1392" s="481"/>
      <c r="K1392" s="659"/>
      <c r="L1392" s="659"/>
      <c r="M1392" s="656"/>
      <c r="N1392" s="625"/>
      <c r="O1392" s="45"/>
      <c r="P1392" s="45"/>
      <c r="Q1392" s="45"/>
      <c r="R1392" s="45"/>
      <c r="S1392" s="45"/>
      <c r="T1392" s="45"/>
      <c r="U1392" s="45"/>
      <c r="V1392" s="45"/>
      <c r="W1392" s="45"/>
      <c r="X1392" s="45"/>
      <c r="Y1392" s="45"/>
      <c r="Z1392" s="45"/>
      <c r="AA1392" s="45"/>
    </row>
    <row r="1393" spans="1:27" ht="13">
      <c r="A1393" s="54">
        <v>2025</v>
      </c>
      <c r="B1393" s="655">
        <v>45930</v>
      </c>
      <c r="C1393" s="354" t="s">
        <v>474</v>
      </c>
      <c r="D1393" s="354" t="s">
        <v>482</v>
      </c>
      <c r="E1393" s="354" t="s">
        <v>535</v>
      </c>
      <c r="F1393" s="354" t="s">
        <v>459</v>
      </c>
      <c r="G1393" s="355"/>
      <c r="H1393" s="356">
        <v>1320</v>
      </c>
      <c r="I1393" s="356">
        <v>1320</v>
      </c>
      <c r="J1393" s="481"/>
      <c r="K1393" s="659"/>
      <c r="L1393" s="659"/>
      <c r="M1393" s="656"/>
      <c r="N1393" s="625"/>
      <c r="O1393" s="45"/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</row>
    <row r="1394" spans="1:27" ht="13">
      <c r="A1394" s="54">
        <v>2025</v>
      </c>
      <c r="B1394" s="655">
        <v>45930</v>
      </c>
      <c r="C1394" s="354" t="s">
        <v>474</v>
      </c>
      <c r="D1394" s="354" t="s">
        <v>478</v>
      </c>
      <c r="E1394" s="354" t="s">
        <v>701</v>
      </c>
      <c r="F1394" s="354" t="s">
        <v>539</v>
      </c>
      <c r="G1394" s="355"/>
      <c r="H1394" s="356">
        <v>13.33</v>
      </c>
      <c r="I1394" s="356">
        <v>13.33</v>
      </c>
      <c r="J1394" s="481"/>
      <c r="K1394" s="659"/>
      <c r="L1394" s="659"/>
      <c r="M1394" s="656"/>
      <c r="N1394" s="625"/>
      <c r="O1394" s="45"/>
      <c r="P1394" s="45"/>
      <c r="Q1394" s="45"/>
      <c r="R1394" s="45"/>
      <c r="S1394" s="45"/>
      <c r="T1394" s="45"/>
      <c r="U1394" s="45"/>
      <c r="V1394" s="45"/>
      <c r="W1394" s="45"/>
      <c r="X1394" s="45"/>
      <c r="Y1394" s="45"/>
      <c r="Z1394" s="45"/>
      <c r="AA1394" s="45"/>
    </row>
    <row r="1395" spans="1:27" ht="13">
      <c r="A1395" s="54">
        <v>2025</v>
      </c>
      <c r="B1395" s="655">
        <v>45930</v>
      </c>
      <c r="C1395" s="354" t="s">
        <v>474</v>
      </c>
      <c r="D1395" s="354" t="s">
        <v>482</v>
      </c>
      <c r="E1395" s="354" t="s">
        <v>541</v>
      </c>
      <c r="F1395" s="354" t="s">
        <v>459</v>
      </c>
      <c r="G1395" s="355"/>
      <c r="H1395" s="356">
        <v>1320</v>
      </c>
      <c r="I1395" s="356">
        <v>1320</v>
      </c>
      <c r="J1395" s="481"/>
      <c r="K1395" s="659"/>
      <c r="L1395" s="659"/>
      <c r="M1395" s="656"/>
      <c r="N1395" s="625"/>
      <c r="O1395" s="45"/>
      <c r="P1395" s="45"/>
      <c r="Q1395" s="45"/>
      <c r="R1395" s="45"/>
      <c r="S1395" s="45"/>
      <c r="T1395" s="45"/>
      <c r="U1395" s="45"/>
      <c r="V1395" s="45"/>
      <c r="W1395" s="45"/>
      <c r="X1395" s="45"/>
      <c r="Y1395" s="45"/>
      <c r="Z1395" s="45"/>
      <c r="AA1395" s="45"/>
    </row>
    <row r="1396" spans="1:27" ht="13">
      <c r="A1396" s="54">
        <v>2025</v>
      </c>
      <c r="B1396" s="655">
        <v>45930</v>
      </c>
      <c r="C1396" s="343" t="s">
        <v>474</v>
      </c>
      <c r="D1396" s="354" t="s">
        <v>478</v>
      </c>
      <c r="E1396" s="354" t="s">
        <v>701</v>
      </c>
      <c r="F1396" s="354" t="s">
        <v>539</v>
      </c>
      <c r="G1396" s="354"/>
      <c r="H1396" s="356">
        <v>13.33</v>
      </c>
      <c r="I1396" s="356">
        <v>13.33</v>
      </c>
      <c r="J1396" s="481"/>
      <c r="K1396" s="659"/>
      <c r="L1396" s="659"/>
      <c r="M1396" s="656"/>
      <c r="N1396" s="625"/>
      <c r="O1396" s="45"/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</row>
    <row r="1397" spans="1:27" ht="13">
      <c r="A1397" s="54">
        <v>2025</v>
      </c>
      <c r="B1397" s="655">
        <v>45930</v>
      </c>
      <c r="C1397" s="666" t="s">
        <v>679</v>
      </c>
      <c r="D1397" s="534" t="s">
        <v>482</v>
      </c>
      <c r="E1397" s="534" t="s">
        <v>761</v>
      </c>
      <c r="F1397" s="534" t="s">
        <v>459</v>
      </c>
      <c r="G1397" s="529"/>
      <c r="H1397" s="667">
        <v>3000</v>
      </c>
      <c r="I1397" s="667">
        <v>3000</v>
      </c>
      <c r="J1397" s="481"/>
      <c r="K1397" s="659"/>
      <c r="L1397" s="659"/>
      <c r="M1397" s="656"/>
      <c r="N1397" s="625"/>
      <c r="O1397" s="45"/>
      <c r="P1397" s="45"/>
      <c r="Q1397" s="45"/>
      <c r="R1397" s="45"/>
      <c r="S1397" s="45"/>
      <c r="T1397" s="45"/>
      <c r="U1397" s="45"/>
      <c r="V1397" s="45"/>
      <c r="W1397" s="45"/>
      <c r="X1397" s="45"/>
      <c r="Y1397" s="45"/>
      <c r="Z1397" s="45"/>
      <c r="AA1397" s="45"/>
    </row>
    <row r="1398" spans="1:27" ht="13">
      <c r="A1398" s="54">
        <v>2025</v>
      </c>
      <c r="B1398" s="655">
        <v>45930</v>
      </c>
      <c r="C1398" s="354" t="s">
        <v>679</v>
      </c>
      <c r="D1398" s="354" t="s">
        <v>478</v>
      </c>
      <c r="E1398" s="354" t="s">
        <v>701</v>
      </c>
      <c r="F1398" s="354" t="s">
        <v>539</v>
      </c>
      <c r="G1398" s="529"/>
      <c r="H1398" s="667">
        <v>30.3</v>
      </c>
      <c r="I1398" s="667">
        <v>30.3</v>
      </c>
      <c r="J1398" s="481"/>
      <c r="K1398" s="659"/>
      <c r="L1398" s="659"/>
      <c r="M1398" s="656"/>
      <c r="N1398" s="625"/>
      <c r="O1398" s="45"/>
      <c r="P1398" s="45"/>
      <c r="Q1398" s="45"/>
      <c r="R1398" s="45"/>
      <c r="S1398" s="45"/>
      <c r="T1398" s="45"/>
      <c r="U1398" s="45"/>
      <c r="V1398" s="45"/>
      <c r="W1398" s="45"/>
      <c r="X1398" s="45"/>
      <c r="Y1398" s="45"/>
      <c r="Z1398" s="45"/>
      <c r="AA1398" s="45"/>
    </row>
    <row r="1399" spans="1:27" ht="13">
      <c r="A1399" s="54">
        <v>2025</v>
      </c>
      <c r="B1399" s="655">
        <v>45930</v>
      </c>
      <c r="C1399" s="354" t="s">
        <v>679</v>
      </c>
      <c r="D1399" s="354" t="s">
        <v>482</v>
      </c>
      <c r="E1399" s="354" t="s">
        <v>680</v>
      </c>
      <c r="F1399" s="354" t="s">
        <v>459</v>
      </c>
      <c r="G1399" s="355"/>
      <c r="H1399" s="355">
        <v>764</v>
      </c>
      <c r="I1399" s="355">
        <v>764</v>
      </c>
      <c r="J1399" s="481"/>
      <c r="K1399" s="659"/>
      <c r="L1399" s="659"/>
      <c r="M1399" s="656"/>
      <c r="N1399" s="625"/>
      <c r="O1399" s="45"/>
      <c r="P1399" s="45"/>
      <c r="Q1399" s="45"/>
      <c r="R1399" s="45"/>
      <c r="S1399" s="45"/>
      <c r="T1399" s="45"/>
      <c r="U1399" s="45"/>
      <c r="V1399" s="45"/>
      <c r="W1399" s="45"/>
      <c r="X1399" s="45"/>
      <c r="Y1399" s="45"/>
      <c r="Z1399" s="45"/>
      <c r="AA1399" s="45"/>
    </row>
    <row r="1400" spans="1:27" ht="13">
      <c r="A1400" s="54">
        <v>2025</v>
      </c>
      <c r="B1400" s="655">
        <v>45930</v>
      </c>
      <c r="C1400" s="534" t="s">
        <v>679</v>
      </c>
      <c r="D1400" s="534" t="s">
        <v>478</v>
      </c>
      <c r="E1400" s="534" t="s">
        <v>701</v>
      </c>
      <c r="F1400" s="534" t="s">
        <v>539</v>
      </c>
      <c r="G1400" s="529"/>
      <c r="H1400" s="529">
        <v>7.72</v>
      </c>
      <c r="I1400" s="529">
        <v>7.72</v>
      </c>
      <c r="J1400" s="481"/>
      <c r="K1400" s="659"/>
      <c r="L1400" s="659"/>
      <c r="M1400" s="656"/>
      <c r="N1400" s="625"/>
      <c r="O1400" s="45"/>
      <c r="P1400" s="45"/>
      <c r="Q1400" s="45"/>
      <c r="R1400" s="45"/>
      <c r="S1400" s="45"/>
      <c r="T1400" s="45"/>
      <c r="U1400" s="45"/>
      <c r="V1400" s="45"/>
      <c r="W1400" s="45"/>
      <c r="X1400" s="45"/>
      <c r="Y1400" s="45"/>
      <c r="Z1400" s="45"/>
      <c r="AA1400" s="45"/>
    </row>
    <row r="1401" spans="1:27" ht="13">
      <c r="A1401" s="54">
        <v>2025</v>
      </c>
      <c r="B1401" s="655">
        <v>45930</v>
      </c>
      <c r="C1401" s="656" t="s">
        <v>679</v>
      </c>
      <c r="D1401" s="354" t="s">
        <v>482</v>
      </c>
      <c r="E1401" s="657" t="s">
        <v>812</v>
      </c>
      <c r="F1401" s="354" t="s">
        <v>459</v>
      </c>
      <c r="G1401" s="656"/>
      <c r="H1401" s="659">
        <v>810</v>
      </c>
      <c r="I1401" s="659">
        <v>810</v>
      </c>
      <c r="J1401" s="659"/>
      <c r="K1401" s="659"/>
      <c r="L1401" s="659"/>
      <c r="M1401" s="656"/>
      <c r="N1401" s="625"/>
      <c r="O1401" s="45"/>
      <c r="P1401" s="45"/>
      <c r="Q1401" s="45"/>
      <c r="R1401" s="45"/>
      <c r="S1401" s="45"/>
      <c r="T1401" s="45"/>
      <c r="U1401" s="45"/>
      <c r="V1401" s="45"/>
      <c r="W1401" s="45"/>
      <c r="X1401" s="45"/>
      <c r="Y1401" s="45"/>
      <c r="Z1401" s="45"/>
      <c r="AA1401" s="45"/>
    </row>
    <row r="1402" spans="1:27" ht="13">
      <c r="A1402" s="54">
        <v>2025</v>
      </c>
      <c r="B1402" s="655">
        <v>45930</v>
      </c>
      <c r="C1402" s="534" t="s">
        <v>679</v>
      </c>
      <c r="D1402" s="534" t="s">
        <v>478</v>
      </c>
      <c r="E1402" s="534" t="s">
        <v>701</v>
      </c>
      <c r="F1402" s="657" t="s">
        <v>539</v>
      </c>
      <c r="G1402" s="656"/>
      <c r="H1402" s="659">
        <v>8.1</v>
      </c>
      <c r="I1402" s="659">
        <v>8.1</v>
      </c>
      <c r="J1402" s="659"/>
      <c r="K1402" s="659"/>
      <c r="L1402" s="659"/>
      <c r="M1402" s="656"/>
      <c r="N1402" s="625"/>
      <c r="O1402" s="45"/>
      <c r="P1402" s="45"/>
      <c r="Q1402" s="45"/>
      <c r="R1402" s="45"/>
      <c r="S1402" s="45"/>
      <c r="T1402" s="45"/>
      <c r="U1402" s="45"/>
      <c r="V1402" s="45"/>
      <c r="W1402" s="45"/>
      <c r="X1402" s="45"/>
      <c r="Y1402" s="45"/>
      <c r="Z1402" s="45"/>
      <c r="AA1402" s="45"/>
    </row>
    <row r="1403" spans="1:27" ht="13">
      <c r="A1403" s="54">
        <v>2025</v>
      </c>
      <c r="B1403" s="655">
        <v>45930</v>
      </c>
      <c r="C1403" s="656" t="s">
        <v>679</v>
      </c>
      <c r="D1403" s="354" t="s">
        <v>482</v>
      </c>
      <c r="E1403" s="657" t="s">
        <v>813</v>
      </c>
      <c r="F1403" s="354" t="s">
        <v>459</v>
      </c>
      <c r="G1403" s="656"/>
      <c r="H1403" s="659">
        <v>1900</v>
      </c>
      <c r="I1403" s="659">
        <v>1900</v>
      </c>
      <c r="J1403" s="659"/>
      <c r="K1403" s="659"/>
      <c r="L1403" s="659"/>
      <c r="M1403" s="656"/>
      <c r="N1403" s="625"/>
      <c r="O1403" s="45"/>
      <c r="P1403" s="45"/>
      <c r="Q1403" s="45"/>
      <c r="R1403" s="45"/>
      <c r="S1403" s="45"/>
      <c r="T1403" s="45"/>
      <c r="U1403" s="45"/>
      <c r="V1403" s="45"/>
      <c r="W1403" s="45"/>
      <c r="X1403" s="45"/>
      <c r="Y1403" s="45"/>
      <c r="Z1403" s="45"/>
      <c r="AA1403" s="45"/>
    </row>
    <row r="1404" spans="1:27" ht="13">
      <c r="A1404" s="54">
        <v>2025</v>
      </c>
      <c r="B1404" s="655">
        <v>45930</v>
      </c>
      <c r="C1404" s="534" t="s">
        <v>679</v>
      </c>
      <c r="D1404" s="534" t="s">
        <v>478</v>
      </c>
      <c r="E1404" s="657" t="s">
        <v>701</v>
      </c>
      <c r="F1404" s="657" t="s">
        <v>539</v>
      </c>
      <c r="G1404" s="656"/>
      <c r="H1404" s="659">
        <v>19.190000000000001</v>
      </c>
      <c r="I1404" s="659">
        <v>19.190000000000001</v>
      </c>
      <c r="J1404" s="659"/>
      <c r="K1404" s="659"/>
      <c r="L1404" s="659"/>
      <c r="M1404" s="656"/>
      <c r="N1404" s="625"/>
      <c r="O1404" s="45"/>
      <c r="P1404" s="45"/>
      <c r="Q1404" s="45"/>
      <c r="R1404" s="45"/>
      <c r="S1404" s="45"/>
      <c r="T1404" s="45"/>
      <c r="U1404" s="45"/>
      <c r="V1404" s="45"/>
      <c r="W1404" s="45"/>
      <c r="X1404" s="45"/>
      <c r="Y1404" s="45"/>
      <c r="Z1404" s="45"/>
      <c r="AA1404" s="45"/>
    </row>
    <row r="1405" spans="1:27" ht="13">
      <c r="A1405" s="54">
        <v>2025</v>
      </c>
      <c r="B1405" s="655">
        <v>45930</v>
      </c>
      <c r="C1405" s="656" t="s">
        <v>679</v>
      </c>
      <c r="D1405" s="354" t="s">
        <v>482</v>
      </c>
      <c r="E1405" s="657" t="s">
        <v>814</v>
      </c>
      <c r="F1405" s="354" t="s">
        <v>459</v>
      </c>
      <c r="G1405" s="656"/>
      <c r="H1405" s="659">
        <v>900</v>
      </c>
      <c r="I1405" s="659">
        <v>900</v>
      </c>
      <c r="J1405" s="659"/>
      <c r="K1405" s="659"/>
      <c r="L1405" s="659"/>
      <c r="M1405" s="656"/>
      <c r="N1405" s="62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  <c r="AA1405" s="45"/>
    </row>
    <row r="1406" spans="1:27" ht="13">
      <c r="A1406" s="54">
        <v>2025</v>
      </c>
      <c r="B1406" s="655">
        <v>45930</v>
      </c>
      <c r="C1406" s="534" t="s">
        <v>679</v>
      </c>
      <c r="D1406" s="534" t="s">
        <v>478</v>
      </c>
      <c r="E1406" s="657" t="s">
        <v>701</v>
      </c>
      <c r="F1406" s="657" t="s">
        <v>539</v>
      </c>
      <c r="G1406" s="656"/>
      <c r="H1406" s="659">
        <v>9.09</v>
      </c>
      <c r="I1406" s="659">
        <v>9.09</v>
      </c>
      <c r="J1406" s="659"/>
      <c r="K1406" s="659"/>
      <c r="L1406" s="659"/>
      <c r="M1406" s="656"/>
      <c r="N1406" s="625"/>
      <c r="O1406" s="45"/>
      <c r="P1406" s="45"/>
      <c r="Q1406" s="45"/>
      <c r="R1406" s="45"/>
      <c r="S1406" s="45"/>
      <c r="T1406" s="45"/>
      <c r="U1406" s="45"/>
      <c r="V1406" s="45"/>
      <c r="W1406" s="45"/>
      <c r="X1406" s="45"/>
      <c r="Y1406" s="45"/>
      <c r="Z1406" s="45"/>
      <c r="AA1406" s="45"/>
    </row>
    <row r="1407" spans="1:27" ht="13">
      <c r="A1407" s="54">
        <v>2025</v>
      </c>
      <c r="B1407" s="655">
        <v>45930</v>
      </c>
      <c r="C1407" s="656" t="s">
        <v>679</v>
      </c>
      <c r="D1407" s="354" t="s">
        <v>482</v>
      </c>
      <c r="E1407" s="657" t="s">
        <v>815</v>
      </c>
      <c r="F1407" s="354" t="s">
        <v>459</v>
      </c>
      <c r="G1407" s="656"/>
      <c r="H1407" s="659">
        <v>840</v>
      </c>
      <c r="I1407" s="659">
        <v>840</v>
      </c>
      <c r="J1407" s="659"/>
      <c r="K1407" s="659"/>
      <c r="L1407" s="659"/>
      <c r="M1407" s="656"/>
      <c r="N1407" s="625"/>
      <c r="O1407" s="45"/>
      <c r="P1407" s="45"/>
      <c r="Q1407" s="45"/>
      <c r="R1407" s="45"/>
      <c r="S1407" s="45"/>
      <c r="T1407" s="45"/>
      <c r="U1407" s="45"/>
      <c r="V1407" s="45"/>
      <c r="W1407" s="45"/>
      <c r="X1407" s="45"/>
      <c r="Y1407" s="45"/>
      <c r="Z1407" s="45"/>
      <c r="AA1407" s="45"/>
    </row>
    <row r="1408" spans="1:27" ht="13">
      <c r="A1408" s="668">
        <v>2025</v>
      </c>
      <c r="B1408" s="669">
        <v>45930</v>
      </c>
      <c r="C1408" s="670" t="s">
        <v>679</v>
      </c>
      <c r="D1408" s="670" t="s">
        <v>478</v>
      </c>
      <c r="E1408" s="671" t="s">
        <v>701</v>
      </c>
      <c r="F1408" s="671" t="s">
        <v>539</v>
      </c>
      <c r="G1408" s="671"/>
      <c r="H1408" s="672">
        <v>8.48</v>
      </c>
      <c r="I1408" s="672">
        <v>8.48</v>
      </c>
      <c r="J1408" s="672"/>
      <c r="K1408" s="672"/>
      <c r="L1408" s="672"/>
      <c r="M1408" s="671"/>
      <c r="N1408" s="673"/>
      <c r="O1408" s="674"/>
      <c r="P1408" s="674"/>
      <c r="Q1408" s="674"/>
      <c r="R1408" s="674"/>
      <c r="S1408" s="674"/>
      <c r="T1408" s="674"/>
      <c r="U1408" s="674"/>
      <c r="V1408" s="674"/>
      <c r="W1408" s="674"/>
      <c r="X1408" s="674"/>
      <c r="Y1408" s="674"/>
      <c r="Z1408" s="674"/>
      <c r="AA1408" s="674"/>
    </row>
    <row r="1409" spans="1:27" ht="13">
      <c r="A1409" s="54">
        <v>2025</v>
      </c>
      <c r="B1409" s="675">
        <v>45931</v>
      </c>
      <c r="C1409" s="85" t="s">
        <v>481</v>
      </c>
      <c r="D1409" s="85" t="s">
        <v>762</v>
      </c>
      <c r="E1409" s="676" t="s">
        <v>789</v>
      </c>
      <c r="F1409" s="677" t="s">
        <v>576</v>
      </c>
      <c r="G1409" s="678"/>
      <c r="H1409" s="679">
        <v>176.1</v>
      </c>
      <c r="I1409" s="679">
        <v>176.1</v>
      </c>
      <c r="J1409" s="679"/>
      <c r="K1409" s="679"/>
      <c r="L1409" s="679"/>
      <c r="M1409" s="678"/>
      <c r="N1409" s="625"/>
      <c r="O1409" s="45" t="s">
        <v>816</v>
      </c>
      <c r="P1409" s="45"/>
      <c r="Q1409" s="45"/>
      <c r="R1409" s="45"/>
      <c r="S1409" s="45"/>
      <c r="T1409" s="45"/>
      <c r="U1409" s="45"/>
      <c r="V1409" s="45"/>
      <c r="W1409" s="45"/>
      <c r="X1409" s="45"/>
      <c r="Y1409" s="45"/>
      <c r="Z1409" s="45"/>
      <c r="AA1409" s="45"/>
    </row>
    <row r="1410" spans="1:27" ht="13">
      <c r="A1410" s="54">
        <v>2025</v>
      </c>
      <c r="B1410" s="680">
        <v>45931</v>
      </c>
      <c r="C1410" s="681" t="s">
        <v>481</v>
      </c>
      <c r="D1410" s="682" t="s">
        <v>762</v>
      </c>
      <c r="E1410" s="682" t="s">
        <v>787</v>
      </c>
      <c r="F1410" s="682" t="s">
        <v>576</v>
      </c>
      <c r="G1410" s="683"/>
      <c r="H1410" s="684">
        <v>50</v>
      </c>
      <c r="I1410" s="684">
        <v>50</v>
      </c>
      <c r="J1410" s="684"/>
      <c r="K1410" s="684"/>
      <c r="L1410" s="684"/>
      <c r="M1410" s="683"/>
      <c r="N1410" s="685"/>
      <c r="O1410" s="685" t="s">
        <v>817</v>
      </c>
      <c r="P1410" s="45"/>
      <c r="Q1410" s="45"/>
      <c r="R1410" s="45"/>
      <c r="S1410" s="45"/>
      <c r="T1410" s="45"/>
      <c r="U1410" s="45"/>
      <c r="V1410" s="45"/>
      <c r="W1410" s="45"/>
      <c r="X1410" s="45"/>
      <c r="Y1410" s="45"/>
      <c r="Z1410" s="45"/>
      <c r="AA1410" s="45"/>
    </row>
    <row r="1411" spans="1:27" ht="13">
      <c r="A1411" s="54">
        <v>2025</v>
      </c>
      <c r="B1411" s="680">
        <v>45939</v>
      </c>
      <c r="C1411" s="681" t="s">
        <v>481</v>
      </c>
      <c r="D1411" s="681" t="s">
        <v>493</v>
      </c>
      <c r="E1411" s="676" t="s">
        <v>479</v>
      </c>
      <c r="F1411" s="676" t="s">
        <v>478</v>
      </c>
      <c r="G1411" s="686"/>
      <c r="H1411" s="687">
        <v>90</v>
      </c>
      <c r="I1411" s="687">
        <v>90</v>
      </c>
      <c r="J1411" s="687"/>
      <c r="K1411" s="687"/>
      <c r="L1411" s="687"/>
      <c r="M1411" s="686"/>
      <c r="N1411" s="625"/>
      <c r="O1411" s="45"/>
      <c r="P1411" s="45"/>
      <c r="Q1411" s="45"/>
      <c r="R1411" s="45"/>
      <c r="S1411" s="45"/>
      <c r="T1411" s="45"/>
      <c r="U1411" s="45"/>
      <c r="V1411" s="45"/>
      <c r="W1411" s="45"/>
      <c r="X1411" s="45"/>
      <c r="Y1411" s="45"/>
      <c r="Z1411" s="45"/>
      <c r="AA1411" s="45"/>
    </row>
    <row r="1412" spans="1:27" ht="13">
      <c r="A1412" s="54">
        <v>2025</v>
      </c>
      <c r="B1412" s="680">
        <v>45946</v>
      </c>
      <c r="C1412" s="681" t="s">
        <v>481</v>
      </c>
      <c r="D1412" s="681" t="s">
        <v>493</v>
      </c>
      <c r="E1412" s="676" t="s">
        <v>479</v>
      </c>
      <c r="F1412" s="676" t="s">
        <v>785</v>
      </c>
      <c r="G1412" s="686"/>
      <c r="H1412" s="687"/>
      <c r="I1412" s="687"/>
      <c r="J1412" s="687">
        <v>1376</v>
      </c>
      <c r="K1412" s="687">
        <v>1376</v>
      </c>
      <c r="L1412" s="687"/>
      <c r="M1412" s="686"/>
      <c r="N1412" s="625"/>
      <c r="O1412" s="469" t="s">
        <v>457</v>
      </c>
      <c r="P1412" s="470"/>
      <c r="Q1412" s="45"/>
      <c r="R1412" s="45"/>
      <c r="S1412" s="491" t="s">
        <v>669</v>
      </c>
      <c r="T1412" s="492"/>
      <c r="U1412" s="45"/>
      <c r="V1412" s="45"/>
      <c r="W1412" s="45"/>
      <c r="X1412" s="45"/>
      <c r="Y1412" s="45"/>
      <c r="Z1412" s="45"/>
      <c r="AA1412" s="45"/>
    </row>
    <row r="1413" spans="1:27" ht="13">
      <c r="A1413" s="54">
        <v>2025</v>
      </c>
      <c r="B1413" s="680">
        <v>45948</v>
      </c>
      <c r="C1413" s="681" t="s">
        <v>481</v>
      </c>
      <c r="D1413" s="681" t="s">
        <v>494</v>
      </c>
      <c r="E1413" s="676" t="s">
        <v>521</v>
      </c>
      <c r="F1413" s="676" t="s">
        <v>544</v>
      </c>
      <c r="G1413" s="686"/>
      <c r="H1413" s="687"/>
      <c r="I1413" s="687"/>
      <c r="J1413" s="687">
        <v>423</v>
      </c>
      <c r="K1413" s="687">
        <f>J1413-L1413</f>
        <v>346.65999999999997</v>
      </c>
      <c r="L1413" s="687">
        <v>76.34</v>
      </c>
      <c r="M1413" s="686"/>
      <c r="N1413" s="625"/>
      <c r="O1413" s="552">
        <f>SUM(Facturacion!I254:I262)</f>
        <v>0</v>
      </c>
      <c r="P1413" s="470"/>
      <c r="Q1413" s="45"/>
      <c r="R1413" s="45"/>
      <c r="S1413" s="491" t="s">
        <v>411</v>
      </c>
      <c r="T1413" s="552">
        <f>SUM(K1409:K1420)</f>
        <v>1722.6599999999999</v>
      </c>
      <c r="U1413" s="45"/>
      <c r="V1413" s="45"/>
      <c r="W1413" s="45"/>
      <c r="X1413" s="45"/>
      <c r="Y1413" s="45"/>
      <c r="Z1413" s="45"/>
      <c r="AA1413" s="45"/>
    </row>
    <row r="1414" spans="1:27" ht="13">
      <c r="A1414" s="54">
        <v>2025</v>
      </c>
      <c r="B1414" s="680">
        <v>45950</v>
      </c>
      <c r="C1414" s="681" t="s">
        <v>481</v>
      </c>
      <c r="D1414" s="681" t="s">
        <v>493</v>
      </c>
      <c r="E1414" s="676" t="s">
        <v>133</v>
      </c>
      <c r="F1414" s="676" t="s">
        <v>464</v>
      </c>
      <c r="G1414" s="686"/>
      <c r="H1414" s="687">
        <v>2181.36</v>
      </c>
      <c r="I1414" s="687">
        <v>1788</v>
      </c>
      <c r="J1414" s="687"/>
      <c r="K1414" s="687"/>
      <c r="L1414" s="687">
        <f>393.36*M1414</f>
        <v>15681.296400000001</v>
      </c>
      <c r="M1414" s="686">
        <v>39.865000000000002</v>
      </c>
      <c r="N1414" s="625"/>
      <c r="O1414" s="469" t="s">
        <v>461</v>
      </c>
      <c r="P1414" s="469" t="s">
        <v>462</v>
      </c>
      <c r="Q1414" s="45"/>
      <c r="R1414" s="45"/>
      <c r="S1414" s="469" t="s">
        <v>584</v>
      </c>
      <c r="T1414" s="552">
        <f>SUM(I1409:I1420)</f>
        <v>2246.0499999999997</v>
      </c>
      <c r="U1414" s="45"/>
      <c r="V1414" s="45"/>
      <c r="W1414" s="45"/>
      <c r="X1414" s="45"/>
      <c r="Y1414" s="45"/>
      <c r="Z1414" s="45"/>
      <c r="AA1414" s="45"/>
    </row>
    <row r="1415" spans="1:27" ht="13">
      <c r="A1415" s="54">
        <v>2025</v>
      </c>
      <c r="B1415" s="680">
        <v>45947</v>
      </c>
      <c r="C1415" s="681" t="s">
        <v>481</v>
      </c>
      <c r="D1415" s="681" t="s">
        <v>491</v>
      </c>
      <c r="E1415" s="676" t="s">
        <v>592</v>
      </c>
      <c r="F1415" s="676" t="s">
        <v>576</v>
      </c>
      <c r="G1415" s="686"/>
      <c r="H1415" s="687">
        <v>28</v>
      </c>
      <c r="I1415" s="687">
        <v>28</v>
      </c>
      <c r="J1415" s="687"/>
      <c r="K1415" s="687"/>
      <c r="L1415" s="687"/>
      <c r="M1415" s="686"/>
      <c r="N1415" s="625"/>
      <c r="O1415" s="552">
        <f>SUM(L1409:L1420)</f>
        <v>15757.636400000001</v>
      </c>
      <c r="P1415" s="552">
        <f>(O1413-O1415)</f>
        <v>-15757.636400000001</v>
      </c>
      <c r="Q1415" s="45"/>
      <c r="R1415" s="45"/>
      <c r="S1415" s="492"/>
      <c r="T1415" s="492"/>
      <c r="U1415" s="45"/>
      <c r="V1415" s="45"/>
      <c r="W1415" s="45"/>
      <c r="X1415" s="45"/>
      <c r="Y1415" s="45"/>
      <c r="Z1415" s="45"/>
      <c r="AA1415" s="45"/>
    </row>
    <row r="1416" spans="1:27" ht="13">
      <c r="A1416" s="54">
        <v>2025</v>
      </c>
      <c r="B1416" s="680">
        <v>45947</v>
      </c>
      <c r="C1416" s="681" t="s">
        <v>481</v>
      </c>
      <c r="D1416" s="681" t="s">
        <v>491</v>
      </c>
      <c r="E1416" s="676" t="s">
        <v>802</v>
      </c>
      <c r="F1416" s="676" t="s">
        <v>576</v>
      </c>
      <c r="G1416" s="686"/>
      <c r="H1416" s="687">
        <v>100</v>
      </c>
      <c r="I1416" s="687">
        <v>100</v>
      </c>
      <c r="J1416" s="687"/>
      <c r="K1416" s="687"/>
      <c r="L1416" s="687"/>
      <c r="M1416" s="686"/>
      <c r="N1416" s="625"/>
      <c r="O1416" s="45"/>
      <c r="P1416" s="45"/>
      <c r="Q1416" s="45"/>
      <c r="R1416" s="45"/>
      <c r="S1416" s="45"/>
      <c r="T1416" s="45"/>
      <c r="U1416" s="45"/>
      <c r="V1416" s="45"/>
      <c r="W1416" s="45"/>
      <c r="X1416" s="45"/>
      <c r="Y1416" s="45"/>
      <c r="Z1416" s="45"/>
      <c r="AA1416" s="45"/>
    </row>
    <row r="1417" spans="1:27" ht="13">
      <c r="A1417" s="54">
        <v>2025</v>
      </c>
      <c r="B1417" s="680">
        <v>45955</v>
      </c>
      <c r="C1417" s="681" t="s">
        <v>481</v>
      </c>
      <c r="D1417" s="681" t="s">
        <v>491</v>
      </c>
      <c r="E1417" s="676" t="s">
        <v>806</v>
      </c>
      <c r="F1417" s="676" t="s">
        <v>576</v>
      </c>
      <c r="G1417" s="686"/>
      <c r="H1417" s="687">
        <v>13.95</v>
      </c>
      <c r="I1417" s="687">
        <v>13.95</v>
      </c>
      <c r="J1417" s="687"/>
      <c r="K1417" s="687"/>
      <c r="L1417" s="687"/>
      <c r="M1417" s="686"/>
      <c r="N1417" s="625"/>
      <c r="O1417" s="45"/>
      <c r="P1417" s="45"/>
      <c r="Q1417" s="45"/>
      <c r="R1417" s="45"/>
      <c r="S1417" s="45"/>
      <c r="T1417" s="45"/>
      <c r="U1417" s="45"/>
      <c r="V1417" s="45"/>
      <c r="W1417" s="45"/>
      <c r="X1417" s="45"/>
      <c r="Y1417" s="45"/>
      <c r="Z1417" s="45"/>
      <c r="AA1417" s="45"/>
    </row>
    <row r="1418" spans="1:27" ht="13">
      <c r="A1418" s="54">
        <v>2025</v>
      </c>
      <c r="B1418" s="680"/>
      <c r="C1418" s="681"/>
      <c r="D1418" s="681"/>
      <c r="E1418" s="676"/>
      <c r="F1418" s="676"/>
      <c r="G1418" s="686"/>
      <c r="H1418" s="687"/>
      <c r="I1418" s="687"/>
      <c r="J1418" s="687"/>
      <c r="K1418" s="687"/>
      <c r="L1418" s="687"/>
      <c r="M1418" s="686"/>
      <c r="N1418" s="625"/>
      <c r="O1418" s="45"/>
      <c r="P1418" s="45"/>
      <c r="Q1418" s="45"/>
      <c r="R1418" s="45"/>
      <c r="S1418" s="45"/>
      <c r="T1418" s="45"/>
      <c r="U1418" s="45"/>
      <c r="V1418" s="45"/>
      <c r="W1418" s="45"/>
      <c r="X1418" s="45"/>
      <c r="Y1418" s="45"/>
      <c r="Z1418" s="45"/>
      <c r="AA1418" s="45"/>
    </row>
    <row r="1419" spans="1:27" ht="13">
      <c r="A1419" s="54">
        <v>2025</v>
      </c>
      <c r="B1419" s="680"/>
      <c r="C1419" s="681"/>
      <c r="D1419" s="681"/>
      <c r="E1419" s="676"/>
      <c r="F1419" s="676"/>
      <c r="G1419" s="686"/>
      <c r="H1419" s="687"/>
      <c r="I1419" s="687"/>
      <c r="J1419" s="687"/>
      <c r="K1419" s="687"/>
      <c r="L1419" s="687"/>
      <c r="M1419" s="686"/>
      <c r="N1419" s="625"/>
      <c r="O1419" s="45"/>
      <c r="P1419" s="45"/>
      <c r="Q1419" s="45"/>
      <c r="R1419" s="45"/>
      <c r="S1419" s="45"/>
      <c r="T1419" s="45"/>
      <c r="U1419" s="45"/>
      <c r="V1419" s="45"/>
      <c r="W1419" s="45"/>
      <c r="X1419" s="45"/>
      <c r="Y1419" s="45"/>
      <c r="Z1419" s="45"/>
      <c r="AA1419" s="45"/>
    </row>
    <row r="1420" spans="1:27" ht="13">
      <c r="A1420" s="54">
        <v>2025</v>
      </c>
      <c r="B1420" s="680"/>
      <c r="C1420" s="681"/>
      <c r="D1420" s="681"/>
      <c r="E1420" s="686"/>
      <c r="F1420" s="686"/>
      <c r="G1420" s="686"/>
      <c r="H1420" s="687"/>
      <c r="I1420" s="687"/>
      <c r="J1420" s="687"/>
      <c r="K1420" s="687"/>
      <c r="L1420" s="687"/>
      <c r="M1420" s="686"/>
      <c r="N1420" s="62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45"/>
      <c r="AA1420" s="45"/>
    </row>
    <row r="1421" spans="1:27" ht="13">
      <c r="A1421" s="54"/>
      <c r="B1421" s="688"/>
      <c r="C1421" s="45"/>
      <c r="D1421" s="45"/>
      <c r="E1421" s="689"/>
      <c r="F1421" s="689"/>
      <c r="G1421" s="689"/>
      <c r="H1421" s="102"/>
      <c r="I1421" s="102"/>
      <c r="J1421" s="102"/>
      <c r="K1421" s="102"/>
      <c r="L1421" s="102"/>
      <c r="M1421" s="689"/>
      <c r="N1421" s="625"/>
      <c r="O1421" s="45"/>
      <c r="P1421" s="45"/>
      <c r="Q1421" s="45"/>
      <c r="R1421" s="45"/>
      <c r="S1421" s="45"/>
      <c r="T1421" s="45"/>
      <c r="U1421" s="45"/>
      <c r="V1421" s="45"/>
      <c r="W1421" s="45"/>
      <c r="X1421" s="45"/>
      <c r="Y1421" s="45"/>
      <c r="Z1421" s="45"/>
      <c r="AA1421" s="45"/>
    </row>
    <row r="1422" spans="1:27" ht="13">
      <c r="A1422" s="54"/>
      <c r="B1422" s="690"/>
      <c r="C1422" s="45"/>
      <c r="D1422" s="45"/>
      <c r="E1422" s="45"/>
      <c r="F1422" s="45"/>
      <c r="G1422" s="45"/>
      <c r="H1422" s="68"/>
      <c r="I1422" s="68"/>
      <c r="J1422" s="68"/>
      <c r="K1422" s="68"/>
      <c r="L1422" s="68"/>
      <c r="M1422" s="45"/>
      <c r="N1422" s="45"/>
      <c r="O1422" s="45"/>
      <c r="P1422" s="45"/>
      <c r="Q1422" s="45"/>
      <c r="R1422" s="45"/>
      <c r="S1422" s="45"/>
      <c r="T1422" s="45"/>
      <c r="U1422" s="45"/>
      <c r="V1422" s="45"/>
      <c r="W1422" s="45"/>
      <c r="X1422" s="45"/>
      <c r="Y1422" s="45"/>
      <c r="Z1422" s="45"/>
      <c r="AA1422" s="45"/>
    </row>
    <row r="1423" spans="1:27" ht="13">
      <c r="A1423" s="54"/>
      <c r="B1423" s="690"/>
      <c r="C1423" s="45"/>
      <c r="D1423" s="45"/>
      <c r="E1423" s="45"/>
      <c r="F1423" s="45"/>
      <c r="G1423" s="45"/>
      <c r="H1423" s="68"/>
      <c r="I1423" s="68"/>
      <c r="J1423" s="68"/>
      <c r="K1423" s="68"/>
      <c r="L1423" s="68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45"/>
      <c r="AA1423" s="45"/>
    </row>
    <row r="1424" spans="1:27" ht="13">
      <c r="A1424" s="54"/>
      <c r="B1424" s="45"/>
      <c r="C1424" s="45"/>
      <c r="D1424" s="45"/>
      <c r="E1424" s="45"/>
      <c r="F1424" s="45"/>
      <c r="G1424" s="691" t="s">
        <v>53</v>
      </c>
      <c r="H1424" s="692" t="e">
        <f t="shared" ref="H1424:K1424" si="97">SUM(H2:H1420)</f>
        <v>#REF!</v>
      </c>
      <c r="I1424" s="692">
        <f t="shared" si="97"/>
        <v>463713.20000000083</v>
      </c>
      <c r="J1424" s="692">
        <f t="shared" si="97"/>
        <v>15471772.358129999</v>
      </c>
      <c r="K1424" s="692">
        <f t="shared" si="97"/>
        <v>15381013.818129987</v>
      </c>
      <c r="L1424" s="692"/>
      <c r="M1424" s="693"/>
      <c r="N1424" s="45"/>
      <c r="O1424" s="45"/>
      <c r="P1424" s="45"/>
      <c r="Q1424" s="45"/>
      <c r="R1424" s="45"/>
      <c r="S1424" s="45"/>
      <c r="T1424" s="45"/>
      <c r="U1424" s="45"/>
      <c r="V1424" s="45"/>
      <c r="W1424" s="45"/>
      <c r="X1424" s="45"/>
      <c r="Y1424" s="45"/>
      <c r="Z1424" s="45"/>
      <c r="AA1424" s="45"/>
    </row>
    <row r="1425" spans="1:27" ht="13">
      <c r="A1425" s="54"/>
      <c r="B1425" s="45"/>
      <c r="C1425" s="45"/>
      <c r="D1425" s="45"/>
      <c r="E1425" s="45"/>
      <c r="F1425" s="45"/>
      <c r="G1425" s="694" t="s">
        <v>818</v>
      </c>
      <c r="H1425" s="695" t="e">
        <f t="shared" ref="H1425:K1425" si="98">SUBTOTAL(9,H2:H1420)</f>
        <v>#REF!</v>
      </c>
      <c r="I1425" s="695">
        <f t="shared" si="98"/>
        <v>463713.20000000083</v>
      </c>
      <c r="J1425" s="695">
        <f t="shared" si="98"/>
        <v>15471772.358129999</v>
      </c>
      <c r="K1425" s="695">
        <f t="shared" si="98"/>
        <v>15381013.818129987</v>
      </c>
      <c r="L1425" s="695"/>
      <c r="M1425" s="696"/>
      <c r="N1425" s="45"/>
      <c r="O1425" s="45"/>
      <c r="P1425" s="45"/>
      <c r="Q1425" s="45"/>
      <c r="R1425" s="45"/>
      <c r="S1425" s="45"/>
      <c r="T1425" s="45"/>
      <c r="U1425" s="45"/>
      <c r="V1425" s="45"/>
      <c r="W1425" s="45"/>
      <c r="X1425" s="45"/>
      <c r="Y1425" s="45"/>
      <c r="Z1425" s="45"/>
      <c r="AA1425" s="45"/>
    </row>
    <row r="1426" spans="1:27" ht="13">
      <c r="A1426" s="54"/>
      <c r="B1426" s="45"/>
      <c r="C1426" s="45"/>
      <c r="D1426" s="45"/>
      <c r="E1426" s="45"/>
      <c r="F1426" s="45"/>
      <c r="G1426" s="45"/>
      <c r="H1426" s="68"/>
      <c r="I1426" s="68"/>
      <c r="J1426" s="68"/>
      <c r="K1426" s="68"/>
      <c r="L1426" s="68"/>
      <c r="M1426" s="45"/>
      <c r="N1426" s="45"/>
      <c r="O1426" s="45"/>
      <c r="P1426" s="45"/>
      <c r="Q1426" s="45"/>
      <c r="R1426" s="45"/>
      <c r="S1426" s="45"/>
      <c r="T1426" s="45"/>
      <c r="U1426" s="45"/>
      <c r="V1426" s="45"/>
      <c r="W1426" s="45"/>
      <c r="X1426" s="45"/>
      <c r="Y1426" s="45"/>
      <c r="Z1426" s="45"/>
      <c r="AA1426" s="45"/>
    </row>
    <row r="1427" spans="1:27" ht="14">
      <c r="A1427" s="54"/>
      <c r="B1427" s="45"/>
      <c r="C1427" s="45"/>
      <c r="D1427" s="45"/>
      <c r="E1427" s="697" t="s">
        <v>465</v>
      </c>
      <c r="F1427" s="698"/>
      <c r="G1427" s="698"/>
      <c r="H1427" s="699" t="s">
        <v>470</v>
      </c>
      <c r="I1427" s="699" t="s">
        <v>471</v>
      </c>
      <c r="J1427" s="699" t="s">
        <v>472</v>
      </c>
      <c r="K1427" s="699" t="s">
        <v>411</v>
      </c>
      <c r="L1427" s="700" t="s">
        <v>473</v>
      </c>
      <c r="M1427" s="701" t="s">
        <v>4</v>
      </c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</row>
    <row r="1428" spans="1:27" ht="13">
      <c r="A1428" s="54"/>
      <c r="B1428" s="45"/>
      <c r="C1428" s="45"/>
      <c r="D1428" s="45"/>
      <c r="E1428" s="54">
        <v>2025</v>
      </c>
      <c r="F1428" s="45" t="s">
        <v>583</v>
      </c>
      <c r="G1428" s="45"/>
      <c r="H1428" s="68">
        <f t="shared" ref="H1428:L1428" si="99">SUM(H1018:H1420)</f>
        <v>138403.43000000002</v>
      </c>
      <c r="I1428" s="68">
        <f t="shared" si="99"/>
        <v>134679.16000000003</v>
      </c>
      <c r="J1428" s="68">
        <f t="shared" si="99"/>
        <v>5695692.1373599991</v>
      </c>
      <c r="K1428" s="68">
        <f t="shared" si="99"/>
        <v>5679907.2973600002</v>
      </c>
      <c r="L1428" s="68">
        <f t="shared" si="99"/>
        <v>331350.40458000015</v>
      </c>
      <c r="M1428" s="702">
        <f>AVERAGE(M1018:M1420)</f>
        <v>39.929533333333339</v>
      </c>
      <c r="N1428" s="45"/>
      <c r="O1428" s="45"/>
      <c r="P1428" s="45"/>
      <c r="Q1428" s="45"/>
      <c r="R1428" s="45"/>
      <c r="S1428" s="45"/>
      <c r="T1428" s="45"/>
      <c r="U1428" s="45"/>
      <c r="V1428" s="45"/>
      <c r="W1428" s="45"/>
      <c r="X1428" s="45"/>
      <c r="Y1428" s="45"/>
      <c r="Z1428" s="45"/>
      <c r="AA1428" s="45"/>
    </row>
    <row r="1429" spans="1:27" ht="13">
      <c r="A1429" s="54"/>
      <c r="B1429" s="45"/>
      <c r="C1429" s="45"/>
      <c r="D1429" s="45"/>
      <c r="E1429" s="54">
        <v>2024</v>
      </c>
      <c r="F1429" s="45" t="s">
        <v>583</v>
      </c>
      <c r="G1429" s="45"/>
      <c r="H1429" s="68">
        <f t="shared" ref="H1429:L1429" si="100">SUM(H554:H1017)</f>
        <v>132784.79999999996</v>
      </c>
      <c r="I1429" s="68">
        <f t="shared" si="100"/>
        <v>124862.35999999997</v>
      </c>
      <c r="J1429" s="68">
        <f t="shared" si="100"/>
        <v>5029518.9200900011</v>
      </c>
      <c r="K1429" s="68">
        <f t="shared" si="100"/>
        <v>4991092.9300899999</v>
      </c>
      <c r="L1429" s="68">
        <f t="shared" si="100"/>
        <v>344418.04405999987</v>
      </c>
      <c r="M1429" s="702">
        <f>AVERAGE(M554:M1017)</f>
        <v>40.383266666666671</v>
      </c>
      <c r="N1429" s="45"/>
      <c r="O1429" s="45"/>
      <c r="P1429" s="45"/>
      <c r="Q1429" s="45"/>
      <c r="R1429" s="45"/>
      <c r="S1429" s="45"/>
      <c r="T1429" s="45"/>
      <c r="U1429" s="45"/>
      <c r="V1429" s="45"/>
      <c r="W1429" s="45"/>
      <c r="X1429" s="45"/>
      <c r="Y1429" s="45"/>
      <c r="Z1429" s="45"/>
      <c r="AA1429" s="45"/>
    </row>
    <row r="1430" spans="1:27" ht="13">
      <c r="A1430" s="54"/>
      <c r="B1430" s="45"/>
      <c r="C1430" s="45"/>
      <c r="D1430" s="45"/>
      <c r="E1430" s="259">
        <v>2023</v>
      </c>
      <c r="F1430" s="45" t="s">
        <v>583</v>
      </c>
      <c r="G1430" s="45"/>
      <c r="H1430" s="68" t="e">
        <f t="shared" ref="H1430:L1430" si="101">SUM(H116:H553)</f>
        <v>#REF!</v>
      </c>
      <c r="I1430" s="68">
        <f t="shared" si="101"/>
        <v>153831.81999999989</v>
      </c>
      <c r="J1430" s="68">
        <f t="shared" si="101"/>
        <v>2765017.8206799994</v>
      </c>
      <c r="K1430" s="68">
        <f t="shared" si="101"/>
        <v>2738459.3006800003</v>
      </c>
      <c r="L1430" s="68">
        <f t="shared" si="101"/>
        <v>626666.24093999993</v>
      </c>
      <c r="M1430" s="702">
        <f>AVERAGE(M116:M553)</f>
        <v>38.373178571428582</v>
      </c>
      <c r="N1430" s="45"/>
      <c r="O1430" s="45"/>
      <c r="P1430" s="45"/>
      <c r="Q1430" s="45"/>
      <c r="R1430" s="45"/>
      <c r="S1430" s="45"/>
      <c r="T1430" s="45"/>
      <c r="U1430" s="45"/>
      <c r="V1430" s="45"/>
      <c r="W1430" s="45"/>
      <c r="X1430" s="45"/>
      <c r="Y1430" s="45"/>
      <c r="Z1430" s="45"/>
      <c r="AA1430" s="45"/>
    </row>
    <row r="1431" spans="1:27" ht="13">
      <c r="A1431" s="54"/>
      <c r="B1431" s="45"/>
      <c r="C1431" s="45"/>
      <c r="D1431" s="45"/>
      <c r="E1431" s="54">
        <v>2022</v>
      </c>
      <c r="F1431" s="45" t="s">
        <v>583</v>
      </c>
      <c r="G1431" s="45"/>
      <c r="H1431" s="68">
        <f t="shared" ref="H1431:L1431" si="102">SUM(H2:H115)</f>
        <v>56951.755652173917</v>
      </c>
      <c r="I1431" s="68">
        <f t="shared" si="102"/>
        <v>50339.86</v>
      </c>
      <c r="J1431" s="68">
        <f t="shared" si="102"/>
        <v>1981543.48</v>
      </c>
      <c r="K1431" s="68">
        <f t="shared" si="102"/>
        <v>1971554.29</v>
      </c>
      <c r="L1431" s="68">
        <f t="shared" si="102"/>
        <v>237611.56</v>
      </c>
      <c r="M1431" s="702">
        <f>AVERAGE(M2:M115)</f>
        <v>40.578250000000011</v>
      </c>
      <c r="N1431" s="45"/>
      <c r="O1431" s="45"/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</row>
    <row r="1432" spans="1:27" ht="13">
      <c r="A1432" s="54"/>
      <c r="B1432" s="45"/>
      <c r="C1432" s="45"/>
      <c r="D1432" s="45"/>
      <c r="H1432" s="22"/>
      <c r="I1432" s="22"/>
      <c r="J1432" s="22"/>
      <c r="K1432" s="22"/>
      <c r="L1432" s="22"/>
      <c r="M1432" s="702"/>
      <c r="N1432" s="45"/>
      <c r="O1432" s="45"/>
      <c r="P1432" s="45"/>
      <c r="Q1432" s="45"/>
      <c r="R1432" s="45"/>
      <c r="S1432" s="45"/>
      <c r="T1432" s="45"/>
      <c r="U1432" s="45"/>
      <c r="V1432" s="45"/>
      <c r="W1432" s="45"/>
      <c r="X1432" s="45"/>
      <c r="Y1432" s="45"/>
      <c r="Z1432" s="45"/>
      <c r="AA1432" s="45"/>
    </row>
    <row r="1433" spans="1:27" ht="13">
      <c r="A1433" s="54"/>
      <c r="B1433" s="45"/>
      <c r="C1433" s="45"/>
      <c r="D1433" s="45"/>
      <c r="E1433" s="54"/>
      <c r="F1433" s="45"/>
      <c r="G1433" s="45"/>
      <c r="H1433" s="68"/>
      <c r="I1433" s="68"/>
      <c r="J1433" s="68"/>
      <c r="K1433" s="68"/>
      <c r="L1433" s="68"/>
      <c r="M1433" s="45"/>
      <c r="N1433" s="45"/>
      <c r="O1433" s="45"/>
      <c r="P1433" s="45"/>
      <c r="Q1433" s="45"/>
      <c r="R1433" s="45"/>
      <c r="S1433" s="45"/>
      <c r="T1433" s="45"/>
      <c r="U1433" s="45"/>
      <c r="V1433" s="45"/>
      <c r="W1433" s="45"/>
      <c r="X1433" s="45"/>
      <c r="Y1433" s="45"/>
      <c r="Z1433" s="45"/>
      <c r="AA1433" s="45"/>
    </row>
    <row r="1434" spans="1:27" ht="13">
      <c r="A1434" s="54"/>
      <c r="B1434" s="45"/>
      <c r="C1434" s="45"/>
      <c r="D1434" s="45"/>
      <c r="E1434" s="45"/>
      <c r="F1434" s="45"/>
      <c r="G1434" s="45"/>
      <c r="H1434" s="68"/>
      <c r="I1434" s="68"/>
      <c r="J1434" s="68"/>
      <c r="K1434" s="68"/>
      <c r="L1434" s="68"/>
      <c r="M1434" s="45"/>
      <c r="N1434" s="45"/>
      <c r="O1434" s="45"/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</row>
    <row r="1435" spans="1:27" ht="28">
      <c r="A1435" s="703" t="s">
        <v>465</v>
      </c>
      <c r="B1435" s="703" t="s">
        <v>466</v>
      </c>
      <c r="C1435" s="704" t="s">
        <v>467</v>
      </c>
      <c r="D1435" s="704" t="s">
        <v>468</v>
      </c>
      <c r="E1435" s="704" t="s">
        <v>454</v>
      </c>
      <c r="F1435" s="704" t="s">
        <v>455</v>
      </c>
      <c r="G1435" s="704" t="s">
        <v>469</v>
      </c>
      <c r="H1435" s="705" t="s">
        <v>470</v>
      </c>
      <c r="I1435" s="705" t="s">
        <v>471</v>
      </c>
      <c r="J1435" s="705" t="s">
        <v>472</v>
      </c>
      <c r="K1435" s="705" t="s">
        <v>411</v>
      </c>
      <c r="L1435" s="705" t="s">
        <v>473</v>
      </c>
      <c r="M1435" s="706" t="s">
        <v>4</v>
      </c>
      <c r="N1435" s="45"/>
      <c r="O1435" s="45"/>
      <c r="P1435" s="45"/>
      <c r="Q1435" s="45"/>
      <c r="R1435" s="45"/>
      <c r="S1435" s="45"/>
      <c r="T1435" s="45"/>
      <c r="U1435" s="45"/>
      <c r="V1435" s="45"/>
      <c r="W1435" s="45"/>
      <c r="X1435" s="45"/>
      <c r="Y1435" s="45"/>
      <c r="Z1435" s="45"/>
      <c r="AA1435" s="45"/>
    </row>
    <row r="1436" spans="1:27" ht="13">
      <c r="A1436" s="54">
        <v>2024</v>
      </c>
      <c r="B1436" s="45"/>
      <c r="C1436" s="45" t="s">
        <v>679</v>
      </c>
      <c r="D1436" s="45" t="s">
        <v>482</v>
      </c>
      <c r="E1436" s="45"/>
      <c r="F1436" s="45" t="s">
        <v>459</v>
      </c>
      <c r="G1436" s="45"/>
      <c r="H1436" s="22"/>
      <c r="I1436" s="68">
        <f>SUMIFS(I$554:I$1017, C$554:C$1017, "*Argentina*", F$554:F$1017, "Honorarios Profesionales")</f>
        <v>12504</v>
      </c>
      <c r="J1436" s="22"/>
      <c r="K1436" s="68"/>
      <c r="L1436" s="68"/>
      <c r="M1436" s="45"/>
      <c r="N1436" s="45"/>
      <c r="O1436" s="22"/>
      <c r="P1436" s="45"/>
      <c r="Q1436" s="45"/>
      <c r="R1436" s="45"/>
      <c r="S1436" s="45"/>
      <c r="T1436" s="45"/>
      <c r="U1436" s="45"/>
      <c r="V1436" s="45"/>
      <c r="W1436" s="45"/>
      <c r="X1436" s="45"/>
      <c r="Y1436" s="45"/>
      <c r="Z1436" s="45"/>
      <c r="AA1436" s="45"/>
    </row>
    <row r="1437" spans="1:27" ht="13">
      <c r="A1437" s="54">
        <v>2024</v>
      </c>
      <c r="B1437" s="45"/>
      <c r="C1437" s="45" t="s">
        <v>474</v>
      </c>
      <c r="D1437" s="45" t="s">
        <v>482</v>
      </c>
      <c r="E1437" s="45"/>
      <c r="F1437" s="45" t="s">
        <v>459</v>
      </c>
      <c r="G1437" s="45"/>
      <c r="H1437" s="68"/>
      <c r="I1437" s="68">
        <f>SUMIFS(I$554:I$1017, C$554:C$1017, "*Colombia*", F$554:F$1017, "Honorarios Profesionales")</f>
        <v>54250</v>
      </c>
      <c r="J1437" s="68"/>
      <c r="K1437" s="68"/>
      <c r="L1437" s="68"/>
      <c r="M1437" s="45"/>
      <c r="N1437" s="45"/>
      <c r="O1437" s="45"/>
      <c r="P1437" s="45"/>
      <c r="Q1437" s="45"/>
      <c r="R1437" s="45"/>
      <c r="S1437" s="45"/>
      <c r="T1437" s="45"/>
      <c r="U1437" s="45"/>
      <c r="V1437" s="45"/>
      <c r="W1437" s="45"/>
      <c r="X1437" s="45"/>
      <c r="Y1437" s="45"/>
      <c r="Z1437" s="45"/>
      <c r="AA1437" s="45"/>
    </row>
    <row r="1438" spans="1:27" ht="13">
      <c r="A1438" s="54">
        <v>2024</v>
      </c>
      <c r="B1438" s="45"/>
      <c r="C1438" s="45" t="s">
        <v>481</v>
      </c>
      <c r="D1438" s="45" t="s">
        <v>482</v>
      </c>
      <c r="E1438" s="45"/>
      <c r="F1438" s="45" t="s">
        <v>459</v>
      </c>
      <c r="G1438" s="45"/>
      <c r="H1438" s="68"/>
      <c r="I1438" s="68">
        <f>SUMIFS(I$554:I$1017, C$554:C$1017, "*Uruguay*", F$554:F$1017, "Honorarios Profesionales")</f>
        <v>0</v>
      </c>
      <c r="J1438" s="68"/>
      <c r="K1438" s="22"/>
      <c r="L1438" s="68"/>
      <c r="M1438" s="45"/>
      <c r="N1438" s="45"/>
      <c r="O1438" s="45"/>
      <c r="P1438" s="45"/>
      <c r="Q1438" s="45"/>
      <c r="R1438" s="45"/>
      <c r="S1438" s="45"/>
      <c r="T1438" s="45"/>
      <c r="U1438" s="45"/>
      <c r="V1438" s="45"/>
      <c r="W1438" s="45"/>
      <c r="X1438" s="45"/>
      <c r="Y1438" s="45"/>
      <c r="Z1438" s="45"/>
      <c r="AA1438" s="45"/>
    </row>
    <row r="1439" spans="1:27" ht="13">
      <c r="A1439" s="54">
        <v>2024</v>
      </c>
      <c r="B1439" s="45"/>
      <c r="C1439" s="45" t="s">
        <v>481</v>
      </c>
      <c r="D1439" s="45" t="s">
        <v>819</v>
      </c>
      <c r="E1439" s="45" t="s">
        <v>644</v>
      </c>
      <c r="F1439" s="45" t="s">
        <v>819</v>
      </c>
      <c r="G1439" s="45"/>
      <c r="H1439" s="68"/>
      <c r="I1439" s="68">
        <f>SUMIFS(K$554:K$1017, C$554:C$1017, "*Uruguay*", F$554:F$1017, "Sueldo")/M1439</f>
        <v>18563.619047619046</v>
      </c>
      <c r="J1439" s="59"/>
      <c r="K1439" s="22"/>
      <c r="L1439" s="68"/>
      <c r="M1439" s="45">
        <v>42</v>
      </c>
      <c r="N1439" s="45"/>
      <c r="O1439" s="45"/>
      <c r="P1439" s="45"/>
      <c r="Q1439" s="45"/>
      <c r="R1439" s="45"/>
      <c r="S1439" s="45"/>
      <c r="T1439" s="45"/>
      <c r="U1439" s="45"/>
      <c r="V1439" s="45"/>
      <c r="W1439" s="45"/>
      <c r="X1439" s="45"/>
      <c r="Y1439" s="45"/>
      <c r="Z1439" s="45"/>
      <c r="AA1439" s="45"/>
    </row>
    <row r="1440" spans="1:27" ht="13">
      <c r="A1440" s="54"/>
      <c r="B1440" s="45"/>
      <c r="C1440" s="45"/>
      <c r="D1440" s="45"/>
      <c r="E1440" s="45"/>
      <c r="F1440" s="49"/>
      <c r="G1440" s="45"/>
      <c r="H1440" s="68"/>
      <c r="I1440" s="59"/>
      <c r="J1440" s="59"/>
      <c r="K1440" s="59"/>
      <c r="L1440" s="68"/>
      <c r="M1440" s="45"/>
      <c r="N1440" s="45"/>
      <c r="O1440" s="45"/>
      <c r="P1440" s="45"/>
      <c r="Q1440" s="45"/>
      <c r="R1440" s="45"/>
      <c r="S1440" s="45"/>
      <c r="T1440" s="45"/>
      <c r="U1440" s="45"/>
      <c r="V1440" s="45"/>
      <c r="W1440" s="45"/>
      <c r="X1440" s="45"/>
      <c r="Y1440" s="45"/>
      <c r="Z1440" s="45"/>
      <c r="AA1440" s="45"/>
    </row>
    <row r="1441" spans="1:27" ht="13">
      <c r="A1441" s="54"/>
      <c r="B1441" s="45"/>
      <c r="C1441" s="45"/>
      <c r="D1441" s="45"/>
      <c r="E1441" s="45"/>
      <c r="F1441" s="707" t="s">
        <v>820</v>
      </c>
      <c r="G1441" s="708"/>
      <c r="H1441" s="709"/>
      <c r="I1441" s="710">
        <f>SUM(I1436:I1439)</f>
        <v>85317.619047619053</v>
      </c>
      <c r="J1441" s="710"/>
      <c r="K1441" s="711">
        <f>SUM(K1436:K1439)</f>
        <v>0</v>
      </c>
      <c r="L1441" s="68"/>
      <c r="M1441" s="45"/>
      <c r="N1441" s="45"/>
      <c r="O1441" s="45"/>
      <c r="P1441" s="45"/>
      <c r="Q1441" s="45"/>
      <c r="R1441" s="45"/>
      <c r="S1441" s="45"/>
      <c r="T1441" s="45"/>
      <c r="U1441" s="45"/>
      <c r="V1441" s="45"/>
      <c r="W1441" s="45"/>
      <c r="X1441" s="45"/>
      <c r="Y1441" s="45"/>
      <c r="Z1441" s="45"/>
      <c r="AA1441" s="45"/>
    </row>
    <row r="1442" spans="1:27" ht="13">
      <c r="A1442" s="54"/>
      <c r="B1442" s="45"/>
      <c r="C1442" s="45"/>
      <c r="D1442" s="45"/>
      <c r="E1442" s="45"/>
      <c r="F1442" s="45"/>
      <c r="G1442" s="45"/>
      <c r="H1442" s="22"/>
      <c r="I1442" s="68"/>
      <c r="J1442" s="22"/>
      <c r="K1442" s="68"/>
      <c r="L1442" s="68"/>
      <c r="M1442" s="45"/>
      <c r="N1442" s="45"/>
      <c r="O1442" s="45"/>
      <c r="P1442" s="45"/>
      <c r="Q1442" s="45"/>
      <c r="R1442" s="45"/>
      <c r="S1442" s="45"/>
      <c r="T1442" s="45"/>
      <c r="U1442" s="45"/>
      <c r="V1442" s="45"/>
      <c r="W1442" s="45"/>
      <c r="X1442" s="45"/>
      <c r="Y1442" s="45"/>
      <c r="Z1442" s="45"/>
      <c r="AA1442" s="45"/>
    </row>
    <row r="1443" spans="1:27" ht="13">
      <c r="A1443" s="54">
        <v>2025</v>
      </c>
      <c r="B1443" s="45"/>
      <c r="C1443" s="45" t="s">
        <v>679</v>
      </c>
      <c r="D1443" s="45" t="s">
        <v>482</v>
      </c>
      <c r="E1443" s="45"/>
      <c r="F1443" s="45" t="s">
        <v>459</v>
      </c>
      <c r="G1443" s="45"/>
      <c r="H1443" s="22"/>
      <c r="I1443" s="68">
        <f>SUMIFS(I$1018:I$1420, C$1018:C$1420, "*Argentina*", F$1018:F$1420, "Honorarios profesionales")</f>
        <v>40148</v>
      </c>
      <c r="J1443" s="22"/>
      <c r="K1443" s="68"/>
      <c r="L1443" s="68"/>
      <c r="M1443" s="45"/>
      <c r="N1443" s="45"/>
      <c r="O1443" s="45"/>
      <c r="P1443" s="45"/>
      <c r="Q1443" s="45"/>
      <c r="R1443" s="45"/>
      <c r="S1443" s="45"/>
      <c r="T1443" s="45"/>
      <c r="U1443" s="45"/>
      <c r="V1443" s="45"/>
      <c r="W1443" s="45"/>
      <c r="X1443" s="45"/>
      <c r="Y1443" s="45"/>
      <c r="Z1443" s="45"/>
      <c r="AA1443" s="45"/>
    </row>
    <row r="1444" spans="1:27" ht="13">
      <c r="A1444" s="54">
        <v>2025</v>
      </c>
      <c r="B1444" s="45"/>
      <c r="C1444" s="45" t="s">
        <v>474</v>
      </c>
      <c r="D1444" s="45" t="s">
        <v>482</v>
      </c>
      <c r="E1444" s="45"/>
      <c r="F1444" s="45" t="s">
        <v>459</v>
      </c>
      <c r="G1444" s="45"/>
      <c r="H1444" s="68"/>
      <c r="I1444" s="68">
        <f>SUMIFS(I$1018:I$1420, C$1018:C$1420, "*Colombia*", F$1018:F$1420, "Honorarios Profesionales")</f>
        <v>39558</v>
      </c>
      <c r="J1444" s="68"/>
      <c r="K1444" s="68"/>
      <c r="L1444" s="68"/>
      <c r="M1444" s="45"/>
      <c r="N1444" s="45"/>
      <c r="O1444" s="45"/>
      <c r="P1444" s="45"/>
      <c r="Q1444" s="45"/>
      <c r="R1444" s="45"/>
      <c r="S1444" s="45"/>
      <c r="T1444" s="45"/>
      <c r="U1444" s="45"/>
      <c r="V1444" s="45"/>
      <c r="W1444" s="45"/>
      <c r="X1444" s="45"/>
      <c r="Y1444" s="45"/>
      <c r="Z1444" s="45"/>
      <c r="AA1444" s="45"/>
    </row>
    <row r="1445" spans="1:27" ht="13">
      <c r="A1445" s="54">
        <v>2025</v>
      </c>
      <c r="B1445" s="45"/>
      <c r="C1445" s="45" t="s">
        <v>481</v>
      </c>
      <c r="D1445" s="45" t="s">
        <v>482</v>
      </c>
      <c r="E1445" s="45"/>
      <c r="F1445" s="45" t="s">
        <v>459</v>
      </c>
      <c r="G1445" s="45"/>
      <c r="H1445" s="68"/>
      <c r="I1445" s="68">
        <f>SUMIFS(I$1018:I$1420, C$1018:C$1420, "*Uruguay*", F$1018:F$1420, "Honorarios Profesionales")</f>
        <v>12800</v>
      </c>
      <c r="J1445" s="68"/>
      <c r="K1445" s="68"/>
      <c r="L1445" s="68"/>
      <c r="M1445" s="45"/>
      <c r="N1445" s="45"/>
      <c r="O1445" s="45"/>
      <c r="P1445" s="45"/>
      <c r="Q1445" s="45"/>
      <c r="R1445" s="45"/>
      <c r="S1445" s="45"/>
      <c r="T1445" s="45"/>
      <c r="U1445" s="45"/>
      <c r="V1445" s="45"/>
      <c r="W1445" s="45"/>
      <c r="X1445" s="45"/>
      <c r="Y1445" s="45"/>
      <c r="Z1445" s="45"/>
      <c r="AA1445" s="45"/>
    </row>
    <row r="1446" spans="1:27" ht="13">
      <c r="A1446" s="54">
        <v>2025</v>
      </c>
      <c r="B1446" s="45"/>
      <c r="C1446" s="45" t="s">
        <v>481</v>
      </c>
      <c r="D1446" s="45" t="s">
        <v>819</v>
      </c>
      <c r="E1446" s="45" t="s">
        <v>644</v>
      </c>
      <c r="F1446" s="45" t="s">
        <v>819</v>
      </c>
      <c r="G1446" s="45"/>
      <c r="H1446" s="68"/>
      <c r="I1446" s="22">
        <f>J1446/M1446</f>
        <v>5191.05</v>
      </c>
      <c r="J1446" s="68">
        <f>SUMIFS(K$1018:K$1420, C$1018:C$1420, "*Uruguay*", F$1018:F$1420, "sueldo")-SUMIFS(K$1018:K$1420, C$1018:C$1420, "*Uruguay*", E$1018:E$1420, "Jacqueline Valverde")</f>
        <v>207642</v>
      </c>
      <c r="K1446" s="59"/>
      <c r="L1446" s="68"/>
      <c r="M1446" s="45">
        <v>40</v>
      </c>
      <c r="N1446" s="45"/>
      <c r="O1446" s="45"/>
      <c r="P1446" s="45"/>
      <c r="Q1446" s="45"/>
      <c r="R1446" s="45"/>
      <c r="S1446" s="45"/>
      <c r="T1446" s="45"/>
      <c r="U1446" s="45"/>
      <c r="V1446" s="45"/>
      <c r="W1446" s="45"/>
      <c r="X1446" s="45"/>
      <c r="Y1446" s="45"/>
      <c r="Z1446" s="45"/>
      <c r="AA1446" s="45"/>
    </row>
    <row r="1447" spans="1:27" ht="13">
      <c r="A1447" s="54"/>
      <c r="B1447" s="45"/>
      <c r="C1447" s="45"/>
      <c r="D1447" s="45"/>
      <c r="E1447" s="45"/>
      <c r="F1447" s="49"/>
      <c r="G1447" s="45"/>
      <c r="H1447" s="68"/>
      <c r="I1447" s="59"/>
      <c r="J1447" s="59"/>
      <c r="K1447" s="59"/>
      <c r="L1447" s="68"/>
      <c r="M1447" s="45"/>
      <c r="N1447" s="45"/>
      <c r="O1447" s="45"/>
      <c r="P1447" s="45"/>
      <c r="Q1447" s="45"/>
      <c r="R1447" s="45"/>
      <c r="S1447" s="45"/>
      <c r="T1447" s="45"/>
      <c r="U1447" s="45"/>
      <c r="V1447" s="45"/>
      <c r="W1447" s="45"/>
      <c r="X1447" s="45"/>
      <c r="Y1447" s="45"/>
      <c r="Z1447" s="45"/>
      <c r="AA1447" s="45"/>
    </row>
    <row r="1448" spans="1:27" ht="13">
      <c r="A1448" s="54"/>
      <c r="B1448" s="45"/>
      <c r="C1448" s="45"/>
      <c r="D1448" s="45"/>
      <c r="E1448" s="45"/>
      <c r="F1448" s="707" t="s">
        <v>821</v>
      </c>
      <c r="G1448" s="708"/>
      <c r="H1448" s="709"/>
      <c r="I1448" s="710">
        <f>SUM(I1443:I1446)</f>
        <v>97697.05</v>
      </c>
      <c r="J1448" s="710"/>
      <c r="K1448" s="711">
        <f>SUM(K1443:K1445)</f>
        <v>0</v>
      </c>
      <c r="L1448" s="68"/>
      <c r="M1448" s="45"/>
      <c r="N1448" s="45"/>
      <c r="O1448" s="45"/>
      <c r="P1448" s="45"/>
      <c r="Q1448" s="45"/>
      <c r="R1448" s="45"/>
      <c r="S1448" s="45"/>
      <c r="T1448" s="45"/>
      <c r="U1448" s="45"/>
      <c r="V1448" s="45"/>
      <c r="W1448" s="45"/>
      <c r="X1448" s="45"/>
      <c r="Y1448" s="45"/>
      <c r="Z1448" s="45"/>
      <c r="AA1448" s="45"/>
    </row>
    <row r="1449" spans="1:27" ht="13">
      <c r="A1449" s="54"/>
      <c r="B1449" s="45"/>
      <c r="C1449" s="45"/>
      <c r="D1449" s="45"/>
      <c r="E1449" s="45"/>
      <c r="F1449" s="45"/>
      <c r="G1449" s="45"/>
      <c r="H1449" s="68"/>
      <c r="I1449" s="68"/>
      <c r="J1449" s="68"/>
      <c r="K1449" s="68"/>
      <c r="L1449" s="68"/>
      <c r="M1449" s="45"/>
      <c r="N1449" s="45"/>
      <c r="O1449" s="45"/>
      <c r="P1449" s="45"/>
      <c r="Q1449" s="45"/>
      <c r="R1449" s="45"/>
      <c r="S1449" s="45"/>
      <c r="T1449" s="45"/>
      <c r="U1449" s="45"/>
      <c r="V1449" s="45"/>
      <c r="W1449" s="45"/>
      <c r="X1449" s="45"/>
      <c r="Y1449" s="45"/>
      <c r="Z1449" s="45"/>
      <c r="AA1449" s="45"/>
    </row>
    <row r="1450" spans="1:27" ht="13">
      <c r="A1450" s="54"/>
      <c r="B1450" s="45"/>
      <c r="C1450" s="45"/>
      <c r="D1450" s="45"/>
      <c r="E1450" s="45"/>
      <c r="F1450" s="45"/>
      <c r="G1450" s="45"/>
      <c r="H1450" s="68"/>
      <c r="I1450" s="22"/>
      <c r="J1450" s="68"/>
      <c r="K1450" s="68"/>
      <c r="L1450" s="68"/>
      <c r="M1450" s="45"/>
      <c r="N1450" s="45"/>
      <c r="O1450" s="45"/>
      <c r="P1450" s="45"/>
      <c r="Q1450" s="45"/>
      <c r="R1450" s="45"/>
      <c r="S1450" s="45"/>
      <c r="T1450" s="45"/>
      <c r="U1450" s="45"/>
      <c r="V1450" s="45"/>
      <c r="W1450" s="45"/>
      <c r="X1450" s="45"/>
      <c r="Y1450" s="45"/>
      <c r="Z1450" s="45"/>
      <c r="AA1450" s="45"/>
    </row>
    <row r="1451" spans="1:27" ht="13">
      <c r="A1451" s="54"/>
      <c r="B1451" s="45"/>
      <c r="C1451" s="45"/>
      <c r="D1451" s="45"/>
      <c r="E1451" s="45"/>
      <c r="F1451" s="45"/>
      <c r="G1451" s="45"/>
      <c r="H1451" s="68"/>
      <c r="I1451" s="68"/>
      <c r="J1451" s="68"/>
      <c r="K1451" s="68"/>
      <c r="L1451" s="68"/>
      <c r="M1451" s="45"/>
      <c r="N1451" s="45"/>
      <c r="O1451" s="45"/>
      <c r="P1451" s="45"/>
      <c r="Q1451" s="45"/>
      <c r="R1451" s="45"/>
      <c r="S1451" s="45"/>
      <c r="T1451" s="45"/>
      <c r="U1451" s="45"/>
      <c r="V1451" s="45"/>
      <c r="W1451" s="45"/>
      <c r="X1451" s="45"/>
      <c r="Y1451" s="45"/>
      <c r="Z1451" s="45"/>
      <c r="AA1451" s="45"/>
    </row>
    <row r="1452" spans="1:27" ht="13">
      <c r="A1452" s="54"/>
      <c r="B1452" s="45"/>
      <c r="C1452" s="45"/>
      <c r="D1452" s="45"/>
      <c r="E1452" s="45"/>
      <c r="F1452" s="45"/>
      <c r="G1452" s="45"/>
      <c r="H1452" s="68"/>
      <c r="I1452" s="68"/>
      <c r="J1452" s="68"/>
      <c r="K1452" s="68"/>
      <c r="L1452" s="68"/>
      <c r="M1452" s="45"/>
      <c r="N1452" s="45"/>
      <c r="O1452" s="45"/>
      <c r="P1452" s="45"/>
      <c r="Q1452" s="45"/>
      <c r="R1452" s="45"/>
      <c r="S1452" s="45"/>
      <c r="T1452" s="45"/>
      <c r="U1452" s="45"/>
      <c r="V1452" s="45"/>
      <c r="W1452" s="45"/>
      <c r="X1452" s="45"/>
      <c r="Y1452" s="45"/>
      <c r="Z1452" s="45"/>
      <c r="AA1452" s="45"/>
    </row>
    <row r="1453" spans="1:27" ht="13">
      <c r="A1453" s="54"/>
      <c r="B1453" s="45"/>
      <c r="C1453" s="45"/>
      <c r="D1453" s="45"/>
      <c r="E1453" s="45"/>
      <c r="F1453" s="45"/>
      <c r="G1453" s="45"/>
      <c r="H1453" s="68"/>
      <c r="I1453" s="68"/>
      <c r="J1453" s="68"/>
      <c r="K1453" s="68"/>
      <c r="L1453" s="68"/>
      <c r="M1453" s="45"/>
      <c r="N1453" s="45"/>
      <c r="O1453" s="45"/>
      <c r="P1453" s="45"/>
      <c r="Q1453" s="45"/>
      <c r="R1453" s="45"/>
      <c r="S1453" s="45"/>
      <c r="T1453" s="45"/>
      <c r="U1453" s="45"/>
      <c r="V1453" s="45"/>
      <c r="W1453" s="45"/>
      <c r="X1453" s="45"/>
      <c r="Y1453" s="45"/>
      <c r="Z1453" s="45"/>
      <c r="AA1453" s="45"/>
    </row>
    <row r="1454" spans="1:27" ht="13">
      <c r="A1454" s="54"/>
      <c r="B1454" s="45"/>
      <c r="C1454" s="45"/>
      <c r="D1454" s="45"/>
      <c r="E1454" s="45"/>
      <c r="F1454" s="45"/>
      <c r="G1454" s="45"/>
      <c r="H1454" s="68"/>
      <c r="I1454" s="68"/>
      <c r="J1454" s="68"/>
      <c r="K1454" s="68"/>
      <c r="L1454" s="68"/>
      <c r="M1454" s="45"/>
      <c r="N1454" s="45"/>
      <c r="O1454" s="45"/>
      <c r="P1454" s="45"/>
      <c r="Q1454" s="45"/>
      <c r="R1454" s="45"/>
      <c r="S1454" s="45"/>
      <c r="T1454" s="45"/>
      <c r="U1454" s="45"/>
      <c r="V1454" s="45"/>
      <c r="W1454" s="45"/>
      <c r="X1454" s="45"/>
      <c r="Y1454" s="45"/>
      <c r="Z1454" s="45"/>
      <c r="AA1454" s="45"/>
    </row>
    <row r="1455" spans="1:27" ht="13">
      <c r="A1455" s="54"/>
      <c r="B1455" s="45"/>
      <c r="C1455" s="45"/>
      <c r="D1455" s="45"/>
      <c r="E1455" s="45"/>
      <c r="F1455" s="45"/>
      <c r="G1455" s="45"/>
      <c r="H1455" s="68"/>
      <c r="I1455" s="68"/>
      <c r="J1455" s="68"/>
      <c r="K1455" s="68"/>
      <c r="L1455" s="68"/>
      <c r="M1455" s="45"/>
      <c r="N1455" s="45"/>
      <c r="O1455" s="45"/>
      <c r="P1455" s="45"/>
      <c r="Q1455" s="45"/>
      <c r="R1455" s="45"/>
      <c r="S1455" s="45"/>
      <c r="T1455" s="45"/>
      <c r="U1455" s="45"/>
      <c r="V1455" s="45"/>
      <c r="W1455" s="45"/>
      <c r="X1455" s="45"/>
      <c r="Y1455" s="45"/>
      <c r="Z1455" s="45"/>
      <c r="AA1455" s="45"/>
    </row>
    <row r="1456" spans="1:27" ht="13">
      <c r="A1456" s="54"/>
      <c r="B1456" s="45"/>
      <c r="C1456" s="45"/>
      <c r="D1456" s="45"/>
      <c r="E1456" s="45"/>
      <c r="F1456" s="45"/>
      <c r="G1456" s="45"/>
      <c r="H1456" s="68"/>
      <c r="I1456" s="68"/>
      <c r="J1456" s="68"/>
      <c r="K1456" s="68"/>
      <c r="L1456" s="68"/>
      <c r="M1456" s="45"/>
      <c r="N1456" s="45"/>
      <c r="O1456" s="45"/>
      <c r="P1456" s="45"/>
      <c r="Q1456" s="45"/>
      <c r="R1456" s="45"/>
      <c r="S1456" s="45"/>
      <c r="T1456" s="45"/>
      <c r="U1456" s="45"/>
      <c r="V1456" s="45"/>
      <c r="W1456" s="45"/>
      <c r="X1456" s="45"/>
      <c r="Y1456" s="45"/>
      <c r="Z1456" s="45"/>
      <c r="AA1456" s="45"/>
    </row>
    <row r="1457" spans="1:27" ht="13">
      <c r="A1457" s="54"/>
      <c r="B1457" s="45"/>
      <c r="C1457" s="45"/>
      <c r="D1457" s="45"/>
      <c r="E1457" s="45"/>
      <c r="F1457" s="45"/>
      <c r="G1457" s="45"/>
      <c r="H1457" s="68"/>
      <c r="I1457" s="68"/>
      <c r="J1457" s="68"/>
      <c r="K1457" s="68"/>
      <c r="L1457" s="68"/>
      <c r="M1457" s="45"/>
      <c r="N1457" s="45"/>
      <c r="O1457" s="45"/>
      <c r="P1457" s="45"/>
      <c r="Q1457" s="45"/>
      <c r="R1457" s="45"/>
      <c r="S1457" s="45"/>
      <c r="T1457" s="45"/>
      <c r="U1457" s="45"/>
      <c r="V1457" s="45"/>
      <c r="W1457" s="45"/>
      <c r="X1457" s="45"/>
      <c r="Y1457" s="45"/>
      <c r="Z1457" s="45"/>
      <c r="AA1457" s="45"/>
    </row>
    <row r="1458" spans="1:27" ht="13">
      <c r="A1458" s="54"/>
      <c r="B1458" s="45"/>
      <c r="C1458" s="45"/>
      <c r="D1458" s="45"/>
      <c r="E1458" s="45"/>
      <c r="F1458" s="45"/>
      <c r="G1458" s="45"/>
      <c r="H1458" s="68"/>
      <c r="I1458" s="68"/>
      <c r="J1458" s="68"/>
      <c r="K1458" s="68"/>
      <c r="L1458" s="68"/>
      <c r="M1458" s="45"/>
      <c r="N1458" s="45"/>
      <c r="O1458" s="45"/>
      <c r="P1458" s="45"/>
      <c r="Q1458" s="45"/>
      <c r="R1458" s="45"/>
      <c r="S1458" s="45"/>
      <c r="T1458" s="45"/>
      <c r="U1458" s="45"/>
      <c r="V1458" s="45"/>
      <c r="W1458" s="45"/>
      <c r="X1458" s="45"/>
      <c r="Y1458" s="45"/>
      <c r="Z1458" s="45"/>
      <c r="AA1458" s="45"/>
    </row>
    <row r="1459" spans="1:27" ht="13">
      <c r="A1459" s="54"/>
      <c r="B1459" s="45"/>
      <c r="C1459" s="45"/>
      <c r="D1459" s="45"/>
      <c r="E1459" s="45"/>
      <c r="F1459" s="45"/>
      <c r="G1459" s="45"/>
      <c r="H1459" s="68"/>
      <c r="I1459" s="68"/>
      <c r="J1459" s="68"/>
      <c r="K1459" s="68"/>
      <c r="L1459" s="68"/>
      <c r="M1459" s="45"/>
      <c r="N1459" s="45"/>
      <c r="O1459" s="45"/>
      <c r="P1459" s="45"/>
      <c r="Q1459" s="45"/>
      <c r="R1459" s="45"/>
      <c r="S1459" s="45"/>
      <c r="T1459" s="45"/>
      <c r="U1459" s="45"/>
      <c r="V1459" s="45"/>
      <c r="W1459" s="45"/>
      <c r="X1459" s="45"/>
      <c r="Y1459" s="45"/>
      <c r="Z1459" s="45"/>
      <c r="AA1459" s="45"/>
    </row>
    <row r="1460" spans="1:27" ht="13">
      <c r="A1460" s="54"/>
      <c r="B1460" s="45"/>
      <c r="C1460" s="45"/>
      <c r="D1460" s="45"/>
      <c r="E1460" s="45"/>
      <c r="F1460" s="45"/>
      <c r="G1460" s="45"/>
      <c r="H1460" s="68"/>
      <c r="I1460" s="68"/>
      <c r="J1460" s="68"/>
      <c r="K1460" s="68"/>
      <c r="L1460" s="68"/>
      <c r="M1460" s="45"/>
      <c r="N1460" s="45"/>
      <c r="O1460" s="45"/>
      <c r="P1460" s="45"/>
      <c r="Q1460" s="45"/>
      <c r="R1460" s="45"/>
      <c r="S1460" s="45"/>
      <c r="T1460" s="45"/>
      <c r="U1460" s="45"/>
      <c r="V1460" s="45"/>
      <c r="W1460" s="45"/>
      <c r="X1460" s="45"/>
      <c r="Y1460" s="45"/>
      <c r="Z1460" s="45"/>
      <c r="AA1460" s="45"/>
    </row>
  </sheetData>
  <autoFilter ref="A1:AA1420" xr:uid="{00000000-0009-0000-0000-000006000000}"/>
  <hyperlinks>
    <hyperlink ref="E127" r:id="rId1" xr:uid="{00000000-0004-0000-0600-000000000000}"/>
    <hyperlink ref="E465" r:id="rId2" xr:uid="{00000000-0004-0000-0600-000001000000}"/>
    <hyperlink ref="E515" r:id="rId3" xr:uid="{00000000-0004-0000-0600-000002000000}"/>
    <hyperlink ref="E544" r:id="rId4" xr:uid="{00000000-0004-0000-0600-000003000000}"/>
    <hyperlink ref="E550" r:id="rId5" xr:uid="{00000000-0004-0000-0600-000004000000}"/>
    <hyperlink ref="E551" r:id="rId6" xr:uid="{00000000-0004-0000-0600-000005000000}"/>
    <hyperlink ref="E552" r:id="rId7" xr:uid="{00000000-0004-0000-0600-000006000000}"/>
    <hyperlink ref="E594" r:id="rId8" xr:uid="{00000000-0004-0000-0600-000007000000}"/>
    <hyperlink ref="E627" r:id="rId9" xr:uid="{00000000-0004-0000-0600-000008000000}"/>
    <hyperlink ref="E661" r:id="rId10" xr:uid="{00000000-0004-0000-0600-000009000000}"/>
    <hyperlink ref="E685" r:id="rId11" xr:uid="{00000000-0004-0000-0600-00000A000000}"/>
    <hyperlink ref="E734" r:id="rId12" xr:uid="{00000000-0004-0000-0600-00000B000000}"/>
    <hyperlink ref="E736" r:id="rId13" xr:uid="{00000000-0004-0000-0600-00000C000000}"/>
    <hyperlink ref="E772" r:id="rId14" xr:uid="{00000000-0004-0000-0600-00000D000000}"/>
    <hyperlink ref="E807" r:id="rId15" xr:uid="{00000000-0004-0000-0600-00000E000000}"/>
    <hyperlink ref="E815" r:id="rId16" xr:uid="{00000000-0004-0000-0600-00000F000000}"/>
    <hyperlink ref="E844" r:id="rId17" xr:uid="{00000000-0004-0000-0600-000010000000}"/>
    <hyperlink ref="E853" r:id="rId18" xr:uid="{00000000-0004-0000-0600-000011000000}"/>
    <hyperlink ref="E878" r:id="rId19" xr:uid="{00000000-0004-0000-0600-000012000000}"/>
    <hyperlink ref="E886" r:id="rId20" xr:uid="{00000000-0004-0000-0600-000013000000}"/>
    <hyperlink ref="E912" r:id="rId21" xr:uid="{00000000-0004-0000-0600-000014000000}"/>
    <hyperlink ref="E919" r:id="rId22" xr:uid="{00000000-0004-0000-0600-000015000000}"/>
    <hyperlink ref="E954" r:id="rId23" xr:uid="{00000000-0004-0000-0600-000016000000}"/>
    <hyperlink ref="E961" r:id="rId24" xr:uid="{00000000-0004-0000-0600-000017000000}"/>
    <hyperlink ref="E999" r:id="rId25" xr:uid="{00000000-0004-0000-0600-000018000000}"/>
    <hyperlink ref="E1006" r:id="rId26" xr:uid="{00000000-0004-0000-0600-000019000000}"/>
    <hyperlink ref="E1047" r:id="rId27" xr:uid="{00000000-0004-0000-0600-00001A000000}"/>
    <hyperlink ref="E1054" r:id="rId28" xr:uid="{00000000-0004-0000-0600-00001B000000}"/>
    <hyperlink ref="E1086" r:id="rId29" xr:uid="{00000000-0004-0000-0600-00001C000000}"/>
    <hyperlink ref="E1093" r:id="rId30" xr:uid="{00000000-0004-0000-0600-00001D000000}"/>
    <hyperlink ref="E1128" r:id="rId31" xr:uid="{00000000-0004-0000-0600-00001E000000}"/>
    <hyperlink ref="E1167" r:id="rId32" xr:uid="{00000000-0004-0000-0600-00001F000000}"/>
    <hyperlink ref="E1209" r:id="rId33" xr:uid="{00000000-0004-0000-0600-000020000000}"/>
    <hyperlink ref="E1242" r:id="rId34" xr:uid="{00000000-0004-0000-0600-000021000000}"/>
    <hyperlink ref="E1282" r:id="rId35" xr:uid="{00000000-0004-0000-0600-000022000000}"/>
    <hyperlink ref="E1371" r:id="rId36" xr:uid="{00000000-0004-0000-0600-000023000000}"/>
    <hyperlink ref="E1379" r:id="rId37" xr:uid="{00000000-0004-0000-0600-000024000000}"/>
    <hyperlink ref="E1380" r:id="rId38" xr:uid="{00000000-0004-0000-0600-000025000000}"/>
  </hyperlinks>
  <printOptions horizontalCentered="1" gridLines="1"/>
  <pageMargins left="0.7" right="0.7" top="0.75" bottom="0.75" header="0" footer="0"/>
  <pageSetup fitToHeight="0" pageOrder="overThenDown" orientation="landscape" cellComments="atEnd"/>
  <legacyDrawing r:id="rId3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Z577"/>
  <sheetViews>
    <sheetView topLeftCell="B1" workbookViewId="0">
      <pane ySplit="3" topLeftCell="A4" activePane="bottomLeft" state="frozen"/>
      <selection pane="bottomLeft" activeCell="R3" sqref="R3"/>
    </sheetView>
  </sheetViews>
  <sheetFormatPr baseColWidth="10" defaultColWidth="12.6640625" defaultRowHeight="15.75" customHeight="1"/>
  <cols>
    <col min="1" max="1" width="11.1640625" customWidth="1"/>
    <col min="2" max="2" width="13.33203125" customWidth="1"/>
    <col min="3" max="3" width="13.6640625" customWidth="1"/>
    <col min="4" max="4" width="30" customWidth="1"/>
    <col min="5" max="5" width="23" customWidth="1"/>
    <col min="8" max="8" width="14.5" customWidth="1"/>
    <col min="10" max="11" width="2.33203125" customWidth="1"/>
    <col min="15" max="15" width="18.5" customWidth="1"/>
    <col min="16" max="16" width="8.1640625" customWidth="1"/>
    <col min="18" max="18" width="10.6640625" customWidth="1"/>
  </cols>
  <sheetData>
    <row r="1" spans="1:20" ht="15.75" customHeight="1">
      <c r="A1" s="712"/>
      <c r="B1" s="10"/>
      <c r="C1" s="75"/>
      <c r="D1" s="10"/>
      <c r="E1" s="713" t="s">
        <v>823</v>
      </c>
      <c r="F1" s="10"/>
      <c r="G1" s="327"/>
      <c r="H1" s="23"/>
      <c r="I1" s="73"/>
      <c r="J1" s="714"/>
      <c r="K1" s="714"/>
      <c r="L1" s="34"/>
      <c r="M1" s="75"/>
      <c r="N1" s="715" t="s">
        <v>824</v>
      </c>
      <c r="O1" s="10"/>
      <c r="Q1" s="10"/>
      <c r="R1" s="327"/>
      <c r="S1" s="23"/>
      <c r="T1" s="73"/>
    </row>
    <row r="2" spans="1:20" ht="15.75" customHeight="1">
      <c r="A2" s="712"/>
      <c r="B2" s="10"/>
      <c r="C2" s="75"/>
      <c r="D2" s="10" t="s">
        <v>66</v>
      </c>
      <c r="E2" s="23">
        <v>0</v>
      </c>
      <c r="F2" s="10" t="s">
        <v>825</v>
      </c>
      <c r="G2" s="53">
        <f>SUM(B4:B815)-SUM(C4:C815)</f>
        <v>169960.10000000149</v>
      </c>
      <c r="H2" s="23"/>
      <c r="I2" s="73"/>
      <c r="J2" s="714"/>
      <c r="K2" s="714"/>
      <c r="L2" s="34"/>
      <c r="M2" s="75"/>
      <c r="N2" s="75"/>
      <c r="O2" s="10" t="s">
        <v>825</v>
      </c>
      <c r="P2" s="53">
        <f>SUM(M4:M453)-SUM(N4:N453)</f>
        <v>0</v>
      </c>
      <c r="Q2" s="23"/>
      <c r="R2" s="73"/>
    </row>
    <row r="3" spans="1:20" ht="15.75" customHeight="1">
      <c r="A3" s="712" t="s">
        <v>72</v>
      </c>
      <c r="B3" s="10" t="s">
        <v>826</v>
      </c>
      <c r="C3" s="75" t="s">
        <v>827</v>
      </c>
      <c r="D3" s="10" t="s">
        <v>455</v>
      </c>
      <c r="E3" s="23" t="s">
        <v>828</v>
      </c>
      <c r="F3" s="10"/>
      <c r="H3" s="23" t="s">
        <v>829</v>
      </c>
      <c r="I3" s="716">
        <f>G2-I2</f>
        <v>169960.10000000149</v>
      </c>
      <c r="J3" s="714"/>
      <c r="K3" s="714"/>
      <c r="L3" s="717" t="s">
        <v>55</v>
      </c>
      <c r="M3" s="75" t="s">
        <v>826</v>
      </c>
      <c r="N3" s="75" t="s">
        <v>827</v>
      </c>
      <c r="O3" s="10" t="s">
        <v>455</v>
      </c>
      <c r="P3" s="10"/>
      <c r="Q3" s="23" t="s">
        <v>829</v>
      </c>
      <c r="R3" s="716">
        <f>P2-R2</f>
        <v>0</v>
      </c>
    </row>
    <row r="4" spans="1:20" ht="15.75" customHeight="1">
      <c r="A4" s="718" t="s">
        <v>830</v>
      </c>
      <c r="B4" s="22">
        <v>250000</v>
      </c>
      <c r="C4" s="22"/>
      <c r="D4" s="23" t="s">
        <v>831</v>
      </c>
      <c r="J4" s="719"/>
      <c r="K4" s="720"/>
      <c r="L4" s="83" t="s">
        <v>832</v>
      </c>
      <c r="M4" s="22">
        <v>1232</v>
      </c>
      <c r="N4" s="22"/>
      <c r="O4" s="23" t="s">
        <v>833</v>
      </c>
      <c r="Q4" s="10"/>
      <c r="R4" s="327"/>
      <c r="T4" s="73"/>
    </row>
    <row r="5" spans="1:20" ht="15.75" customHeight="1">
      <c r="A5" s="721">
        <v>44563</v>
      </c>
      <c r="B5" s="22"/>
      <c r="C5" s="22">
        <v>138307</v>
      </c>
      <c r="D5" s="23" t="s">
        <v>834</v>
      </c>
      <c r="J5" s="719"/>
      <c r="K5" s="720"/>
      <c r="L5" s="83" t="s">
        <v>832</v>
      </c>
      <c r="M5" s="22"/>
      <c r="N5" s="22">
        <v>1232</v>
      </c>
      <c r="O5" s="23" t="s">
        <v>835</v>
      </c>
      <c r="P5" s="10"/>
      <c r="Q5" s="10"/>
      <c r="R5" s="10"/>
      <c r="T5" s="722"/>
    </row>
    <row r="6" spans="1:20" ht="15.75" customHeight="1">
      <c r="A6" s="721">
        <v>44563</v>
      </c>
      <c r="B6" s="22"/>
      <c r="C6" s="22">
        <v>109800</v>
      </c>
      <c r="D6" s="23" t="s">
        <v>836</v>
      </c>
      <c r="J6" s="719"/>
      <c r="K6" s="720"/>
      <c r="L6" s="83" t="s">
        <v>837</v>
      </c>
      <c r="M6" s="22">
        <v>1232</v>
      </c>
      <c r="N6" s="22"/>
      <c r="O6" s="23" t="s">
        <v>833</v>
      </c>
    </row>
    <row r="7" spans="1:20" ht="15.75" customHeight="1">
      <c r="A7" s="721">
        <v>44563</v>
      </c>
      <c r="B7" s="68"/>
      <c r="C7" s="55">
        <v>84.61</v>
      </c>
      <c r="D7" s="45" t="s">
        <v>838</v>
      </c>
      <c r="E7" s="45"/>
      <c r="J7" s="719"/>
      <c r="K7" s="720"/>
      <c r="L7" s="83" t="s">
        <v>837</v>
      </c>
      <c r="M7" s="22"/>
      <c r="N7" s="22">
        <v>1232</v>
      </c>
      <c r="O7" s="23" t="s">
        <v>835</v>
      </c>
    </row>
    <row r="8" spans="1:20" ht="15.75" customHeight="1">
      <c r="A8" s="45" t="s">
        <v>839</v>
      </c>
      <c r="B8" s="68">
        <v>250000</v>
      </c>
      <c r="C8" s="55"/>
      <c r="D8" s="45" t="s">
        <v>831</v>
      </c>
      <c r="E8" s="45"/>
      <c r="J8" s="719"/>
      <c r="K8" s="720"/>
      <c r="L8" s="83" t="s">
        <v>840</v>
      </c>
      <c r="M8" s="22">
        <v>1232</v>
      </c>
      <c r="N8" s="22"/>
      <c r="O8" s="23" t="s">
        <v>833</v>
      </c>
    </row>
    <row r="9" spans="1:20" ht="15.75" customHeight="1">
      <c r="A9" s="723">
        <v>44595</v>
      </c>
      <c r="B9" s="68"/>
      <c r="C9" s="55">
        <v>138307</v>
      </c>
      <c r="D9" s="45" t="s">
        <v>834</v>
      </c>
      <c r="E9" s="45"/>
      <c r="J9" s="719"/>
      <c r="K9" s="720"/>
      <c r="L9" s="83" t="s">
        <v>840</v>
      </c>
      <c r="M9" s="22"/>
      <c r="N9" s="22">
        <v>1232</v>
      </c>
      <c r="O9" s="23" t="s">
        <v>835</v>
      </c>
    </row>
    <row r="10" spans="1:20" ht="15.75" customHeight="1">
      <c r="A10" s="723">
        <v>44595</v>
      </c>
      <c r="B10" s="68"/>
      <c r="C10" s="55">
        <v>109800</v>
      </c>
      <c r="D10" s="45" t="s">
        <v>841</v>
      </c>
      <c r="E10" s="45"/>
      <c r="J10" s="719"/>
      <c r="K10" s="720"/>
      <c r="L10" s="83" t="s">
        <v>842</v>
      </c>
      <c r="M10" s="22">
        <v>1232</v>
      </c>
      <c r="N10" s="22"/>
      <c r="O10" s="23" t="s">
        <v>833</v>
      </c>
    </row>
    <row r="11" spans="1:20" ht="15.75" customHeight="1">
      <c r="A11" s="723">
        <v>44595</v>
      </c>
      <c r="B11" s="22"/>
      <c r="C11" s="22">
        <v>82.14</v>
      </c>
      <c r="D11" s="23" t="s">
        <v>838</v>
      </c>
      <c r="J11" s="719"/>
      <c r="K11" s="720"/>
      <c r="L11" s="83" t="s">
        <v>842</v>
      </c>
      <c r="M11" s="22"/>
      <c r="N11" s="22">
        <v>1232</v>
      </c>
      <c r="O11" s="23" t="s">
        <v>835</v>
      </c>
    </row>
    <row r="12" spans="1:20" ht="15.75" customHeight="1">
      <c r="A12" s="721">
        <v>44837</v>
      </c>
      <c r="B12" s="22">
        <v>189075.6</v>
      </c>
      <c r="C12" s="22"/>
      <c r="D12" s="23" t="s">
        <v>843</v>
      </c>
      <c r="E12" s="23" t="s">
        <v>844</v>
      </c>
      <c r="J12" s="719"/>
      <c r="K12" s="720"/>
      <c r="L12" s="83" t="s">
        <v>845</v>
      </c>
      <c r="M12" s="22">
        <v>1232</v>
      </c>
      <c r="N12" s="22"/>
      <c r="O12" s="23" t="s">
        <v>833</v>
      </c>
    </row>
    <row r="13" spans="1:20" ht="15.75" customHeight="1">
      <c r="A13" s="718" t="s">
        <v>846</v>
      </c>
      <c r="B13" s="22"/>
      <c r="C13" s="22">
        <v>7595</v>
      </c>
      <c r="D13" s="23" t="s">
        <v>502</v>
      </c>
      <c r="J13" s="719"/>
      <c r="K13" s="720"/>
      <c r="L13" s="83" t="s">
        <v>845</v>
      </c>
      <c r="M13" s="22"/>
      <c r="N13" s="22">
        <v>1232</v>
      </c>
      <c r="O13" s="23" t="s">
        <v>835</v>
      </c>
    </row>
    <row r="14" spans="1:20" ht="15.75" customHeight="1">
      <c r="A14" s="718" t="s">
        <v>847</v>
      </c>
      <c r="B14" s="22">
        <v>184242.2</v>
      </c>
      <c r="C14" s="22"/>
      <c r="D14" s="23" t="s">
        <v>843</v>
      </c>
      <c r="E14" s="23" t="s">
        <v>848</v>
      </c>
      <c r="J14" s="719"/>
      <c r="K14" s="720"/>
      <c r="L14" s="83" t="s">
        <v>849</v>
      </c>
      <c r="M14" s="22">
        <v>1232</v>
      </c>
      <c r="N14" s="22"/>
      <c r="O14" s="23" t="s">
        <v>833</v>
      </c>
      <c r="Q14" s="22"/>
    </row>
    <row r="15" spans="1:20" ht="15.75" customHeight="1">
      <c r="A15" s="721">
        <v>44565</v>
      </c>
      <c r="B15" s="22"/>
      <c r="C15" s="22">
        <v>109800</v>
      </c>
      <c r="D15" s="23" t="s">
        <v>841</v>
      </c>
      <c r="J15" s="719"/>
      <c r="K15" s="720"/>
      <c r="L15" s="83" t="s">
        <v>849</v>
      </c>
      <c r="M15" s="22"/>
      <c r="N15" s="22">
        <v>1232</v>
      </c>
      <c r="O15" s="23" t="s">
        <v>835</v>
      </c>
      <c r="P15" s="22"/>
    </row>
    <row r="16" spans="1:20" ht="15.75" customHeight="1">
      <c r="A16" s="721">
        <v>44565</v>
      </c>
      <c r="B16" s="22"/>
      <c r="C16" s="22">
        <v>79.19</v>
      </c>
      <c r="D16" s="23" t="s">
        <v>838</v>
      </c>
      <c r="J16" s="719"/>
      <c r="K16" s="720"/>
      <c r="L16" s="83" t="s">
        <v>850</v>
      </c>
      <c r="M16" s="22">
        <v>1232</v>
      </c>
      <c r="N16" s="22"/>
      <c r="O16" s="23" t="s">
        <v>833</v>
      </c>
      <c r="P16" s="22"/>
      <c r="Q16" s="22"/>
    </row>
    <row r="17" spans="1:17" ht="15.75" customHeight="1">
      <c r="A17" s="721">
        <v>44565</v>
      </c>
      <c r="B17" s="22"/>
      <c r="C17" s="22">
        <v>3500</v>
      </c>
      <c r="D17" s="23" t="s">
        <v>851</v>
      </c>
      <c r="J17" s="719"/>
      <c r="K17" s="720"/>
      <c r="L17" s="83" t="s">
        <v>850</v>
      </c>
      <c r="M17" s="22"/>
      <c r="N17" s="22">
        <v>1232</v>
      </c>
      <c r="O17" s="23" t="s">
        <v>835</v>
      </c>
      <c r="P17" s="22"/>
      <c r="Q17" s="22"/>
    </row>
    <row r="18" spans="1:17" ht="15.75" customHeight="1">
      <c r="A18" s="721">
        <v>44685</v>
      </c>
      <c r="B18" s="22"/>
      <c r="C18" s="22">
        <v>12200</v>
      </c>
      <c r="D18" s="23" t="s">
        <v>852</v>
      </c>
      <c r="E18" s="23" t="s">
        <v>853</v>
      </c>
      <c r="J18" s="719"/>
      <c r="K18" s="720"/>
      <c r="L18" s="83" t="s">
        <v>854</v>
      </c>
      <c r="M18" s="22">
        <v>1232</v>
      </c>
      <c r="N18" s="22"/>
      <c r="O18" s="23" t="s">
        <v>833</v>
      </c>
      <c r="P18" s="22"/>
      <c r="Q18" s="22"/>
    </row>
    <row r="19" spans="1:17" ht="15.75" customHeight="1">
      <c r="A19" s="718" t="s">
        <v>855</v>
      </c>
      <c r="B19" s="22"/>
      <c r="C19" s="22">
        <v>6881</v>
      </c>
      <c r="D19" s="23" t="s">
        <v>502</v>
      </c>
      <c r="J19" s="719"/>
      <c r="K19" s="720"/>
      <c r="L19" s="83" t="s">
        <v>854</v>
      </c>
      <c r="M19" s="22"/>
      <c r="N19" s="22">
        <v>1232</v>
      </c>
      <c r="O19" s="23" t="s">
        <v>835</v>
      </c>
      <c r="P19" s="22"/>
      <c r="Q19" s="22"/>
    </row>
    <row r="20" spans="1:17" ht="15.75" customHeight="1">
      <c r="A20" s="718" t="s">
        <v>856</v>
      </c>
      <c r="B20" s="22">
        <v>270000</v>
      </c>
      <c r="C20" s="22"/>
      <c r="D20" s="23" t="s">
        <v>831</v>
      </c>
      <c r="J20" s="719"/>
      <c r="K20" s="720"/>
      <c r="L20" s="83" t="s">
        <v>857</v>
      </c>
      <c r="M20" s="22">
        <v>1232</v>
      </c>
      <c r="N20" s="22"/>
      <c r="O20" s="23" t="s">
        <v>833</v>
      </c>
      <c r="P20" s="22"/>
      <c r="Q20" s="22"/>
    </row>
    <row r="21" spans="1:17" ht="15.75" customHeight="1">
      <c r="A21" s="718" t="s">
        <v>858</v>
      </c>
      <c r="B21" s="22">
        <v>200000</v>
      </c>
      <c r="C21" s="22"/>
      <c r="D21" s="23" t="s">
        <v>831</v>
      </c>
      <c r="J21" s="719"/>
      <c r="K21" s="720"/>
      <c r="L21" s="83" t="s">
        <v>857</v>
      </c>
      <c r="M21" s="22"/>
      <c r="N21" s="22">
        <v>1232</v>
      </c>
      <c r="O21" s="23" t="s">
        <v>835</v>
      </c>
      <c r="P21" s="22"/>
      <c r="Q21" s="22"/>
    </row>
    <row r="22" spans="1:17" ht="15.75" customHeight="1">
      <c r="A22" s="718" t="s">
        <v>859</v>
      </c>
      <c r="B22" s="22"/>
      <c r="C22" s="22">
        <v>1128.94</v>
      </c>
      <c r="D22" s="23" t="s">
        <v>860</v>
      </c>
      <c r="J22" s="719"/>
      <c r="K22" s="720"/>
      <c r="L22" s="83" t="s">
        <v>861</v>
      </c>
      <c r="M22" s="22">
        <v>2452.1</v>
      </c>
      <c r="N22" s="22"/>
      <c r="O22" s="23" t="s">
        <v>862</v>
      </c>
      <c r="P22" s="22"/>
      <c r="Q22" s="22"/>
    </row>
    <row r="23" spans="1:17" ht="15.75" customHeight="1">
      <c r="A23" s="718" t="s">
        <v>859</v>
      </c>
      <c r="B23" s="22">
        <v>26000</v>
      </c>
      <c r="C23" s="22"/>
      <c r="D23" s="23" t="s">
        <v>831</v>
      </c>
      <c r="J23" s="719"/>
      <c r="K23" s="720"/>
      <c r="L23" s="107">
        <v>45143</v>
      </c>
      <c r="M23" s="22">
        <v>8800</v>
      </c>
      <c r="N23" s="22"/>
      <c r="O23" s="23" t="s">
        <v>863</v>
      </c>
      <c r="P23" s="22"/>
      <c r="Q23" s="22"/>
    </row>
    <row r="24" spans="1:17" ht="15.75" customHeight="1">
      <c r="A24" s="721">
        <v>44597</v>
      </c>
      <c r="B24" s="22"/>
      <c r="C24" s="22">
        <v>109800</v>
      </c>
      <c r="D24" s="23" t="s">
        <v>841</v>
      </c>
      <c r="J24" s="719"/>
      <c r="K24" s="720"/>
      <c r="L24" s="107">
        <v>45143</v>
      </c>
      <c r="M24" s="22"/>
      <c r="N24" s="22">
        <v>11048.55</v>
      </c>
      <c r="O24" s="23" t="s">
        <v>864</v>
      </c>
      <c r="P24" s="22"/>
      <c r="Q24" s="22"/>
    </row>
    <row r="25" spans="1:17" ht="15.75" customHeight="1">
      <c r="A25" s="721">
        <v>44597</v>
      </c>
      <c r="B25" s="22"/>
      <c r="C25" s="22">
        <v>78.64</v>
      </c>
      <c r="D25" s="23" t="s">
        <v>838</v>
      </c>
      <c r="J25" s="719"/>
      <c r="K25" s="720"/>
      <c r="L25" s="83" t="s">
        <v>865</v>
      </c>
      <c r="M25" s="22">
        <v>1028.45</v>
      </c>
      <c r="N25" s="22"/>
      <c r="O25" s="23" t="s">
        <v>833</v>
      </c>
      <c r="Q25" s="22"/>
    </row>
    <row r="26" spans="1:17" ht="15.75" customHeight="1">
      <c r="A26" s="721">
        <v>44597</v>
      </c>
      <c r="B26" s="22"/>
      <c r="C26" s="22">
        <v>192212</v>
      </c>
      <c r="D26" s="23" t="s">
        <v>866</v>
      </c>
      <c r="J26" s="719"/>
      <c r="K26" s="720"/>
      <c r="L26" s="83" t="s">
        <v>865</v>
      </c>
      <c r="M26" s="22"/>
      <c r="N26" s="22">
        <v>1232</v>
      </c>
      <c r="O26" s="23" t="s">
        <v>835</v>
      </c>
      <c r="P26" s="22"/>
      <c r="Q26" s="22"/>
    </row>
    <row r="27" spans="1:17" ht="15.75" customHeight="1">
      <c r="A27" s="721">
        <v>44597</v>
      </c>
      <c r="B27" s="22"/>
      <c r="C27" s="313" t="s">
        <v>867</v>
      </c>
      <c r="D27" s="23" t="s">
        <v>838</v>
      </c>
      <c r="J27" s="719"/>
      <c r="K27" s="720"/>
      <c r="L27" s="83" t="s">
        <v>868</v>
      </c>
      <c r="M27" s="22">
        <v>1232</v>
      </c>
      <c r="O27" s="23" t="s">
        <v>833</v>
      </c>
      <c r="P27" s="22"/>
      <c r="Q27" s="22"/>
    </row>
    <row r="28" spans="1:17" ht="15.75" customHeight="1">
      <c r="A28" s="721">
        <v>44597</v>
      </c>
      <c r="B28" s="22"/>
      <c r="C28" s="22">
        <v>192212</v>
      </c>
      <c r="D28" s="23" t="s">
        <v>869</v>
      </c>
      <c r="J28" s="719"/>
      <c r="K28" s="720"/>
      <c r="L28" s="83" t="s">
        <v>868</v>
      </c>
      <c r="M28" s="22"/>
      <c r="N28" s="22">
        <v>1232</v>
      </c>
      <c r="O28" s="23" t="s">
        <v>835</v>
      </c>
      <c r="P28" s="22"/>
      <c r="Q28" s="22"/>
    </row>
    <row r="29" spans="1:17" ht="15.75" customHeight="1">
      <c r="A29" s="721">
        <v>44597</v>
      </c>
      <c r="C29" s="22">
        <v>237000</v>
      </c>
      <c r="D29" s="23" t="s">
        <v>870</v>
      </c>
      <c r="J29" s="719"/>
      <c r="K29" s="720"/>
      <c r="L29" s="107">
        <v>45023</v>
      </c>
      <c r="M29" s="22">
        <v>2600</v>
      </c>
      <c r="O29" s="23" t="s">
        <v>871</v>
      </c>
      <c r="P29" s="22"/>
      <c r="Q29" s="22"/>
    </row>
    <row r="30" spans="1:17" ht="15.75" customHeight="1">
      <c r="A30" s="721">
        <v>44900</v>
      </c>
      <c r="B30" s="22">
        <v>13000</v>
      </c>
      <c r="C30" s="22"/>
      <c r="D30" s="23" t="s">
        <v>831</v>
      </c>
      <c r="J30" s="719"/>
      <c r="K30" s="720"/>
      <c r="L30" s="107">
        <v>45206</v>
      </c>
      <c r="M30" s="22"/>
      <c r="N30" s="22">
        <v>1005.39</v>
      </c>
      <c r="O30" s="23" t="s">
        <v>864</v>
      </c>
      <c r="P30" s="22"/>
      <c r="Q30" s="22"/>
    </row>
    <row r="31" spans="1:17" ht="15.75" customHeight="1">
      <c r="A31" s="721">
        <v>44900</v>
      </c>
      <c r="B31" s="22"/>
      <c r="C31" s="22">
        <v>6881</v>
      </c>
      <c r="D31" s="23" t="s">
        <v>502</v>
      </c>
      <c r="J31" s="719"/>
      <c r="K31" s="720"/>
      <c r="L31" s="83" t="s">
        <v>872</v>
      </c>
      <c r="M31" s="22"/>
      <c r="N31" s="22">
        <v>1232</v>
      </c>
      <c r="O31" s="23" t="s">
        <v>835</v>
      </c>
      <c r="P31" s="22"/>
      <c r="Q31" s="22"/>
    </row>
    <row r="32" spans="1:17" ht="15.75" customHeight="1">
      <c r="A32" s="721">
        <v>44900</v>
      </c>
      <c r="B32" s="22"/>
      <c r="C32" s="22">
        <v>6100</v>
      </c>
      <c r="D32" s="23" t="s">
        <v>852</v>
      </c>
      <c r="J32" s="719"/>
      <c r="K32" s="720"/>
      <c r="L32" s="82">
        <v>44934</v>
      </c>
      <c r="M32" s="22">
        <v>111600</v>
      </c>
      <c r="N32" s="22"/>
      <c r="O32" s="23" t="s">
        <v>873</v>
      </c>
    </row>
    <row r="33" spans="1:15" ht="15.75" customHeight="1">
      <c r="A33" s="718" t="s">
        <v>874</v>
      </c>
      <c r="B33" s="22">
        <v>171497.72</v>
      </c>
      <c r="C33" s="22"/>
      <c r="D33" s="23" t="s">
        <v>843</v>
      </c>
      <c r="E33" s="23" t="s">
        <v>875</v>
      </c>
      <c r="J33" s="719"/>
      <c r="K33" s="720"/>
      <c r="L33" s="82">
        <v>44934</v>
      </c>
      <c r="M33" s="22"/>
      <c r="N33" s="22">
        <v>105000</v>
      </c>
      <c r="O33" s="23" t="s">
        <v>876</v>
      </c>
    </row>
    <row r="34" spans="1:15" ht="15.75" customHeight="1">
      <c r="A34" s="718" t="s">
        <v>874</v>
      </c>
      <c r="B34" s="22"/>
      <c r="C34" s="22">
        <v>846</v>
      </c>
      <c r="D34" s="23" t="s">
        <v>877</v>
      </c>
      <c r="J34" s="719"/>
      <c r="K34" s="720"/>
      <c r="L34" s="82">
        <v>45115</v>
      </c>
      <c r="M34" s="22"/>
      <c r="N34" s="22">
        <v>6496.36</v>
      </c>
      <c r="O34" s="23" t="s">
        <v>864</v>
      </c>
    </row>
    <row r="35" spans="1:15" ht="15.75" customHeight="1">
      <c r="A35" s="718" t="s">
        <v>878</v>
      </c>
      <c r="B35" s="22"/>
      <c r="C35" s="22">
        <v>2800</v>
      </c>
      <c r="D35" s="23" t="s">
        <v>877</v>
      </c>
      <c r="J35" s="719"/>
      <c r="K35" s="720"/>
      <c r="L35" s="83" t="s">
        <v>879</v>
      </c>
      <c r="M35" s="22">
        <v>797.75</v>
      </c>
      <c r="N35" s="22"/>
      <c r="O35" s="23" t="s">
        <v>833</v>
      </c>
    </row>
    <row r="36" spans="1:15" ht="15.75" customHeight="1">
      <c r="A36" s="718" t="s">
        <v>155</v>
      </c>
      <c r="B36" s="22">
        <v>160000</v>
      </c>
      <c r="C36" s="22"/>
      <c r="D36" s="23" t="s">
        <v>831</v>
      </c>
      <c r="J36" s="719"/>
      <c r="K36" s="720"/>
      <c r="L36" s="83" t="s">
        <v>879</v>
      </c>
      <c r="M36" s="22"/>
      <c r="N36" s="22">
        <v>1264</v>
      </c>
      <c r="O36" s="23" t="s">
        <v>835</v>
      </c>
    </row>
    <row r="37" spans="1:15" ht="15.75" customHeight="1">
      <c r="A37" s="721">
        <v>44567</v>
      </c>
      <c r="B37" s="22"/>
      <c r="C37" s="22">
        <v>188566</v>
      </c>
      <c r="D37" s="23" t="s">
        <v>880</v>
      </c>
      <c r="J37" s="719"/>
      <c r="K37" s="720"/>
      <c r="L37" s="83" t="s">
        <v>881</v>
      </c>
      <c r="M37" s="22">
        <v>1264</v>
      </c>
      <c r="N37" s="22"/>
      <c r="O37" s="23" t="s">
        <v>833</v>
      </c>
    </row>
    <row r="38" spans="1:15" ht="15.75" customHeight="1">
      <c r="A38" s="721">
        <v>44567</v>
      </c>
      <c r="B38" s="22"/>
      <c r="C38" s="22">
        <v>109800</v>
      </c>
      <c r="D38" s="23" t="s">
        <v>882</v>
      </c>
      <c r="J38" s="719"/>
      <c r="K38" s="720"/>
      <c r="L38" s="83" t="s">
        <v>881</v>
      </c>
      <c r="M38" s="22"/>
      <c r="N38" s="22">
        <v>1264</v>
      </c>
      <c r="O38" s="23" t="s">
        <v>835</v>
      </c>
    </row>
    <row r="39" spans="1:15" ht="15.75" customHeight="1">
      <c r="A39" s="721">
        <v>44567</v>
      </c>
      <c r="B39" s="22"/>
      <c r="C39" s="22">
        <v>36.03</v>
      </c>
      <c r="D39" s="23" t="s">
        <v>838</v>
      </c>
      <c r="J39" s="719"/>
      <c r="K39" s="720"/>
      <c r="L39" s="83" t="s">
        <v>883</v>
      </c>
      <c r="M39" s="22">
        <v>1264</v>
      </c>
      <c r="N39" s="22"/>
      <c r="O39" s="23" t="s">
        <v>833</v>
      </c>
    </row>
    <row r="40" spans="1:15" ht="15.75" customHeight="1">
      <c r="A40" s="724">
        <v>44718</v>
      </c>
      <c r="B40" s="22"/>
      <c r="C40" s="22">
        <v>6100</v>
      </c>
      <c r="D40" s="23" t="s">
        <v>852</v>
      </c>
      <c r="J40" s="719"/>
      <c r="K40" s="720"/>
      <c r="L40" s="83" t="s">
        <v>883</v>
      </c>
      <c r="M40" s="22"/>
      <c r="N40" s="22">
        <v>1264</v>
      </c>
      <c r="O40" s="23" t="s">
        <v>835</v>
      </c>
    </row>
    <row r="41" spans="1:15" ht="15.75" customHeight="1">
      <c r="A41" s="721">
        <v>44814</v>
      </c>
      <c r="B41" s="22"/>
      <c r="C41" s="22">
        <v>6881</v>
      </c>
      <c r="D41" s="23" t="s">
        <v>502</v>
      </c>
      <c r="J41" s="719"/>
      <c r="K41" s="720"/>
      <c r="L41" s="83" t="s">
        <v>884</v>
      </c>
      <c r="M41" s="22">
        <v>1264</v>
      </c>
      <c r="N41" s="22"/>
      <c r="O41" s="23" t="s">
        <v>833</v>
      </c>
    </row>
    <row r="42" spans="1:15" ht="15.75" customHeight="1">
      <c r="A42" s="718" t="s">
        <v>885</v>
      </c>
      <c r="B42" s="22">
        <v>190000</v>
      </c>
      <c r="C42" s="22"/>
      <c r="D42" s="23" t="s">
        <v>831</v>
      </c>
      <c r="J42" s="719"/>
      <c r="K42" s="720"/>
      <c r="L42" s="83" t="s">
        <v>884</v>
      </c>
      <c r="M42" s="22"/>
      <c r="N42" s="22">
        <v>1264</v>
      </c>
      <c r="O42" s="23" t="s">
        <v>835</v>
      </c>
    </row>
    <row r="43" spans="1:15" ht="15.75" customHeight="1">
      <c r="A43" s="718" t="s">
        <v>162</v>
      </c>
      <c r="B43" s="22"/>
      <c r="C43" s="22">
        <v>733.44</v>
      </c>
      <c r="D43" s="23" t="s">
        <v>860</v>
      </c>
      <c r="G43" s="10"/>
      <c r="H43" s="10"/>
      <c r="J43" s="719"/>
      <c r="K43" s="720"/>
      <c r="L43" s="274">
        <v>45242</v>
      </c>
      <c r="M43" s="22">
        <v>10000</v>
      </c>
      <c r="N43" s="22"/>
      <c r="O43" s="23" t="s">
        <v>886</v>
      </c>
    </row>
    <row r="44" spans="1:15" ht="15.75" customHeight="1">
      <c r="A44" s="718" t="s">
        <v>162</v>
      </c>
      <c r="B44" s="22"/>
      <c r="C44" s="22">
        <v>81.489999999999995</v>
      </c>
      <c r="D44" s="23" t="s">
        <v>887</v>
      </c>
      <c r="G44" s="10"/>
      <c r="H44" s="10"/>
      <c r="J44" s="719"/>
      <c r="K44" s="720"/>
      <c r="L44" s="274">
        <v>45242</v>
      </c>
      <c r="M44" s="22"/>
      <c r="N44" s="22">
        <v>9318.57</v>
      </c>
      <c r="O44" s="23" t="s">
        <v>864</v>
      </c>
    </row>
    <row r="45" spans="1:15" ht="15.75" customHeight="1">
      <c r="A45" s="721">
        <v>44568</v>
      </c>
      <c r="B45" s="22"/>
      <c r="C45" s="22">
        <v>192212</v>
      </c>
      <c r="D45" s="23" t="s">
        <v>869</v>
      </c>
      <c r="G45" s="10"/>
      <c r="H45" s="10"/>
      <c r="J45" s="719"/>
      <c r="K45" s="720"/>
      <c r="L45" s="83" t="s">
        <v>888</v>
      </c>
      <c r="M45" s="22">
        <v>582.57000000000005</v>
      </c>
      <c r="N45" s="22"/>
      <c r="O45" s="23" t="s">
        <v>833</v>
      </c>
    </row>
    <row r="46" spans="1:15" ht="15.75" customHeight="1">
      <c r="A46" s="721">
        <v>44688</v>
      </c>
      <c r="B46" s="22">
        <v>170911.39</v>
      </c>
      <c r="C46" s="22"/>
      <c r="D46" s="23" t="s">
        <v>843</v>
      </c>
      <c r="E46" s="23" t="s">
        <v>889</v>
      </c>
      <c r="G46" s="725"/>
      <c r="H46" s="725"/>
      <c r="J46" s="719"/>
      <c r="K46" s="720"/>
      <c r="L46" s="83" t="s">
        <v>888</v>
      </c>
      <c r="M46" s="22"/>
      <c r="N46" s="22">
        <v>1264</v>
      </c>
      <c r="O46" s="23" t="s">
        <v>835</v>
      </c>
    </row>
    <row r="47" spans="1:15" ht="15.75" customHeight="1">
      <c r="A47" s="721">
        <v>44872</v>
      </c>
      <c r="B47" s="22"/>
      <c r="C47" s="22">
        <v>6100</v>
      </c>
      <c r="D47" s="23" t="s">
        <v>890</v>
      </c>
      <c r="G47" s="22"/>
      <c r="H47" s="22"/>
      <c r="J47" s="719"/>
      <c r="K47" s="720"/>
      <c r="L47" s="107">
        <v>45323</v>
      </c>
      <c r="M47" s="22">
        <v>12500</v>
      </c>
      <c r="N47" s="22"/>
      <c r="O47" s="23" t="s">
        <v>871</v>
      </c>
    </row>
    <row r="48" spans="1:15" ht="15.75" customHeight="1">
      <c r="A48" s="718" t="s">
        <v>891</v>
      </c>
      <c r="B48" s="22"/>
      <c r="C48" s="22">
        <v>6881</v>
      </c>
      <c r="D48" s="23" t="s">
        <v>502</v>
      </c>
      <c r="J48" s="719"/>
      <c r="K48" s="720"/>
      <c r="L48" s="107">
        <v>45413</v>
      </c>
      <c r="M48" s="22"/>
      <c r="N48" s="22">
        <v>10517.05</v>
      </c>
      <c r="O48" s="23" t="s">
        <v>864</v>
      </c>
    </row>
    <row r="49" spans="1:15" ht="15.75" customHeight="1">
      <c r="A49" s="718" t="s">
        <v>165</v>
      </c>
      <c r="B49" s="22"/>
      <c r="C49" s="22">
        <v>154828</v>
      </c>
      <c r="D49" s="23" t="s">
        <v>512</v>
      </c>
      <c r="G49" s="10"/>
      <c r="J49" s="719"/>
      <c r="K49" s="720"/>
      <c r="L49" s="83" t="s">
        <v>892</v>
      </c>
      <c r="M49" s="22"/>
      <c r="N49" s="22">
        <v>1264</v>
      </c>
      <c r="O49" s="23" t="s">
        <v>835</v>
      </c>
    </row>
    <row r="50" spans="1:15" ht="15.75" customHeight="1">
      <c r="A50" s="718" t="s">
        <v>893</v>
      </c>
      <c r="B50" s="22">
        <v>190000</v>
      </c>
      <c r="C50" s="22"/>
      <c r="D50" s="23" t="s">
        <v>831</v>
      </c>
      <c r="G50" s="10"/>
      <c r="H50" s="10"/>
      <c r="I50" s="10"/>
      <c r="J50" s="719"/>
      <c r="K50" s="720"/>
      <c r="L50" s="83" t="s">
        <v>894</v>
      </c>
      <c r="M50" s="22">
        <v>545.04999999999995</v>
      </c>
      <c r="N50" s="22"/>
      <c r="O50" s="23" t="s">
        <v>833</v>
      </c>
    </row>
    <row r="51" spans="1:15" ht="15.75" customHeight="1">
      <c r="A51" s="718" t="s">
        <v>168</v>
      </c>
      <c r="B51" s="22"/>
      <c r="C51" s="22">
        <v>737.64</v>
      </c>
      <c r="D51" s="23" t="s">
        <v>785</v>
      </c>
      <c r="J51" s="719"/>
      <c r="K51" s="720"/>
      <c r="L51" s="83" t="s">
        <v>894</v>
      </c>
      <c r="M51" s="22"/>
      <c r="N51" s="22">
        <v>1264</v>
      </c>
      <c r="O51" s="23" t="s">
        <v>835</v>
      </c>
    </row>
    <row r="52" spans="1:15" ht="15.75" customHeight="1">
      <c r="A52" s="718" t="s">
        <v>168</v>
      </c>
      <c r="B52" s="22"/>
      <c r="C52" s="22">
        <v>81.96</v>
      </c>
      <c r="D52" s="23" t="s">
        <v>887</v>
      </c>
      <c r="J52" s="719"/>
      <c r="K52" s="720"/>
      <c r="L52" s="82">
        <v>45294</v>
      </c>
      <c r="M52" s="22">
        <v>8600</v>
      </c>
      <c r="N52" s="22"/>
      <c r="O52" s="23" t="s">
        <v>871</v>
      </c>
    </row>
    <row r="53" spans="1:15" ht="15.75" customHeight="1">
      <c r="A53" s="721">
        <v>44569</v>
      </c>
      <c r="B53" s="22"/>
      <c r="C53" s="22">
        <v>48518</v>
      </c>
      <c r="D53" s="23" t="s">
        <v>895</v>
      </c>
      <c r="J53" s="719"/>
      <c r="K53" s="720"/>
      <c r="L53" s="82">
        <v>45599</v>
      </c>
      <c r="M53" s="22"/>
      <c r="N53" s="22">
        <v>7256.05</v>
      </c>
      <c r="O53" s="23" t="s">
        <v>864</v>
      </c>
    </row>
    <row r="54" spans="1:15" ht="15.75" customHeight="1">
      <c r="A54" s="721">
        <v>44569</v>
      </c>
      <c r="B54" s="22"/>
      <c r="C54" s="22">
        <v>36.33</v>
      </c>
      <c r="D54" s="23" t="s">
        <v>838</v>
      </c>
      <c r="J54" s="719"/>
      <c r="K54" s="720"/>
      <c r="L54" s="107" t="s">
        <v>896</v>
      </c>
      <c r="N54" s="22">
        <v>1264</v>
      </c>
      <c r="O54" s="23" t="s">
        <v>835</v>
      </c>
    </row>
    <row r="55" spans="1:15" ht="15.75" customHeight="1">
      <c r="A55" s="721">
        <v>44569</v>
      </c>
      <c r="B55" s="22">
        <v>50000</v>
      </c>
      <c r="C55" s="22"/>
      <c r="D55" s="23" t="s">
        <v>831</v>
      </c>
      <c r="J55" s="719"/>
      <c r="K55" s="720"/>
      <c r="L55" s="107">
        <v>45416</v>
      </c>
      <c r="M55" s="22">
        <v>11000</v>
      </c>
      <c r="N55" s="22"/>
      <c r="O55" s="23" t="s">
        <v>871</v>
      </c>
    </row>
    <row r="56" spans="1:15" ht="15.75" customHeight="1">
      <c r="A56" s="721">
        <v>44569</v>
      </c>
      <c r="B56" s="22"/>
      <c r="C56" s="22">
        <v>192212</v>
      </c>
      <c r="D56" s="23" t="s">
        <v>869</v>
      </c>
      <c r="J56" s="719"/>
      <c r="K56" s="720"/>
      <c r="L56" s="107">
        <v>45508</v>
      </c>
      <c r="M56" s="22">
        <v>4000</v>
      </c>
      <c r="O56" s="23" t="s">
        <v>871</v>
      </c>
    </row>
    <row r="57" spans="1:15" ht="15.75" customHeight="1">
      <c r="A57" s="721">
        <v>44569</v>
      </c>
      <c r="B57" s="22"/>
      <c r="C57" s="22">
        <v>6100</v>
      </c>
      <c r="D57" s="23" t="s">
        <v>852</v>
      </c>
      <c r="J57" s="719"/>
      <c r="K57" s="720"/>
      <c r="L57" s="107">
        <v>45508</v>
      </c>
      <c r="M57" s="22"/>
      <c r="N57" s="22">
        <v>13304.23</v>
      </c>
      <c r="O57" s="23" t="s">
        <v>864</v>
      </c>
    </row>
    <row r="58" spans="1:15" ht="15.75" customHeight="1">
      <c r="A58" s="718" t="s">
        <v>897</v>
      </c>
      <c r="B58" s="22">
        <v>50000</v>
      </c>
      <c r="C58" s="22"/>
      <c r="D58" s="23" t="s">
        <v>831</v>
      </c>
      <c r="J58" s="719"/>
      <c r="K58" s="720"/>
      <c r="L58" s="83" t="s">
        <v>898</v>
      </c>
      <c r="M58" s="22"/>
      <c r="N58" s="22">
        <v>1264</v>
      </c>
      <c r="O58" s="23" t="s">
        <v>835</v>
      </c>
    </row>
    <row r="59" spans="1:15" ht="15.75" customHeight="1">
      <c r="A59" s="718" t="s">
        <v>897</v>
      </c>
      <c r="B59" s="22"/>
      <c r="C59" s="22">
        <v>58616</v>
      </c>
      <c r="D59" s="23" t="s">
        <v>502</v>
      </c>
      <c r="J59" s="719"/>
      <c r="K59" s="720"/>
      <c r="L59" s="83" t="s">
        <v>899</v>
      </c>
      <c r="M59" s="22">
        <v>752.28</v>
      </c>
      <c r="N59" s="22"/>
      <c r="O59" s="23" t="s">
        <v>833</v>
      </c>
    </row>
    <row r="60" spans="1:15" ht="15.75" customHeight="1">
      <c r="A60" s="718" t="s">
        <v>900</v>
      </c>
      <c r="B60" s="22">
        <v>100000</v>
      </c>
      <c r="C60" s="22"/>
      <c r="D60" s="23" t="s">
        <v>831</v>
      </c>
      <c r="J60" s="719"/>
      <c r="K60" s="720"/>
      <c r="L60" s="83" t="s">
        <v>899</v>
      </c>
      <c r="M60" s="22"/>
      <c r="N60" s="22">
        <v>1264</v>
      </c>
      <c r="O60" s="23" t="s">
        <v>835</v>
      </c>
    </row>
    <row r="61" spans="1:15" ht="15.75" customHeight="1">
      <c r="A61" s="718" t="s">
        <v>901</v>
      </c>
      <c r="B61" s="22">
        <v>144150</v>
      </c>
      <c r="C61" s="22"/>
      <c r="D61" s="23" t="s">
        <v>831</v>
      </c>
      <c r="J61" s="719"/>
      <c r="K61" s="720"/>
      <c r="L61" s="83" t="s">
        <v>902</v>
      </c>
      <c r="M61" s="22">
        <v>1264</v>
      </c>
      <c r="N61" s="22"/>
      <c r="O61" s="23" t="s">
        <v>833</v>
      </c>
    </row>
    <row r="62" spans="1:15" ht="15.75" customHeight="1">
      <c r="A62" s="718" t="s">
        <v>172</v>
      </c>
      <c r="B62" s="22"/>
      <c r="C62" s="22">
        <v>743.11</v>
      </c>
      <c r="D62" s="23" t="s">
        <v>785</v>
      </c>
      <c r="J62" s="719"/>
      <c r="K62" s="720"/>
      <c r="L62" s="83" t="s">
        <v>902</v>
      </c>
      <c r="M62" s="22"/>
      <c r="N62" s="22">
        <v>1264</v>
      </c>
      <c r="O62" s="23" t="s">
        <v>835</v>
      </c>
    </row>
    <row r="63" spans="1:15" ht="15.75" customHeight="1">
      <c r="A63" s="721">
        <v>44570</v>
      </c>
      <c r="B63" s="22"/>
      <c r="C63" s="22">
        <v>82.57</v>
      </c>
      <c r="D63" s="23" t="s">
        <v>887</v>
      </c>
      <c r="J63" s="719"/>
      <c r="K63" s="720"/>
      <c r="L63" s="83" t="s">
        <v>903</v>
      </c>
      <c r="M63" s="22">
        <v>1264</v>
      </c>
      <c r="N63" s="22"/>
      <c r="O63" s="23" t="s">
        <v>833</v>
      </c>
    </row>
    <row r="64" spans="1:15" ht="15.75" customHeight="1">
      <c r="A64" s="721">
        <v>44570</v>
      </c>
      <c r="B64" s="22"/>
      <c r="C64" s="22">
        <v>48518</v>
      </c>
      <c r="D64" s="23" t="s">
        <v>895</v>
      </c>
      <c r="J64" s="719"/>
      <c r="K64" s="720"/>
      <c r="L64" s="83" t="s">
        <v>903</v>
      </c>
      <c r="M64" s="22"/>
      <c r="N64" s="22">
        <v>1264</v>
      </c>
      <c r="O64" s="23" t="s">
        <v>835</v>
      </c>
    </row>
    <row r="65" spans="1:15" ht="15.75" customHeight="1">
      <c r="A65" s="721">
        <v>44570</v>
      </c>
      <c r="B65" s="22"/>
      <c r="C65" s="23">
        <v>36.090000000000003</v>
      </c>
      <c r="D65" s="23" t="s">
        <v>838</v>
      </c>
      <c r="J65" s="719"/>
      <c r="K65" s="720"/>
      <c r="L65" s="83" t="s">
        <v>904</v>
      </c>
      <c r="M65" s="22">
        <v>1264</v>
      </c>
      <c r="N65" s="22"/>
      <c r="O65" s="23" t="s">
        <v>833</v>
      </c>
    </row>
    <row r="66" spans="1:15" ht="15.75" customHeight="1">
      <c r="A66" s="721">
        <v>44570</v>
      </c>
      <c r="B66" s="22"/>
      <c r="C66" s="22">
        <v>192212</v>
      </c>
      <c r="D66" s="23" t="s">
        <v>869</v>
      </c>
      <c r="J66" s="719"/>
      <c r="K66" s="720"/>
      <c r="L66" s="83" t="s">
        <v>904</v>
      </c>
      <c r="M66" s="22"/>
      <c r="N66" s="22">
        <v>1264</v>
      </c>
      <c r="O66" s="23" t="s">
        <v>835</v>
      </c>
    </row>
    <row r="67" spans="1:15" ht="15.75" customHeight="1">
      <c r="A67" s="721">
        <v>44751</v>
      </c>
      <c r="B67" s="22">
        <v>69326</v>
      </c>
      <c r="C67" s="22"/>
      <c r="D67" s="23" t="s">
        <v>831</v>
      </c>
      <c r="J67" s="719"/>
      <c r="K67" s="720"/>
      <c r="L67" s="83" t="s">
        <v>905</v>
      </c>
      <c r="M67" s="22">
        <v>1264</v>
      </c>
      <c r="N67" s="22"/>
      <c r="O67" s="23" t="s">
        <v>833</v>
      </c>
    </row>
    <row r="68" spans="1:15" ht="15.75" customHeight="1">
      <c r="A68" s="721">
        <v>44813</v>
      </c>
      <c r="B68" s="22"/>
      <c r="C68" s="22">
        <v>58402</v>
      </c>
      <c r="D68" s="23" t="s">
        <v>502</v>
      </c>
      <c r="J68" s="719"/>
      <c r="K68" s="720"/>
      <c r="L68" s="83" t="s">
        <v>905</v>
      </c>
      <c r="M68" s="22"/>
      <c r="N68" s="22">
        <v>1264</v>
      </c>
      <c r="O68" s="23" t="s">
        <v>835</v>
      </c>
    </row>
    <row r="69" spans="1:15" ht="13">
      <c r="A69" s="721">
        <v>44813</v>
      </c>
      <c r="B69" s="22"/>
      <c r="C69" s="22">
        <v>2767</v>
      </c>
      <c r="D69" s="23" t="s">
        <v>906</v>
      </c>
      <c r="J69" s="719"/>
      <c r="K69" s="720"/>
      <c r="L69" s="83" t="s">
        <v>907</v>
      </c>
      <c r="M69" s="22">
        <v>1320</v>
      </c>
      <c r="N69" s="22"/>
      <c r="O69" s="23" t="s">
        <v>833</v>
      </c>
    </row>
    <row r="70" spans="1:15" ht="13">
      <c r="A70" s="721">
        <v>44813</v>
      </c>
      <c r="B70" s="22">
        <v>179000.35</v>
      </c>
      <c r="C70" s="22"/>
      <c r="D70" s="23" t="s">
        <v>843</v>
      </c>
      <c r="E70" s="23" t="s">
        <v>908</v>
      </c>
      <c r="J70" s="719"/>
      <c r="K70" s="720"/>
      <c r="L70" s="83" t="s">
        <v>907</v>
      </c>
      <c r="M70" s="22"/>
      <c r="N70" s="22">
        <v>1320</v>
      </c>
      <c r="O70" s="23" t="s">
        <v>835</v>
      </c>
    </row>
    <row r="71" spans="1:15" ht="13">
      <c r="A71" s="721">
        <v>44813</v>
      </c>
      <c r="B71" s="22"/>
      <c r="C71" s="22">
        <v>6100</v>
      </c>
      <c r="D71" s="23" t="s">
        <v>909</v>
      </c>
      <c r="J71" s="719"/>
      <c r="K71" s="720"/>
      <c r="L71" s="83" t="s">
        <v>318</v>
      </c>
      <c r="M71" s="22">
        <v>1320</v>
      </c>
      <c r="N71" s="22"/>
      <c r="O71" s="23" t="s">
        <v>833</v>
      </c>
    </row>
    <row r="72" spans="1:15" ht="13">
      <c r="A72" s="718" t="s">
        <v>176</v>
      </c>
      <c r="B72" s="22"/>
      <c r="C72" s="22">
        <v>749.17</v>
      </c>
      <c r="D72" s="23" t="s">
        <v>860</v>
      </c>
      <c r="E72" s="23"/>
      <c r="J72" s="719"/>
      <c r="K72" s="720"/>
      <c r="L72" s="83" t="s">
        <v>318</v>
      </c>
      <c r="M72" s="22"/>
      <c r="N72" s="22">
        <v>1320</v>
      </c>
      <c r="O72" s="23" t="s">
        <v>835</v>
      </c>
    </row>
    <row r="73" spans="1:15" ht="13">
      <c r="A73" s="718" t="s">
        <v>176</v>
      </c>
      <c r="B73" s="22"/>
      <c r="C73" s="22">
        <v>83.24</v>
      </c>
      <c r="D73" s="23" t="s">
        <v>887</v>
      </c>
      <c r="E73" s="23"/>
      <c r="J73" s="719"/>
      <c r="K73" s="720"/>
      <c r="L73" s="83" t="s">
        <v>910</v>
      </c>
      <c r="M73" s="22">
        <v>1320</v>
      </c>
      <c r="N73" s="22"/>
      <c r="O73" s="23" t="s">
        <v>833</v>
      </c>
    </row>
    <row r="74" spans="1:15" ht="13">
      <c r="A74" s="718" t="s">
        <v>176</v>
      </c>
      <c r="B74" s="22">
        <v>174607.25</v>
      </c>
      <c r="C74" s="22"/>
      <c r="D74" s="23" t="s">
        <v>843</v>
      </c>
      <c r="E74" s="23" t="s">
        <v>911</v>
      </c>
      <c r="J74" s="719"/>
      <c r="K74" s="720"/>
      <c r="L74" s="83" t="s">
        <v>910</v>
      </c>
      <c r="M74" s="22"/>
      <c r="N74" s="22">
        <v>1320</v>
      </c>
      <c r="O74" s="23" t="s">
        <v>835</v>
      </c>
    </row>
    <row r="75" spans="1:15" ht="13">
      <c r="A75" s="718" t="s">
        <v>176</v>
      </c>
      <c r="B75" s="22">
        <v>66550</v>
      </c>
      <c r="C75" s="22"/>
      <c r="D75" s="23" t="s">
        <v>831</v>
      </c>
      <c r="J75" s="719"/>
      <c r="K75" s="720"/>
      <c r="L75" s="82">
        <v>45839</v>
      </c>
      <c r="M75" s="22">
        <v>9200</v>
      </c>
      <c r="N75" s="22"/>
      <c r="O75" s="23" t="s">
        <v>912</v>
      </c>
    </row>
    <row r="76" spans="1:15" ht="13">
      <c r="A76" s="721">
        <v>44630</v>
      </c>
      <c r="B76" s="22"/>
      <c r="C76" s="22">
        <v>192212</v>
      </c>
      <c r="D76" s="23" t="s">
        <v>869</v>
      </c>
      <c r="J76" s="719"/>
      <c r="K76" s="720"/>
      <c r="L76" s="82">
        <v>45839</v>
      </c>
      <c r="M76" s="22"/>
      <c r="N76" s="22">
        <v>9136.4</v>
      </c>
      <c r="O76" s="23" t="s">
        <v>864</v>
      </c>
    </row>
    <row r="77" spans="1:15" ht="13">
      <c r="A77" s="721">
        <v>44630</v>
      </c>
      <c r="B77" s="22"/>
      <c r="C77" s="22">
        <v>48518</v>
      </c>
      <c r="D77" s="23" t="s">
        <v>895</v>
      </c>
      <c r="J77" s="719"/>
      <c r="K77" s="720"/>
      <c r="L77" s="83" t="s">
        <v>913</v>
      </c>
      <c r="M77" s="22">
        <v>1256.4000000000001</v>
      </c>
      <c r="N77" s="22"/>
      <c r="O77" s="23" t="s">
        <v>833</v>
      </c>
    </row>
    <row r="78" spans="1:15" ht="13">
      <c r="A78" s="721">
        <v>44630</v>
      </c>
      <c r="B78" s="22"/>
      <c r="C78" s="22">
        <v>36.31</v>
      </c>
      <c r="D78" s="23" t="s">
        <v>838</v>
      </c>
      <c r="J78" s="719"/>
      <c r="K78" s="720"/>
      <c r="L78" s="83" t="s">
        <v>913</v>
      </c>
      <c r="M78" s="22"/>
      <c r="N78" s="22">
        <v>1320</v>
      </c>
      <c r="O78" s="23" t="s">
        <v>835</v>
      </c>
    </row>
    <row r="79" spans="1:15" ht="13">
      <c r="A79" s="721">
        <v>44661</v>
      </c>
      <c r="B79" s="22"/>
      <c r="C79" s="22">
        <v>6100</v>
      </c>
      <c r="D79" s="23" t="s">
        <v>909</v>
      </c>
      <c r="J79" s="719"/>
      <c r="K79" s="720"/>
      <c r="L79" s="83" t="s">
        <v>914</v>
      </c>
      <c r="M79" s="22">
        <v>1320</v>
      </c>
      <c r="N79" s="22"/>
      <c r="O79" s="23" t="s">
        <v>833</v>
      </c>
    </row>
    <row r="80" spans="1:15" ht="13">
      <c r="A80" s="721">
        <v>44661</v>
      </c>
      <c r="B80" s="22"/>
      <c r="C80" s="22">
        <v>793</v>
      </c>
      <c r="D80" s="23" t="s">
        <v>521</v>
      </c>
      <c r="J80" s="719"/>
      <c r="K80" s="720"/>
      <c r="L80" s="83" t="s">
        <v>914</v>
      </c>
      <c r="M80" s="22"/>
      <c r="N80" s="22">
        <v>1320</v>
      </c>
      <c r="O80" s="23" t="s">
        <v>835</v>
      </c>
    </row>
    <row r="81" spans="1:15" ht="13">
      <c r="A81" s="726">
        <v>44875</v>
      </c>
      <c r="B81" s="22"/>
      <c r="C81" s="22">
        <v>2767</v>
      </c>
      <c r="D81" s="23" t="s">
        <v>906</v>
      </c>
      <c r="J81" s="719"/>
      <c r="K81" s="720"/>
      <c r="L81" s="83" t="s">
        <v>915</v>
      </c>
      <c r="M81" s="22">
        <v>1320</v>
      </c>
      <c r="N81" s="22"/>
      <c r="O81" s="23" t="s">
        <v>833</v>
      </c>
    </row>
    <row r="82" spans="1:15" ht="13">
      <c r="A82" s="726">
        <v>44875</v>
      </c>
      <c r="B82" s="22"/>
      <c r="C82" s="22">
        <v>58402</v>
      </c>
      <c r="D82" s="23" t="s">
        <v>502</v>
      </c>
      <c r="J82" s="719"/>
      <c r="K82" s="720"/>
      <c r="L82" s="83" t="s">
        <v>915</v>
      </c>
      <c r="M82" s="22"/>
      <c r="N82" s="22">
        <v>1320</v>
      </c>
      <c r="O82" s="23" t="s">
        <v>835</v>
      </c>
    </row>
    <row r="83" spans="1:15" ht="13">
      <c r="A83" s="718" t="s">
        <v>916</v>
      </c>
      <c r="B83" s="22"/>
      <c r="C83" s="22">
        <v>20000</v>
      </c>
      <c r="D83" s="23" t="s">
        <v>550</v>
      </c>
      <c r="J83" s="719"/>
      <c r="K83" s="720"/>
      <c r="L83" s="83" t="s">
        <v>917</v>
      </c>
      <c r="M83" s="22">
        <v>1320</v>
      </c>
      <c r="N83" s="22"/>
      <c r="O83" s="23" t="s">
        <v>833</v>
      </c>
    </row>
    <row r="84" spans="1:15" ht="13">
      <c r="A84" s="718" t="s">
        <v>187</v>
      </c>
      <c r="B84" s="22"/>
      <c r="C84" s="22">
        <v>755.47</v>
      </c>
      <c r="D84" s="23" t="s">
        <v>860</v>
      </c>
      <c r="J84" s="719"/>
      <c r="K84" s="720"/>
      <c r="L84" s="83" t="s">
        <v>917</v>
      </c>
      <c r="M84" s="22"/>
      <c r="N84" s="22">
        <v>1320</v>
      </c>
      <c r="O84" s="23" t="s">
        <v>835</v>
      </c>
    </row>
    <row r="85" spans="1:15" ht="13">
      <c r="A85" s="718" t="s">
        <v>187</v>
      </c>
      <c r="B85" s="22"/>
      <c r="C85" s="22">
        <v>83.94</v>
      </c>
      <c r="D85" s="23" t="s">
        <v>887</v>
      </c>
      <c r="J85" s="719"/>
      <c r="K85" s="720"/>
      <c r="L85" s="107">
        <v>45996</v>
      </c>
      <c r="M85" s="22">
        <v>11000</v>
      </c>
      <c r="N85" s="22"/>
      <c r="O85" s="23" t="s">
        <v>918</v>
      </c>
    </row>
    <row r="86" spans="1:15" ht="13">
      <c r="A86" s="718" t="s">
        <v>187</v>
      </c>
      <c r="B86" s="22">
        <v>210960</v>
      </c>
      <c r="C86" s="22"/>
      <c r="D86" s="23" t="s">
        <v>831</v>
      </c>
      <c r="J86" s="719"/>
      <c r="K86" s="720"/>
      <c r="L86" s="107">
        <v>45996</v>
      </c>
      <c r="M86" s="22"/>
      <c r="N86" s="22">
        <v>9202.4</v>
      </c>
      <c r="O86" s="23" t="s">
        <v>864</v>
      </c>
    </row>
    <row r="87" spans="1:15" ht="13">
      <c r="A87" s="727">
        <v>44572</v>
      </c>
      <c r="B87" s="22"/>
      <c r="C87" s="22">
        <v>192212</v>
      </c>
      <c r="D87" s="23" t="s">
        <v>919</v>
      </c>
      <c r="J87" s="719"/>
      <c r="K87" s="720"/>
      <c r="L87" s="83" t="s">
        <v>920</v>
      </c>
      <c r="M87" s="22"/>
      <c r="N87" s="22">
        <v>1320</v>
      </c>
      <c r="O87" s="23" t="s">
        <v>835</v>
      </c>
    </row>
    <row r="88" spans="1:15" ht="13">
      <c r="A88" s="727">
        <v>44572</v>
      </c>
      <c r="B88" s="22"/>
      <c r="C88" s="22">
        <v>48518</v>
      </c>
      <c r="D88" s="23" t="s">
        <v>895</v>
      </c>
      <c r="J88" s="719"/>
      <c r="K88" s="720"/>
      <c r="L88" s="83" t="s">
        <v>921</v>
      </c>
      <c r="M88" s="22">
        <v>842.4</v>
      </c>
      <c r="N88" s="22"/>
      <c r="O88" s="23" t="s">
        <v>833</v>
      </c>
    </row>
    <row r="89" spans="1:15" ht="13">
      <c r="A89" s="727">
        <v>44572</v>
      </c>
      <c r="B89" s="22"/>
      <c r="C89" s="22">
        <v>36.19</v>
      </c>
      <c r="D89" s="23" t="s">
        <v>838</v>
      </c>
      <c r="G89" s="22"/>
      <c r="J89" s="719"/>
      <c r="K89" s="720"/>
      <c r="L89" s="83" t="s">
        <v>921</v>
      </c>
      <c r="M89" s="22"/>
      <c r="N89" s="22">
        <v>1320</v>
      </c>
      <c r="O89" s="23" t="s">
        <v>835</v>
      </c>
    </row>
    <row r="90" spans="1:15" ht="13">
      <c r="A90" s="721">
        <v>44631</v>
      </c>
      <c r="B90" s="22"/>
      <c r="C90" s="22">
        <v>753</v>
      </c>
      <c r="D90" s="23" t="s">
        <v>521</v>
      </c>
      <c r="J90" s="719"/>
      <c r="K90" s="720"/>
      <c r="L90" s="83" t="s">
        <v>922</v>
      </c>
      <c r="M90" s="22">
        <v>1320</v>
      </c>
      <c r="N90" s="22"/>
      <c r="O90" s="23" t="s">
        <v>833</v>
      </c>
    </row>
    <row r="91" spans="1:15" ht="13">
      <c r="A91" s="721">
        <v>44753</v>
      </c>
      <c r="B91" s="22"/>
      <c r="C91" s="22">
        <v>3000</v>
      </c>
      <c r="D91" s="23" t="s">
        <v>923</v>
      </c>
      <c r="J91" s="719"/>
      <c r="K91" s="720"/>
      <c r="L91" s="83" t="s">
        <v>922</v>
      </c>
      <c r="M91" s="22"/>
      <c r="N91" s="22">
        <v>1320</v>
      </c>
      <c r="O91" s="23" t="s">
        <v>835</v>
      </c>
    </row>
    <row r="92" spans="1:15" ht="13">
      <c r="A92" s="726">
        <v>44845</v>
      </c>
      <c r="B92" s="22"/>
      <c r="C92" s="22">
        <v>6100</v>
      </c>
      <c r="D92" s="23" t="s">
        <v>909</v>
      </c>
      <c r="G92" s="22"/>
      <c r="J92" s="719"/>
      <c r="K92" s="720"/>
      <c r="L92" s="83" t="s">
        <v>924</v>
      </c>
      <c r="M92" s="22">
        <v>1320</v>
      </c>
      <c r="N92" s="22"/>
      <c r="O92" s="23" t="s">
        <v>833</v>
      </c>
    </row>
    <row r="93" spans="1:15" ht="13">
      <c r="A93" s="718" t="s">
        <v>925</v>
      </c>
      <c r="B93" s="22">
        <v>5996</v>
      </c>
      <c r="C93" s="22"/>
      <c r="D93" s="23" t="s">
        <v>831</v>
      </c>
      <c r="J93" s="719"/>
      <c r="K93" s="720"/>
      <c r="L93" s="83" t="s">
        <v>924</v>
      </c>
      <c r="M93" s="22"/>
      <c r="N93" s="22">
        <v>1320</v>
      </c>
      <c r="O93" s="23" t="s">
        <v>835</v>
      </c>
    </row>
    <row r="94" spans="1:15" ht="13">
      <c r="A94" s="718" t="s">
        <v>925</v>
      </c>
      <c r="B94" s="22"/>
      <c r="C94" s="22">
        <v>58182</v>
      </c>
      <c r="D94" s="23" t="s">
        <v>502</v>
      </c>
      <c r="J94" s="719"/>
      <c r="K94" s="720"/>
      <c r="L94" s="83" t="s">
        <v>926</v>
      </c>
      <c r="M94" s="22">
        <v>1320</v>
      </c>
      <c r="N94" s="22"/>
      <c r="O94" s="23" t="s">
        <v>833</v>
      </c>
    </row>
    <row r="95" spans="1:15" ht="13">
      <c r="A95" s="718" t="s">
        <v>925</v>
      </c>
      <c r="B95" s="22"/>
      <c r="C95" s="22">
        <v>2767</v>
      </c>
      <c r="D95" s="23" t="s">
        <v>927</v>
      </c>
      <c r="J95" s="719"/>
      <c r="K95" s="720"/>
      <c r="L95" s="83" t="s">
        <v>926</v>
      </c>
      <c r="M95" s="22"/>
      <c r="N95" s="22">
        <v>1320</v>
      </c>
      <c r="O95" s="23" t="s">
        <v>835</v>
      </c>
    </row>
    <row r="96" spans="1:15" ht="13">
      <c r="A96" s="718" t="s">
        <v>928</v>
      </c>
      <c r="B96" s="22">
        <v>100000</v>
      </c>
      <c r="C96" s="22"/>
      <c r="D96" s="23" t="s">
        <v>831</v>
      </c>
      <c r="J96" s="719"/>
      <c r="K96" s="720"/>
      <c r="L96" s="83" t="s">
        <v>929</v>
      </c>
      <c r="M96" s="22">
        <v>1376</v>
      </c>
      <c r="N96" s="22"/>
      <c r="O96" s="23" t="s">
        <v>833</v>
      </c>
    </row>
    <row r="97" spans="1:15" ht="13">
      <c r="A97" s="718" t="s">
        <v>930</v>
      </c>
      <c r="B97" s="22">
        <v>53400</v>
      </c>
      <c r="C97" s="22"/>
      <c r="D97" s="23" t="s">
        <v>831</v>
      </c>
      <c r="J97" s="719"/>
      <c r="K97" s="720"/>
      <c r="L97" s="83" t="s">
        <v>929</v>
      </c>
      <c r="M97" s="22"/>
      <c r="N97" s="22">
        <v>1376</v>
      </c>
      <c r="O97" s="23" t="s">
        <v>835</v>
      </c>
    </row>
    <row r="98" spans="1:15" ht="13">
      <c r="A98" s="718" t="s">
        <v>930</v>
      </c>
      <c r="B98" s="22">
        <v>153000</v>
      </c>
      <c r="C98" s="22"/>
      <c r="D98" s="23" t="s">
        <v>831</v>
      </c>
      <c r="J98" s="719"/>
      <c r="K98" s="720"/>
      <c r="L98" s="83"/>
      <c r="M98" s="22"/>
      <c r="N98" s="22"/>
    </row>
    <row r="99" spans="1:15" ht="13">
      <c r="A99" s="718" t="s">
        <v>194</v>
      </c>
      <c r="B99" s="22"/>
      <c r="C99" s="22">
        <v>757.82</v>
      </c>
      <c r="D99" s="23" t="s">
        <v>860</v>
      </c>
      <c r="J99" s="719"/>
      <c r="K99" s="720"/>
      <c r="L99" s="83"/>
      <c r="M99" s="22"/>
      <c r="N99" s="22"/>
    </row>
    <row r="100" spans="1:15" ht="13">
      <c r="A100" s="718" t="s">
        <v>194</v>
      </c>
      <c r="B100" s="22"/>
      <c r="C100" s="22">
        <v>84.2</v>
      </c>
      <c r="D100" s="23" t="s">
        <v>887</v>
      </c>
      <c r="J100" s="719"/>
      <c r="K100" s="720"/>
      <c r="L100" s="83"/>
      <c r="M100" s="22"/>
      <c r="N100" s="22"/>
    </row>
    <row r="101" spans="1:15" ht="13">
      <c r="A101" s="718" t="s">
        <v>194</v>
      </c>
      <c r="B101" s="22">
        <v>23000</v>
      </c>
      <c r="C101" s="22"/>
      <c r="D101" s="23" t="s">
        <v>831</v>
      </c>
      <c r="J101" s="719"/>
      <c r="K101" s="720"/>
      <c r="L101" s="83"/>
      <c r="M101" s="22"/>
      <c r="N101" s="22"/>
    </row>
    <row r="102" spans="1:15" ht="13">
      <c r="A102" s="727">
        <v>44573</v>
      </c>
      <c r="B102" s="22"/>
      <c r="C102" s="22">
        <v>69989</v>
      </c>
      <c r="D102" s="23" t="s">
        <v>931</v>
      </c>
      <c r="J102" s="719"/>
      <c r="K102" s="720"/>
      <c r="L102" s="83"/>
      <c r="M102" s="22"/>
      <c r="N102" s="22"/>
    </row>
    <row r="103" spans="1:15" ht="13">
      <c r="A103" s="727">
        <v>44573</v>
      </c>
      <c r="B103" s="22"/>
      <c r="C103" s="22">
        <v>35.94</v>
      </c>
      <c r="D103" s="23" t="s">
        <v>838</v>
      </c>
      <c r="J103" s="719"/>
      <c r="K103" s="720"/>
      <c r="L103" s="83"/>
    </row>
    <row r="104" spans="1:15" ht="13">
      <c r="A104" s="727">
        <v>44573</v>
      </c>
      <c r="B104" s="22"/>
      <c r="C104" s="22">
        <v>192212</v>
      </c>
      <c r="D104" s="23" t="s">
        <v>919</v>
      </c>
      <c r="J104" s="719"/>
      <c r="K104" s="720"/>
      <c r="L104" s="83"/>
    </row>
    <row r="105" spans="1:15" ht="13">
      <c r="A105" s="727">
        <v>44573</v>
      </c>
      <c r="B105" s="22"/>
      <c r="C105" s="22">
        <v>6100</v>
      </c>
      <c r="D105" s="23" t="s">
        <v>852</v>
      </c>
      <c r="J105" s="719"/>
      <c r="K105" s="720"/>
      <c r="L105" s="83"/>
    </row>
    <row r="106" spans="1:15" ht="13">
      <c r="A106" s="727">
        <v>44573</v>
      </c>
      <c r="B106" s="22"/>
      <c r="C106" s="22">
        <v>753</v>
      </c>
      <c r="D106" s="23" t="s">
        <v>521</v>
      </c>
      <c r="J106" s="719"/>
      <c r="K106" s="720"/>
    </row>
    <row r="107" spans="1:15" ht="13">
      <c r="A107" s="727">
        <v>44907</v>
      </c>
      <c r="B107" s="22"/>
      <c r="C107" s="22">
        <v>55532</v>
      </c>
      <c r="D107" s="23" t="s">
        <v>502</v>
      </c>
      <c r="J107" s="719"/>
      <c r="K107" s="720"/>
    </row>
    <row r="108" spans="1:15" ht="13">
      <c r="A108" s="727">
        <v>44907</v>
      </c>
      <c r="B108" s="22"/>
      <c r="C108" s="22">
        <v>2562</v>
      </c>
      <c r="D108" s="23" t="s">
        <v>927</v>
      </c>
      <c r="J108" s="719"/>
      <c r="K108" s="720"/>
    </row>
    <row r="109" spans="1:15" ht="13">
      <c r="A109" s="718" t="s">
        <v>201</v>
      </c>
      <c r="B109" s="22">
        <v>200000</v>
      </c>
      <c r="C109" s="22"/>
      <c r="D109" s="23" t="s">
        <v>831</v>
      </c>
      <c r="J109" s="719"/>
      <c r="K109" s="720"/>
    </row>
    <row r="110" spans="1:15" ht="13">
      <c r="A110" s="718" t="s">
        <v>201</v>
      </c>
      <c r="B110" s="22">
        <v>106950</v>
      </c>
      <c r="C110" s="22"/>
      <c r="D110" s="23" t="s">
        <v>831</v>
      </c>
      <c r="J110" s="719"/>
      <c r="K110" s="720"/>
    </row>
    <row r="111" spans="1:15" ht="13">
      <c r="A111" s="718" t="s">
        <v>54</v>
      </c>
      <c r="B111" s="22"/>
      <c r="C111" s="22">
        <v>32694</v>
      </c>
      <c r="D111" s="23" t="s">
        <v>895</v>
      </c>
      <c r="J111" s="719"/>
      <c r="K111" s="720"/>
    </row>
    <row r="112" spans="1:15" ht="13">
      <c r="A112" s="718" t="s">
        <v>54</v>
      </c>
      <c r="B112" s="22"/>
      <c r="C112" s="22">
        <v>36.299999999999997</v>
      </c>
      <c r="D112" s="23" t="s">
        <v>838</v>
      </c>
      <c r="J112" s="719"/>
      <c r="K112" s="720"/>
    </row>
    <row r="113" spans="1:11" ht="13">
      <c r="A113" s="718" t="s">
        <v>54</v>
      </c>
      <c r="B113" s="22"/>
      <c r="C113" s="22">
        <v>192212</v>
      </c>
      <c r="D113" s="23" t="s">
        <v>869</v>
      </c>
      <c r="J113" s="719"/>
      <c r="K113" s="720"/>
    </row>
    <row r="114" spans="1:11" ht="13">
      <c r="A114" s="718" t="s">
        <v>54</v>
      </c>
      <c r="B114" s="22"/>
      <c r="C114" s="22">
        <v>728</v>
      </c>
      <c r="D114" s="23" t="s">
        <v>932</v>
      </c>
      <c r="J114" s="719"/>
      <c r="K114" s="720"/>
    </row>
    <row r="115" spans="1:11" ht="13">
      <c r="A115" s="718" t="s">
        <v>56</v>
      </c>
      <c r="B115" s="22"/>
      <c r="C115" s="22">
        <v>756.31</v>
      </c>
      <c r="D115" s="23" t="s">
        <v>785</v>
      </c>
      <c r="J115" s="719"/>
      <c r="K115" s="720"/>
    </row>
    <row r="116" spans="1:11" ht="13">
      <c r="A116" s="718" t="s">
        <v>56</v>
      </c>
      <c r="B116" s="22"/>
      <c r="C116" s="22">
        <v>84.03</v>
      </c>
      <c r="D116" s="23" t="s">
        <v>887</v>
      </c>
      <c r="J116" s="719"/>
      <c r="K116" s="720"/>
    </row>
    <row r="117" spans="1:11" ht="13">
      <c r="A117" s="721">
        <v>45231</v>
      </c>
      <c r="B117" s="22"/>
      <c r="C117" s="22">
        <v>6100</v>
      </c>
      <c r="D117" s="23" t="s">
        <v>909</v>
      </c>
      <c r="J117" s="719"/>
      <c r="K117" s="720"/>
    </row>
    <row r="118" spans="1:11" ht="13">
      <c r="A118" s="721">
        <v>45231</v>
      </c>
      <c r="B118" s="22"/>
      <c r="C118" s="22">
        <v>46077</v>
      </c>
      <c r="D118" s="23" t="s">
        <v>502</v>
      </c>
      <c r="J118" s="719"/>
      <c r="K118" s="720"/>
    </row>
    <row r="119" spans="1:11" ht="13">
      <c r="A119" s="718" t="s">
        <v>933</v>
      </c>
      <c r="B119" s="22">
        <v>334868.03999999998</v>
      </c>
      <c r="C119" s="22"/>
      <c r="D119" s="23" t="s">
        <v>934</v>
      </c>
      <c r="E119" s="23" t="s">
        <v>935</v>
      </c>
      <c r="J119" s="719"/>
      <c r="K119" s="720"/>
    </row>
    <row r="120" spans="1:11" ht="13">
      <c r="A120" s="718" t="s">
        <v>60</v>
      </c>
      <c r="B120" s="22"/>
      <c r="C120" s="22">
        <v>754.33</v>
      </c>
      <c r="D120" s="23" t="s">
        <v>860</v>
      </c>
      <c r="J120" s="719"/>
      <c r="K120" s="720"/>
    </row>
    <row r="121" spans="1:11" ht="13">
      <c r="A121" s="718" t="s">
        <v>60</v>
      </c>
      <c r="B121" s="22"/>
      <c r="C121" s="22">
        <v>83.81</v>
      </c>
      <c r="D121" s="23" t="s">
        <v>887</v>
      </c>
      <c r="J121" s="719"/>
      <c r="K121" s="720"/>
    </row>
    <row r="122" spans="1:11" ht="13">
      <c r="A122" s="718" t="s">
        <v>60</v>
      </c>
      <c r="C122" s="22">
        <v>51287</v>
      </c>
      <c r="D122" s="23" t="s">
        <v>895</v>
      </c>
      <c r="J122" s="719"/>
      <c r="K122" s="720"/>
    </row>
    <row r="123" spans="1:11" ht="13">
      <c r="A123" s="718" t="s">
        <v>60</v>
      </c>
      <c r="C123" s="22">
        <v>39.229999999999997</v>
      </c>
      <c r="D123" s="23" t="s">
        <v>838</v>
      </c>
      <c r="J123" s="719"/>
      <c r="K123" s="720"/>
    </row>
    <row r="124" spans="1:11" ht="13">
      <c r="A124" s="718" t="s">
        <v>60</v>
      </c>
      <c r="C124" s="22">
        <v>209318</v>
      </c>
      <c r="D124" s="23" t="s">
        <v>869</v>
      </c>
      <c r="J124" s="719"/>
      <c r="K124" s="720"/>
    </row>
    <row r="125" spans="1:11" ht="13">
      <c r="A125" s="718" t="s">
        <v>60</v>
      </c>
      <c r="C125" s="22">
        <v>789</v>
      </c>
      <c r="D125" s="23" t="s">
        <v>521</v>
      </c>
      <c r="J125" s="719"/>
      <c r="K125" s="720"/>
    </row>
    <row r="126" spans="1:11" ht="13">
      <c r="A126" s="721">
        <v>45109</v>
      </c>
      <c r="C126" s="22">
        <v>6600</v>
      </c>
      <c r="D126" s="23" t="s">
        <v>852</v>
      </c>
      <c r="J126" s="719"/>
      <c r="K126" s="720"/>
    </row>
    <row r="127" spans="1:11" ht="13">
      <c r="A127" s="718" t="s">
        <v>936</v>
      </c>
      <c r="B127" s="22">
        <v>38500</v>
      </c>
      <c r="C127" s="22"/>
      <c r="D127" s="23" t="s">
        <v>831</v>
      </c>
      <c r="J127" s="719"/>
      <c r="K127" s="720"/>
    </row>
    <row r="128" spans="1:11" ht="13">
      <c r="A128" s="718" t="s">
        <v>936</v>
      </c>
      <c r="B128" s="22"/>
      <c r="C128" s="22">
        <v>59380</v>
      </c>
      <c r="D128" s="23" t="s">
        <v>502</v>
      </c>
      <c r="E128" s="23" t="s">
        <v>937</v>
      </c>
      <c r="J128" s="719"/>
      <c r="K128" s="720"/>
    </row>
    <row r="129" spans="1:11" ht="13">
      <c r="A129" s="718" t="s">
        <v>936</v>
      </c>
      <c r="B129" s="22"/>
      <c r="C129" s="22">
        <v>2541</v>
      </c>
      <c r="D129" s="23" t="s">
        <v>927</v>
      </c>
      <c r="J129" s="719"/>
      <c r="K129" s="720"/>
    </row>
    <row r="130" spans="1:11" ht="13">
      <c r="A130" s="718" t="s">
        <v>850</v>
      </c>
      <c r="B130" s="22"/>
      <c r="C130" s="22">
        <v>72531</v>
      </c>
      <c r="D130" s="23" t="s">
        <v>938</v>
      </c>
      <c r="J130" s="719"/>
      <c r="K130" s="720"/>
    </row>
    <row r="131" spans="1:11" ht="13">
      <c r="A131" s="718" t="s">
        <v>850</v>
      </c>
      <c r="B131" s="22"/>
      <c r="C131" s="22">
        <v>39.11</v>
      </c>
      <c r="D131" s="23" t="s">
        <v>838</v>
      </c>
      <c r="J131" s="719"/>
      <c r="K131" s="720"/>
    </row>
    <row r="132" spans="1:11" ht="13">
      <c r="A132" s="718" t="s">
        <v>217</v>
      </c>
      <c r="B132" s="22">
        <v>200000</v>
      </c>
      <c r="C132" s="22"/>
      <c r="D132" s="23" t="s">
        <v>831</v>
      </c>
      <c r="J132" s="719"/>
      <c r="K132" s="720"/>
    </row>
    <row r="133" spans="1:11" ht="13">
      <c r="A133" s="718" t="s">
        <v>217</v>
      </c>
      <c r="B133" s="22">
        <v>32580</v>
      </c>
      <c r="C133" s="22"/>
      <c r="D133" s="23" t="s">
        <v>831</v>
      </c>
      <c r="J133" s="719"/>
      <c r="K133" s="720"/>
    </row>
    <row r="134" spans="1:11" ht="13">
      <c r="A134" s="718" t="s">
        <v>220</v>
      </c>
      <c r="B134" s="22"/>
      <c r="C134" s="22">
        <v>763.59</v>
      </c>
      <c r="D134" s="23" t="s">
        <v>860</v>
      </c>
      <c r="J134" s="719"/>
      <c r="K134" s="720"/>
    </row>
    <row r="135" spans="1:11" ht="13">
      <c r="A135" s="718" t="s">
        <v>220</v>
      </c>
      <c r="B135" s="22"/>
      <c r="C135" s="22">
        <v>84.84</v>
      </c>
      <c r="D135" s="23" t="s">
        <v>887</v>
      </c>
      <c r="J135" s="719"/>
      <c r="K135" s="720"/>
    </row>
    <row r="136" spans="1:11" ht="13">
      <c r="A136" s="721">
        <v>44929</v>
      </c>
      <c r="B136" s="22"/>
      <c r="C136" s="22">
        <v>209318</v>
      </c>
      <c r="D136" s="23" t="s">
        <v>869</v>
      </c>
      <c r="J136" s="719"/>
      <c r="K136" s="720"/>
    </row>
    <row r="137" spans="1:11" ht="13">
      <c r="A137" s="721">
        <v>45080</v>
      </c>
      <c r="C137" s="22">
        <v>6600</v>
      </c>
      <c r="D137" s="23" t="s">
        <v>909</v>
      </c>
      <c r="J137" s="719"/>
      <c r="K137" s="720"/>
    </row>
    <row r="138" spans="1:11" ht="13">
      <c r="A138" s="718" t="s">
        <v>939</v>
      </c>
      <c r="B138" s="22">
        <v>200000</v>
      </c>
      <c r="C138" s="22"/>
      <c r="D138" s="23" t="s">
        <v>831</v>
      </c>
      <c r="J138" s="719"/>
      <c r="K138" s="720"/>
    </row>
    <row r="139" spans="1:11" ht="13">
      <c r="A139" s="718" t="s">
        <v>939</v>
      </c>
      <c r="B139" s="22">
        <v>36900</v>
      </c>
      <c r="C139" s="22"/>
      <c r="D139" s="23" t="s">
        <v>831</v>
      </c>
      <c r="J139" s="719"/>
      <c r="K139" s="720"/>
    </row>
    <row r="140" spans="1:11" ht="13">
      <c r="A140" s="718" t="s">
        <v>226</v>
      </c>
      <c r="B140" s="22"/>
      <c r="C140" s="22">
        <v>772.11</v>
      </c>
      <c r="D140" s="23" t="s">
        <v>860</v>
      </c>
      <c r="J140" s="719"/>
      <c r="K140" s="720"/>
    </row>
    <row r="141" spans="1:11" ht="13">
      <c r="A141" s="718" t="s">
        <v>226</v>
      </c>
      <c r="B141" s="22"/>
      <c r="C141" s="22">
        <v>85.79</v>
      </c>
      <c r="D141" s="23" t="s">
        <v>887</v>
      </c>
      <c r="J141" s="719"/>
      <c r="K141" s="720"/>
    </row>
    <row r="142" spans="1:11" ht="13">
      <c r="A142" s="718" t="s">
        <v>226</v>
      </c>
      <c r="B142" s="22"/>
      <c r="C142" s="22">
        <v>209318</v>
      </c>
      <c r="D142" s="23" t="s">
        <v>869</v>
      </c>
      <c r="J142" s="719"/>
      <c r="K142" s="720"/>
    </row>
    <row r="143" spans="1:11" ht="13">
      <c r="A143" s="721">
        <v>44989</v>
      </c>
      <c r="B143" s="22"/>
      <c r="C143" s="22">
        <v>384</v>
      </c>
      <c r="D143" s="23" t="s">
        <v>521</v>
      </c>
      <c r="J143" s="719"/>
      <c r="K143" s="720"/>
    </row>
    <row r="144" spans="1:11" ht="13">
      <c r="A144" s="721">
        <v>45264</v>
      </c>
      <c r="B144" s="22"/>
      <c r="C144" s="22">
        <v>6600</v>
      </c>
      <c r="D144" s="23" t="s">
        <v>852</v>
      </c>
      <c r="J144" s="719"/>
      <c r="K144" s="720"/>
    </row>
    <row r="145" spans="1:11" ht="13">
      <c r="A145" s="718" t="s">
        <v>940</v>
      </c>
      <c r="B145" s="22"/>
      <c r="C145" s="22">
        <v>17721</v>
      </c>
      <c r="D145" s="23" t="s">
        <v>502</v>
      </c>
      <c r="J145" s="719"/>
      <c r="K145" s="720"/>
    </row>
    <row r="146" spans="1:11" ht="13">
      <c r="A146" s="718" t="s">
        <v>941</v>
      </c>
      <c r="B146" s="22"/>
      <c r="C146" s="22">
        <v>779.14</v>
      </c>
      <c r="D146" s="23" t="s">
        <v>785</v>
      </c>
      <c r="J146" s="719"/>
      <c r="K146" s="720"/>
    </row>
    <row r="147" spans="1:11" ht="13">
      <c r="A147" s="718" t="s">
        <v>941</v>
      </c>
      <c r="B147" s="22"/>
      <c r="C147" s="22">
        <v>86.57</v>
      </c>
      <c r="D147" s="23" t="s">
        <v>887</v>
      </c>
      <c r="J147" s="719"/>
      <c r="K147" s="720"/>
    </row>
    <row r="148" spans="1:11" ht="13">
      <c r="A148" s="718" t="s">
        <v>941</v>
      </c>
      <c r="B148" s="22">
        <v>50000</v>
      </c>
      <c r="C148" s="22"/>
      <c r="D148" s="23" t="s">
        <v>831</v>
      </c>
      <c r="J148" s="719"/>
      <c r="K148" s="720"/>
    </row>
    <row r="149" spans="1:11" ht="13">
      <c r="A149" s="721">
        <v>45051</v>
      </c>
      <c r="B149" s="22"/>
      <c r="C149" s="22">
        <v>6600</v>
      </c>
      <c r="D149" s="23" t="s">
        <v>852</v>
      </c>
      <c r="J149" s="719"/>
      <c r="K149" s="720"/>
    </row>
    <row r="150" spans="1:11" ht="13">
      <c r="A150" s="721">
        <v>45143</v>
      </c>
      <c r="B150" s="22"/>
      <c r="C150" s="22">
        <v>8800</v>
      </c>
      <c r="D150" s="23" t="s">
        <v>942</v>
      </c>
      <c r="J150" s="719"/>
      <c r="K150" s="720"/>
    </row>
    <row r="151" spans="1:11" ht="13">
      <c r="A151" s="721">
        <v>45143</v>
      </c>
      <c r="B151" s="22"/>
      <c r="C151" s="22">
        <v>74.88</v>
      </c>
      <c r="D151" s="23" t="s">
        <v>838</v>
      </c>
      <c r="J151" s="719"/>
      <c r="K151" s="720"/>
    </row>
    <row r="152" spans="1:11" ht="13">
      <c r="A152" s="718" t="s">
        <v>865</v>
      </c>
      <c r="B152" s="22"/>
      <c r="C152" s="22">
        <v>17721</v>
      </c>
      <c r="D152" s="23" t="s">
        <v>502</v>
      </c>
      <c r="J152" s="719"/>
      <c r="K152" s="720"/>
    </row>
    <row r="153" spans="1:11" ht="13">
      <c r="A153" s="718" t="s">
        <v>943</v>
      </c>
      <c r="B153" s="22"/>
      <c r="C153" s="22">
        <v>5978</v>
      </c>
      <c r="D153" s="23" t="s">
        <v>944</v>
      </c>
      <c r="J153" s="719"/>
      <c r="K153" s="720"/>
    </row>
    <row r="154" spans="1:11" ht="13">
      <c r="A154" s="718" t="s">
        <v>235</v>
      </c>
      <c r="B154" s="22"/>
      <c r="C154" s="22">
        <v>785.21</v>
      </c>
      <c r="D154" s="23" t="s">
        <v>785</v>
      </c>
      <c r="J154" s="719"/>
      <c r="K154" s="720"/>
    </row>
    <row r="155" spans="1:11" ht="13">
      <c r="A155" s="718" t="s">
        <v>235</v>
      </c>
      <c r="B155" s="22"/>
      <c r="C155" s="22">
        <v>87.25</v>
      </c>
      <c r="D155" s="23" t="s">
        <v>887</v>
      </c>
      <c r="J155" s="719"/>
      <c r="K155" s="720"/>
    </row>
    <row r="156" spans="1:11" ht="13">
      <c r="A156" s="721">
        <v>45083</v>
      </c>
      <c r="B156" s="22"/>
      <c r="C156" s="22">
        <v>6600</v>
      </c>
      <c r="D156" s="23" t="s">
        <v>945</v>
      </c>
      <c r="J156" s="719"/>
      <c r="K156" s="720"/>
    </row>
    <row r="157" spans="1:11" ht="13">
      <c r="A157" s="718" t="s">
        <v>946</v>
      </c>
      <c r="B157" s="22"/>
      <c r="C157" s="22">
        <v>17721</v>
      </c>
      <c r="D157" s="23" t="s">
        <v>502</v>
      </c>
      <c r="J157" s="719"/>
      <c r="K157" s="720"/>
    </row>
    <row r="158" spans="1:11" ht="13">
      <c r="A158" s="718" t="s">
        <v>947</v>
      </c>
      <c r="B158" s="22"/>
      <c r="C158" s="22">
        <v>786.1</v>
      </c>
      <c r="D158" s="23" t="s">
        <v>860</v>
      </c>
      <c r="J158" s="719"/>
      <c r="K158" s="720"/>
    </row>
    <row r="159" spans="1:11" ht="13">
      <c r="A159" s="718" t="s">
        <v>947</v>
      </c>
      <c r="B159" s="22"/>
      <c r="C159" s="22">
        <v>87.34</v>
      </c>
      <c r="D159" s="23" t="s">
        <v>887</v>
      </c>
      <c r="J159" s="719"/>
      <c r="K159" s="720"/>
    </row>
    <row r="160" spans="1:11" ht="13">
      <c r="A160" s="718" t="s">
        <v>947</v>
      </c>
      <c r="B160" s="22">
        <v>34500</v>
      </c>
      <c r="C160" s="22"/>
      <c r="D160" s="23" t="s">
        <v>831</v>
      </c>
      <c r="J160" s="719"/>
      <c r="K160" s="720"/>
    </row>
    <row r="161" spans="1:20" ht="13">
      <c r="A161" s="721">
        <v>45023</v>
      </c>
      <c r="B161" s="22"/>
      <c r="C161" s="22">
        <v>6600</v>
      </c>
      <c r="D161" s="23" t="s">
        <v>945</v>
      </c>
      <c r="J161" s="719"/>
      <c r="K161" s="720"/>
    </row>
    <row r="162" spans="1:20" ht="13">
      <c r="A162" s="721">
        <v>45023</v>
      </c>
      <c r="B162" s="22"/>
      <c r="C162" s="22">
        <v>8386</v>
      </c>
      <c r="D162" s="23" t="s">
        <v>948</v>
      </c>
      <c r="J162" s="719"/>
      <c r="K162" s="720"/>
    </row>
    <row r="163" spans="1:20" ht="13">
      <c r="A163" s="721">
        <v>45023</v>
      </c>
      <c r="B163" s="22"/>
      <c r="C163" s="22">
        <v>72.5</v>
      </c>
      <c r="D163" s="23" t="s">
        <v>838</v>
      </c>
      <c r="J163" s="719"/>
      <c r="K163" s="720"/>
    </row>
    <row r="164" spans="1:20" ht="13">
      <c r="A164" s="721">
        <v>45023</v>
      </c>
      <c r="B164" s="22"/>
      <c r="C164" s="22">
        <v>2600</v>
      </c>
      <c r="D164" s="23" t="s">
        <v>949</v>
      </c>
      <c r="J164" s="719"/>
      <c r="K164" s="720"/>
    </row>
    <row r="165" spans="1:20" ht="13">
      <c r="A165" s="721">
        <v>45023</v>
      </c>
      <c r="B165" s="22"/>
      <c r="C165" s="22">
        <v>72.5</v>
      </c>
      <c r="D165" s="23" t="s">
        <v>838</v>
      </c>
      <c r="J165" s="719"/>
      <c r="K165" s="720"/>
    </row>
    <row r="166" spans="1:20" ht="13">
      <c r="A166" s="718" t="s">
        <v>950</v>
      </c>
      <c r="B166" s="22"/>
      <c r="C166" s="22">
        <v>17721</v>
      </c>
      <c r="D166" s="23" t="s">
        <v>502</v>
      </c>
      <c r="J166" s="719"/>
      <c r="K166" s="720"/>
    </row>
    <row r="167" spans="1:20" ht="13">
      <c r="A167" s="718" t="s">
        <v>240</v>
      </c>
      <c r="B167" s="22"/>
      <c r="C167" s="22">
        <v>783.05</v>
      </c>
      <c r="D167" s="23" t="s">
        <v>860</v>
      </c>
      <c r="J167" s="719"/>
      <c r="K167" s="720"/>
    </row>
    <row r="168" spans="1:20" ht="13">
      <c r="A168" s="718" t="s">
        <v>240</v>
      </c>
      <c r="B168" s="22"/>
      <c r="C168" s="22">
        <v>5.0999999999999996</v>
      </c>
      <c r="D168" s="23" t="s">
        <v>887</v>
      </c>
      <c r="J168" s="719"/>
      <c r="K168" s="720"/>
    </row>
    <row r="169" spans="1:20" ht="13">
      <c r="A169" s="718" t="s">
        <v>240</v>
      </c>
      <c r="B169" s="22">
        <v>136000</v>
      </c>
      <c r="C169" s="22"/>
      <c r="D169" s="23" t="s">
        <v>831</v>
      </c>
      <c r="J169" s="719"/>
      <c r="K169" s="720"/>
    </row>
    <row r="170" spans="1:20" ht="13">
      <c r="A170" s="718" t="s">
        <v>240</v>
      </c>
      <c r="B170" s="22"/>
      <c r="C170" s="22">
        <v>81.91</v>
      </c>
      <c r="D170" s="23" t="s">
        <v>887</v>
      </c>
      <c r="J170" s="719"/>
      <c r="K170" s="720"/>
    </row>
    <row r="171" spans="1:20" ht="13">
      <c r="A171" s="721">
        <v>44934</v>
      </c>
      <c r="B171" s="22"/>
      <c r="C171" s="22">
        <v>111600</v>
      </c>
      <c r="D171" s="23" t="s">
        <v>951</v>
      </c>
      <c r="J171" s="719"/>
      <c r="K171" s="720"/>
    </row>
    <row r="172" spans="1:20" ht="13">
      <c r="A172" s="721">
        <v>44934</v>
      </c>
      <c r="B172" s="22"/>
      <c r="C172" s="22">
        <v>72.22</v>
      </c>
      <c r="D172" s="23" t="s">
        <v>838</v>
      </c>
      <c r="J172" s="719"/>
      <c r="K172" s="720"/>
    </row>
    <row r="173" spans="1:20" ht="13">
      <c r="A173" s="721">
        <v>45115</v>
      </c>
      <c r="C173" s="22">
        <v>6500</v>
      </c>
      <c r="D173" s="23" t="s">
        <v>945</v>
      </c>
      <c r="J173" s="719"/>
      <c r="K173" s="720"/>
    </row>
    <row r="174" spans="1:20" ht="13">
      <c r="A174" s="718" t="s">
        <v>952</v>
      </c>
      <c r="B174" s="22"/>
      <c r="C174" s="22">
        <v>5856</v>
      </c>
      <c r="D174" s="23" t="s">
        <v>953</v>
      </c>
      <c r="J174" s="728"/>
      <c r="K174" s="729"/>
      <c r="L174" s="321"/>
      <c r="M174" s="321"/>
      <c r="N174" s="321"/>
      <c r="O174" s="321"/>
      <c r="P174" s="321"/>
      <c r="Q174" s="321"/>
      <c r="R174" s="321"/>
      <c r="S174" s="321"/>
      <c r="T174" s="321"/>
    </row>
    <row r="175" spans="1:20" ht="13">
      <c r="A175" s="23" t="s">
        <v>243</v>
      </c>
      <c r="C175" s="23">
        <v>780.11</v>
      </c>
      <c r="D175" s="23" t="s">
        <v>785</v>
      </c>
      <c r="J175" s="719"/>
      <c r="K175" s="720"/>
    </row>
    <row r="176" spans="1:20" ht="13">
      <c r="A176" s="23" t="s">
        <v>243</v>
      </c>
      <c r="B176" s="22"/>
      <c r="C176" s="22">
        <v>86.68</v>
      </c>
      <c r="D176" s="23" t="s">
        <v>887</v>
      </c>
      <c r="J176" s="719"/>
      <c r="K176" s="720"/>
    </row>
    <row r="177" spans="1:11" ht="13">
      <c r="A177" s="23" t="s">
        <v>243</v>
      </c>
      <c r="B177" s="22">
        <v>105000</v>
      </c>
      <c r="C177" s="22"/>
      <c r="D177" s="23" t="s">
        <v>831</v>
      </c>
      <c r="J177" s="719"/>
      <c r="K177" s="720"/>
    </row>
    <row r="178" spans="1:11" ht="13">
      <c r="A178" s="721">
        <v>44935</v>
      </c>
      <c r="B178" s="22"/>
      <c r="C178" s="22">
        <v>105000</v>
      </c>
      <c r="D178" s="23" t="s">
        <v>876</v>
      </c>
      <c r="J178" s="719"/>
      <c r="K178" s="720"/>
    </row>
    <row r="179" spans="1:11" ht="13">
      <c r="A179" s="721">
        <v>44935</v>
      </c>
      <c r="B179" s="22"/>
      <c r="C179" s="22">
        <v>39.36</v>
      </c>
      <c r="D179" s="23" t="s">
        <v>838</v>
      </c>
      <c r="J179" s="719"/>
      <c r="K179" s="720"/>
    </row>
    <row r="180" spans="1:11" ht="13">
      <c r="A180" s="721">
        <v>44935</v>
      </c>
      <c r="B180" s="22"/>
      <c r="C180" s="22">
        <v>1807</v>
      </c>
      <c r="D180" s="23" t="s">
        <v>521</v>
      </c>
      <c r="J180" s="719"/>
      <c r="K180" s="720"/>
    </row>
    <row r="181" spans="1:11" ht="13">
      <c r="A181" s="721">
        <v>44935</v>
      </c>
      <c r="B181" s="22"/>
      <c r="C181" s="22">
        <v>6600</v>
      </c>
      <c r="D181" s="23" t="s">
        <v>945</v>
      </c>
      <c r="J181" s="719"/>
      <c r="K181" s="720"/>
    </row>
    <row r="182" spans="1:11" ht="13">
      <c r="A182" s="718" t="s">
        <v>881</v>
      </c>
      <c r="B182" s="22">
        <v>242000</v>
      </c>
      <c r="C182" s="22"/>
      <c r="D182" s="23" t="s">
        <v>831</v>
      </c>
      <c r="J182" s="719"/>
      <c r="K182" s="720"/>
    </row>
    <row r="183" spans="1:11" ht="13">
      <c r="A183" s="718" t="s">
        <v>881</v>
      </c>
      <c r="B183" s="22"/>
      <c r="C183" s="22">
        <v>241560</v>
      </c>
      <c r="D183" s="23" t="s">
        <v>954</v>
      </c>
      <c r="J183" s="719"/>
      <c r="K183" s="720"/>
    </row>
    <row r="184" spans="1:11" ht="13">
      <c r="A184" s="718" t="s">
        <v>881</v>
      </c>
      <c r="B184" s="22"/>
      <c r="C184" s="22">
        <v>73.55</v>
      </c>
      <c r="D184" s="23" t="s">
        <v>838</v>
      </c>
      <c r="J184" s="719"/>
      <c r="K184" s="720"/>
    </row>
    <row r="185" spans="1:11" ht="13">
      <c r="A185" s="23" t="s">
        <v>955</v>
      </c>
      <c r="C185" s="23">
        <v>780.76</v>
      </c>
      <c r="D185" s="23" t="s">
        <v>860</v>
      </c>
      <c r="J185" s="719"/>
      <c r="K185" s="720"/>
    </row>
    <row r="186" spans="1:11" ht="13">
      <c r="A186" s="23" t="s">
        <v>955</v>
      </c>
      <c r="B186" s="22"/>
      <c r="C186" s="22">
        <v>86.75</v>
      </c>
      <c r="D186" s="23" t="s">
        <v>887</v>
      </c>
      <c r="J186" s="719"/>
      <c r="K186" s="720"/>
    </row>
    <row r="187" spans="1:11" ht="13">
      <c r="A187" s="721">
        <v>44967</v>
      </c>
      <c r="B187" s="22">
        <v>115000</v>
      </c>
      <c r="C187" s="22"/>
      <c r="D187" s="23" t="s">
        <v>831</v>
      </c>
      <c r="J187" s="719"/>
      <c r="K187" s="720"/>
    </row>
    <row r="188" spans="1:11" ht="13">
      <c r="A188" s="721">
        <v>44967</v>
      </c>
      <c r="B188" s="22">
        <v>61000</v>
      </c>
      <c r="C188" s="22"/>
      <c r="D188" s="23" t="s">
        <v>831</v>
      </c>
      <c r="J188" s="719"/>
      <c r="K188" s="720"/>
    </row>
    <row r="189" spans="1:11" ht="13">
      <c r="A189" s="721">
        <v>44967</v>
      </c>
      <c r="B189" s="22"/>
      <c r="C189" s="22">
        <v>105000</v>
      </c>
      <c r="D189" s="23" t="s">
        <v>876</v>
      </c>
      <c r="J189" s="719"/>
      <c r="K189" s="720"/>
    </row>
    <row r="190" spans="1:11" ht="13">
      <c r="A190" s="721">
        <v>44967</v>
      </c>
      <c r="B190" s="22"/>
      <c r="C190" s="22">
        <v>39.29</v>
      </c>
      <c r="D190" s="23" t="s">
        <v>838</v>
      </c>
      <c r="J190" s="719"/>
      <c r="K190" s="720"/>
    </row>
    <row r="191" spans="1:11" ht="13">
      <c r="A191" s="721">
        <v>44967</v>
      </c>
      <c r="B191" s="22"/>
      <c r="C191" s="22">
        <v>60587</v>
      </c>
      <c r="D191" s="23" t="s">
        <v>956</v>
      </c>
      <c r="J191" s="719"/>
      <c r="K191" s="720"/>
    </row>
    <row r="192" spans="1:11" ht="13">
      <c r="A192" s="721">
        <v>45056</v>
      </c>
      <c r="B192" s="22"/>
      <c r="C192" s="22">
        <v>6600</v>
      </c>
      <c r="D192" s="23" t="s">
        <v>945</v>
      </c>
      <c r="J192" s="719"/>
      <c r="K192" s="720"/>
    </row>
    <row r="193" spans="1:11" ht="13">
      <c r="A193" s="721">
        <v>45087</v>
      </c>
      <c r="B193" s="22"/>
      <c r="C193" s="22">
        <v>1807</v>
      </c>
      <c r="D193" s="23" t="s">
        <v>521</v>
      </c>
      <c r="J193" s="719"/>
      <c r="K193" s="720"/>
    </row>
    <row r="194" spans="1:11" ht="13">
      <c r="A194" s="718" t="s">
        <v>957</v>
      </c>
      <c r="B194" s="22">
        <v>176000</v>
      </c>
      <c r="C194" s="22"/>
      <c r="D194" s="23" t="s">
        <v>831</v>
      </c>
      <c r="J194" s="719"/>
      <c r="K194" s="720"/>
    </row>
    <row r="195" spans="1:11" ht="13">
      <c r="A195" s="718" t="s">
        <v>249</v>
      </c>
      <c r="B195" s="22"/>
      <c r="C195" s="22">
        <v>784.97</v>
      </c>
      <c r="D195" s="23" t="s">
        <v>785</v>
      </c>
      <c r="J195" s="719"/>
      <c r="K195" s="720"/>
    </row>
    <row r="196" spans="1:11" ht="13">
      <c r="A196" s="721">
        <v>44937</v>
      </c>
      <c r="B196" s="22"/>
      <c r="C196" s="22">
        <v>87.22</v>
      </c>
      <c r="D196" s="23" t="s">
        <v>887</v>
      </c>
      <c r="J196" s="719"/>
      <c r="K196" s="720"/>
    </row>
    <row r="197" spans="1:11" ht="13">
      <c r="A197" s="721">
        <v>44937</v>
      </c>
      <c r="B197" s="22"/>
      <c r="C197" s="22">
        <v>60587</v>
      </c>
      <c r="D197" s="23" t="s">
        <v>956</v>
      </c>
      <c r="J197" s="719"/>
      <c r="K197" s="720"/>
    </row>
    <row r="198" spans="1:11" ht="13">
      <c r="A198" s="721">
        <v>44937</v>
      </c>
      <c r="B198" s="22"/>
      <c r="C198" s="22">
        <v>105000</v>
      </c>
      <c r="D198" s="23" t="s">
        <v>958</v>
      </c>
      <c r="J198" s="719"/>
      <c r="K198" s="720"/>
    </row>
    <row r="199" spans="1:11" ht="13">
      <c r="A199" s="721">
        <v>44937</v>
      </c>
      <c r="B199" s="22"/>
      <c r="C199" s="22">
        <v>39.39</v>
      </c>
      <c r="D199" s="23" t="s">
        <v>838</v>
      </c>
      <c r="J199" s="719"/>
      <c r="K199" s="720"/>
    </row>
    <row r="200" spans="1:11" ht="13">
      <c r="A200" s="721">
        <v>44996</v>
      </c>
      <c r="B200" s="22"/>
      <c r="C200" s="22">
        <v>2687</v>
      </c>
      <c r="D200" s="23" t="s">
        <v>521</v>
      </c>
      <c r="J200" s="719"/>
      <c r="K200" s="720"/>
    </row>
    <row r="201" spans="1:11" ht="13">
      <c r="A201" s="727">
        <v>45210</v>
      </c>
      <c r="B201" s="22"/>
      <c r="C201" s="22">
        <v>6600</v>
      </c>
      <c r="D201" s="23" t="s">
        <v>909</v>
      </c>
      <c r="J201" s="719"/>
      <c r="K201" s="720"/>
    </row>
    <row r="202" spans="1:11" ht="13">
      <c r="A202" s="727">
        <v>45241</v>
      </c>
      <c r="B202" s="22"/>
      <c r="C202" s="22">
        <v>3000</v>
      </c>
      <c r="D202" s="23" t="s">
        <v>923</v>
      </c>
      <c r="J202" s="719"/>
      <c r="K202" s="720"/>
    </row>
    <row r="203" spans="1:11" ht="13">
      <c r="A203" s="718" t="s">
        <v>959</v>
      </c>
      <c r="B203" s="22">
        <v>167000</v>
      </c>
      <c r="C203" s="22"/>
      <c r="D203" s="23" t="s">
        <v>831</v>
      </c>
      <c r="J203" s="719"/>
      <c r="K203" s="720"/>
    </row>
    <row r="204" spans="1:11" ht="13">
      <c r="A204" s="718" t="s">
        <v>959</v>
      </c>
      <c r="C204" s="22">
        <v>789.86</v>
      </c>
      <c r="D204" s="23" t="s">
        <v>960</v>
      </c>
      <c r="J204" s="719"/>
      <c r="K204" s="720"/>
    </row>
    <row r="205" spans="1:11" ht="13">
      <c r="A205" s="718" t="s">
        <v>959</v>
      </c>
      <c r="B205" s="22"/>
      <c r="C205" s="22">
        <v>87.76</v>
      </c>
      <c r="D205" s="23" t="s">
        <v>887</v>
      </c>
      <c r="J205" s="719"/>
      <c r="K205" s="720"/>
    </row>
    <row r="206" spans="1:11" ht="13">
      <c r="A206" s="727">
        <v>44938</v>
      </c>
      <c r="B206" s="22"/>
      <c r="C206" s="22">
        <v>105000</v>
      </c>
      <c r="D206" s="23" t="s">
        <v>958</v>
      </c>
      <c r="J206" s="719"/>
      <c r="K206" s="720"/>
    </row>
    <row r="207" spans="1:11" ht="13">
      <c r="A207" s="727">
        <v>44938</v>
      </c>
      <c r="B207" s="22"/>
      <c r="C207" s="22">
        <v>39.31</v>
      </c>
      <c r="D207" s="23" t="s">
        <v>838</v>
      </c>
      <c r="J207" s="719"/>
      <c r="K207" s="720"/>
    </row>
    <row r="208" spans="1:11" ht="13">
      <c r="A208" s="727">
        <v>44938</v>
      </c>
      <c r="B208" s="22"/>
      <c r="C208" s="22">
        <v>60587</v>
      </c>
      <c r="D208" s="23" t="s">
        <v>956</v>
      </c>
      <c r="J208" s="719"/>
      <c r="K208" s="720"/>
    </row>
    <row r="209" spans="1:11" ht="13">
      <c r="A209" s="721">
        <v>45089</v>
      </c>
      <c r="B209" s="22">
        <v>1000</v>
      </c>
      <c r="C209" s="22"/>
      <c r="D209" s="23" t="s">
        <v>961</v>
      </c>
      <c r="J209" s="719"/>
      <c r="K209" s="720"/>
    </row>
    <row r="210" spans="1:11" ht="13">
      <c r="A210" s="721">
        <v>45089</v>
      </c>
      <c r="B210" s="22"/>
      <c r="C210" s="22">
        <v>2687</v>
      </c>
      <c r="D210" s="23" t="s">
        <v>521</v>
      </c>
      <c r="J210" s="719"/>
      <c r="K210" s="720"/>
    </row>
    <row r="211" spans="1:11" ht="13">
      <c r="A211" s="721">
        <v>45119</v>
      </c>
      <c r="B211" s="22">
        <v>220000</v>
      </c>
      <c r="C211" s="22"/>
      <c r="D211" s="23" t="s">
        <v>831</v>
      </c>
      <c r="J211" s="719"/>
      <c r="K211" s="720"/>
    </row>
    <row r="212" spans="1:11" ht="13">
      <c r="A212" s="721">
        <v>45119</v>
      </c>
      <c r="B212" s="22">
        <v>185000</v>
      </c>
      <c r="C212" s="22"/>
      <c r="D212" s="23" t="s">
        <v>831</v>
      </c>
      <c r="J212" s="719"/>
      <c r="K212" s="720"/>
    </row>
    <row r="213" spans="1:11" ht="13">
      <c r="A213" s="721">
        <v>45119</v>
      </c>
      <c r="B213" s="22"/>
      <c r="C213" s="22">
        <v>6600</v>
      </c>
      <c r="D213" s="23" t="s">
        <v>909</v>
      </c>
      <c r="J213" s="719"/>
      <c r="K213" s="720"/>
    </row>
    <row r="214" spans="1:11" ht="13">
      <c r="A214" s="721">
        <v>45150</v>
      </c>
      <c r="C214" s="22">
        <v>371852</v>
      </c>
      <c r="D214" s="23" t="s">
        <v>962</v>
      </c>
      <c r="J214" s="719"/>
      <c r="K214" s="720"/>
    </row>
    <row r="215" spans="1:11" ht="13">
      <c r="A215" s="721">
        <v>45150</v>
      </c>
      <c r="B215" s="22"/>
      <c r="C215" s="22">
        <v>39.06</v>
      </c>
      <c r="D215" s="23" t="s">
        <v>838</v>
      </c>
      <c r="J215" s="719"/>
      <c r="K215" s="720"/>
    </row>
    <row r="216" spans="1:11" ht="13">
      <c r="A216" s="721">
        <v>45150</v>
      </c>
      <c r="B216" s="22"/>
      <c r="C216" s="22">
        <v>16380</v>
      </c>
      <c r="D216" s="23" t="s">
        <v>963</v>
      </c>
      <c r="J216" s="719"/>
      <c r="K216" s="720"/>
    </row>
    <row r="217" spans="1:11" ht="13">
      <c r="A217" s="726">
        <v>45242</v>
      </c>
      <c r="B217" s="22"/>
      <c r="C217" s="22">
        <v>10000</v>
      </c>
      <c r="D217" s="23" t="s">
        <v>964</v>
      </c>
      <c r="J217" s="719"/>
      <c r="K217" s="720"/>
    </row>
    <row r="218" spans="1:11" ht="13">
      <c r="A218" s="726">
        <v>45242</v>
      </c>
      <c r="B218" s="22"/>
      <c r="C218" s="22">
        <v>76.02</v>
      </c>
      <c r="D218" s="23" t="s">
        <v>838</v>
      </c>
      <c r="J218" s="719"/>
      <c r="K218" s="720"/>
    </row>
    <row r="219" spans="1:11" ht="13">
      <c r="A219" s="718" t="s">
        <v>965</v>
      </c>
      <c r="B219" s="22">
        <v>71000</v>
      </c>
      <c r="C219" s="22"/>
      <c r="D219" s="23" t="s">
        <v>831</v>
      </c>
      <c r="J219" s="719"/>
      <c r="K219" s="720"/>
    </row>
    <row r="220" spans="1:11" ht="13">
      <c r="A220" s="718" t="s">
        <v>822</v>
      </c>
      <c r="B220" s="22"/>
      <c r="C220" s="22">
        <v>792.95</v>
      </c>
      <c r="D220" s="23" t="s">
        <v>785</v>
      </c>
      <c r="J220" s="719"/>
      <c r="K220" s="720"/>
    </row>
    <row r="221" spans="1:11" ht="13">
      <c r="A221" s="718" t="s">
        <v>822</v>
      </c>
      <c r="B221" s="22"/>
      <c r="C221" s="22">
        <v>88.11</v>
      </c>
      <c r="D221" s="23" t="s">
        <v>887</v>
      </c>
      <c r="J221" s="719"/>
      <c r="K221" s="720"/>
    </row>
    <row r="222" spans="1:11" ht="13">
      <c r="A222" s="718" t="s">
        <v>822</v>
      </c>
      <c r="B222" s="22">
        <v>449368.26</v>
      </c>
      <c r="C222" s="22"/>
      <c r="D222" s="23" t="s">
        <v>934</v>
      </c>
      <c r="E222" s="23" t="s">
        <v>966</v>
      </c>
      <c r="J222" s="719"/>
      <c r="K222" s="720"/>
    </row>
    <row r="223" spans="1:11" ht="13">
      <c r="A223" s="718" t="s">
        <v>822</v>
      </c>
      <c r="B223" s="22"/>
      <c r="C223" s="22">
        <v>595.65</v>
      </c>
      <c r="D223" s="23" t="s">
        <v>838</v>
      </c>
      <c r="J223" s="719"/>
      <c r="K223" s="720"/>
    </row>
    <row r="224" spans="1:11" ht="13">
      <c r="A224" s="718" t="s">
        <v>822</v>
      </c>
      <c r="B224" s="22"/>
      <c r="C224" s="22">
        <v>64020</v>
      </c>
      <c r="D224" s="23" t="s">
        <v>956</v>
      </c>
      <c r="E224" s="23" t="s">
        <v>967</v>
      </c>
      <c r="J224" s="719"/>
      <c r="K224" s="720"/>
    </row>
    <row r="225" spans="1:26" ht="13">
      <c r="A225" s="718" t="s">
        <v>822</v>
      </c>
      <c r="B225" s="22"/>
      <c r="C225" s="22">
        <v>216000</v>
      </c>
      <c r="D225" s="23" t="s">
        <v>919</v>
      </c>
      <c r="E225" s="23"/>
      <c r="J225" s="719"/>
      <c r="K225" s="720"/>
    </row>
    <row r="226" spans="1:26" ht="13">
      <c r="A226" s="718" t="s">
        <v>822</v>
      </c>
      <c r="B226" s="22"/>
      <c r="C226" s="22">
        <v>216000</v>
      </c>
      <c r="D226" s="23" t="s">
        <v>866</v>
      </c>
      <c r="E226" s="23"/>
      <c r="J226" s="719"/>
      <c r="K226" s="720"/>
    </row>
    <row r="227" spans="1:26" ht="13">
      <c r="A227" s="721">
        <v>45323</v>
      </c>
      <c r="B227" s="22"/>
      <c r="C227" s="22">
        <v>6600</v>
      </c>
      <c r="D227" s="23" t="s">
        <v>909</v>
      </c>
      <c r="E227" s="23"/>
      <c r="J227" s="719"/>
      <c r="K227" s="720"/>
    </row>
    <row r="228" spans="1:26" ht="13">
      <c r="A228" s="721">
        <v>45323</v>
      </c>
      <c r="B228" s="22"/>
      <c r="C228" s="22">
        <v>2687</v>
      </c>
      <c r="D228" s="23" t="s">
        <v>521</v>
      </c>
      <c r="E228" s="23"/>
      <c r="J228" s="719"/>
      <c r="K228" s="720"/>
    </row>
    <row r="229" spans="1:26" ht="13">
      <c r="A229" s="721">
        <v>45323</v>
      </c>
      <c r="B229" s="22"/>
      <c r="C229" s="22">
        <v>12500</v>
      </c>
      <c r="D229" s="23" t="s">
        <v>964</v>
      </c>
      <c r="E229" s="23"/>
      <c r="J229" s="719"/>
      <c r="K229" s="720"/>
    </row>
    <row r="230" spans="1:26" ht="13">
      <c r="A230" s="721">
        <v>45323</v>
      </c>
      <c r="B230" s="22"/>
      <c r="C230" s="22">
        <v>74.97</v>
      </c>
      <c r="D230" s="23" t="s">
        <v>838</v>
      </c>
      <c r="E230" s="23"/>
      <c r="J230" s="719"/>
      <c r="K230" s="720"/>
    </row>
    <row r="231" spans="1:26" ht="13">
      <c r="A231" s="721">
        <v>45505</v>
      </c>
      <c r="B231" s="22">
        <v>8200</v>
      </c>
      <c r="C231" s="22"/>
      <c r="D231" s="23" t="s">
        <v>961</v>
      </c>
      <c r="E231" s="23"/>
      <c r="J231" s="719"/>
      <c r="K231" s="720"/>
    </row>
    <row r="232" spans="1:26" ht="13">
      <c r="A232" s="721">
        <v>45627</v>
      </c>
      <c r="B232" s="22"/>
      <c r="C232" s="22">
        <v>2256</v>
      </c>
      <c r="D232" s="23" t="s">
        <v>968</v>
      </c>
      <c r="E232" s="23"/>
      <c r="J232" s="719"/>
      <c r="K232" s="720"/>
    </row>
    <row r="233" spans="1:26" ht="13">
      <c r="A233" s="718" t="s">
        <v>892</v>
      </c>
      <c r="B233" s="22"/>
      <c r="C233" s="22">
        <v>5039</v>
      </c>
      <c r="D233" s="23" t="s">
        <v>670</v>
      </c>
      <c r="E233" s="23"/>
      <c r="J233" s="719"/>
      <c r="K233" s="720"/>
    </row>
    <row r="234" spans="1:26" ht="13">
      <c r="A234" s="718" t="s">
        <v>969</v>
      </c>
      <c r="B234" s="22">
        <v>70000</v>
      </c>
      <c r="C234" s="22"/>
      <c r="D234" s="23" t="s">
        <v>961</v>
      </c>
      <c r="E234" s="23"/>
      <c r="J234" s="719"/>
      <c r="K234" s="720"/>
    </row>
    <row r="235" spans="1:26" ht="13">
      <c r="A235" s="718" t="s">
        <v>970</v>
      </c>
      <c r="C235" s="22">
        <v>70987</v>
      </c>
      <c r="D235" s="23" t="s">
        <v>971</v>
      </c>
      <c r="E235" s="23"/>
      <c r="J235" s="719"/>
      <c r="K235" s="720"/>
    </row>
    <row r="236" spans="1:26" ht="13">
      <c r="A236" s="718" t="s">
        <v>260</v>
      </c>
      <c r="B236" s="22"/>
      <c r="C236" s="22">
        <v>792.65</v>
      </c>
      <c r="D236" s="23" t="s">
        <v>960</v>
      </c>
      <c r="E236" s="23"/>
      <c r="J236" s="719"/>
      <c r="K236" s="720"/>
    </row>
    <row r="237" spans="1:26" ht="13">
      <c r="A237" s="718" t="s">
        <v>260</v>
      </c>
      <c r="B237" s="22"/>
      <c r="C237" s="22">
        <v>88.07</v>
      </c>
      <c r="D237" s="23" t="s">
        <v>887</v>
      </c>
      <c r="E237" s="23"/>
      <c r="J237" s="719"/>
      <c r="K237" s="720"/>
    </row>
    <row r="238" spans="1:26" ht="13">
      <c r="A238" s="718" t="s">
        <v>260</v>
      </c>
      <c r="B238" s="22">
        <v>50000</v>
      </c>
      <c r="C238" s="22"/>
      <c r="D238" s="23" t="s">
        <v>831</v>
      </c>
      <c r="E238" s="23"/>
      <c r="J238" s="719"/>
      <c r="K238" s="720"/>
    </row>
    <row r="239" spans="1:26" ht="13">
      <c r="A239" s="718" t="s">
        <v>260</v>
      </c>
      <c r="B239" s="22">
        <v>31000</v>
      </c>
      <c r="C239" s="22"/>
      <c r="D239" s="23" t="s">
        <v>831</v>
      </c>
      <c r="E239" s="23"/>
      <c r="J239" s="719"/>
      <c r="K239" s="720"/>
      <c r="U239" s="164"/>
      <c r="V239" s="164"/>
      <c r="W239" s="164"/>
      <c r="X239" s="164"/>
      <c r="Y239" s="164"/>
      <c r="Z239" s="164"/>
    </row>
    <row r="240" spans="1:26" ht="13">
      <c r="A240" s="721">
        <v>45293</v>
      </c>
      <c r="B240" s="22"/>
      <c r="C240" s="22">
        <v>63672</v>
      </c>
      <c r="D240" s="23" t="s">
        <v>956</v>
      </c>
      <c r="J240" s="719"/>
      <c r="K240" s="720"/>
    </row>
    <row r="241" spans="1:11" ht="13">
      <c r="A241" s="721">
        <v>45324</v>
      </c>
      <c r="B241" s="22">
        <v>294282.07</v>
      </c>
      <c r="C241" s="22"/>
      <c r="D241" s="23" t="s">
        <v>934</v>
      </c>
      <c r="E241" s="23" t="s">
        <v>972</v>
      </c>
      <c r="J241" s="719"/>
      <c r="K241" s="720"/>
    </row>
    <row r="242" spans="1:11" ht="13">
      <c r="A242" s="721">
        <v>45414</v>
      </c>
      <c r="B242" s="22"/>
      <c r="C242" s="22">
        <v>2348</v>
      </c>
      <c r="D242" s="23" t="s">
        <v>521</v>
      </c>
      <c r="J242" s="719"/>
      <c r="K242" s="720"/>
    </row>
    <row r="243" spans="1:11" ht="13">
      <c r="A243" s="721">
        <v>45475</v>
      </c>
      <c r="B243" s="22"/>
      <c r="C243" s="22">
        <v>7000</v>
      </c>
      <c r="D243" s="23" t="s">
        <v>909</v>
      </c>
      <c r="J243" s="719"/>
      <c r="K243" s="720"/>
    </row>
    <row r="244" spans="1:11" ht="13">
      <c r="A244" s="718" t="s">
        <v>973</v>
      </c>
      <c r="B244" s="22"/>
      <c r="C244" s="22">
        <v>73637</v>
      </c>
      <c r="D244" s="23" t="s">
        <v>502</v>
      </c>
      <c r="J244" s="719"/>
      <c r="K244" s="720"/>
    </row>
    <row r="245" spans="1:11" ht="13">
      <c r="A245" s="718" t="s">
        <v>973</v>
      </c>
      <c r="B245" s="22"/>
      <c r="C245" s="22">
        <v>3999</v>
      </c>
      <c r="D245" s="23" t="s">
        <v>927</v>
      </c>
      <c r="J245" s="719"/>
      <c r="K245" s="720"/>
    </row>
    <row r="246" spans="1:11" ht="13">
      <c r="A246" s="718" t="s">
        <v>265</v>
      </c>
      <c r="B246" s="22"/>
      <c r="C246" s="22">
        <v>802.52</v>
      </c>
      <c r="D246" s="23" t="s">
        <v>785</v>
      </c>
      <c r="J246" s="719"/>
      <c r="K246" s="720"/>
    </row>
    <row r="247" spans="1:11" ht="13">
      <c r="A247" s="718" t="s">
        <v>265</v>
      </c>
      <c r="B247" s="22"/>
      <c r="C247" s="22">
        <v>89.17</v>
      </c>
      <c r="D247" s="23" t="s">
        <v>887</v>
      </c>
      <c r="J247" s="719"/>
      <c r="K247" s="720"/>
    </row>
    <row r="248" spans="1:11" ht="13">
      <c r="A248" s="718" t="s">
        <v>265</v>
      </c>
      <c r="B248" s="22"/>
      <c r="C248" s="22">
        <v>915</v>
      </c>
      <c r="D248" s="23" t="s">
        <v>521</v>
      </c>
      <c r="J248" s="719"/>
      <c r="K248" s="720"/>
    </row>
    <row r="249" spans="1:11" ht="13">
      <c r="A249" s="721">
        <v>45294</v>
      </c>
      <c r="B249" s="22"/>
      <c r="C249" s="22">
        <v>64010</v>
      </c>
      <c r="D249" s="23" t="s">
        <v>956</v>
      </c>
      <c r="J249" s="719"/>
      <c r="K249" s="720"/>
    </row>
    <row r="250" spans="1:11" ht="13">
      <c r="A250" s="721">
        <v>45294</v>
      </c>
      <c r="B250" s="22"/>
      <c r="C250" s="22">
        <v>7000</v>
      </c>
      <c r="D250" s="23" t="s">
        <v>909</v>
      </c>
      <c r="J250" s="719"/>
      <c r="K250" s="720"/>
    </row>
    <row r="251" spans="1:11" ht="13">
      <c r="A251" s="721">
        <v>45294</v>
      </c>
      <c r="B251" s="22"/>
      <c r="C251" s="22">
        <v>8600</v>
      </c>
      <c r="D251" s="23" t="s">
        <v>964</v>
      </c>
      <c r="E251" s="23" t="s">
        <v>974</v>
      </c>
      <c r="J251" s="719"/>
      <c r="K251" s="720"/>
    </row>
    <row r="252" spans="1:11" ht="13">
      <c r="A252" s="721">
        <v>45294</v>
      </c>
      <c r="B252" s="22"/>
      <c r="C252" s="22">
        <v>75.22</v>
      </c>
      <c r="D252" s="23" t="s">
        <v>838</v>
      </c>
      <c r="J252" s="719"/>
      <c r="K252" s="720"/>
    </row>
    <row r="253" spans="1:11" ht="13">
      <c r="A253" s="718" t="s">
        <v>896</v>
      </c>
      <c r="B253" s="22">
        <v>303326.51</v>
      </c>
      <c r="C253" s="22"/>
      <c r="D253" s="23" t="s">
        <v>934</v>
      </c>
      <c r="E253" s="23" t="s">
        <v>975</v>
      </c>
      <c r="J253" s="719"/>
      <c r="K253" s="720"/>
    </row>
    <row r="254" spans="1:11" ht="13">
      <c r="A254" s="718" t="s">
        <v>976</v>
      </c>
      <c r="B254" s="22"/>
      <c r="C254" s="22">
        <v>3661</v>
      </c>
      <c r="D254" s="23" t="s">
        <v>927</v>
      </c>
      <c r="J254" s="719"/>
      <c r="K254" s="720"/>
    </row>
    <row r="255" spans="1:11" ht="13">
      <c r="A255" s="718" t="s">
        <v>977</v>
      </c>
      <c r="B255" s="22"/>
      <c r="C255" s="22">
        <v>808.95</v>
      </c>
      <c r="D255" s="23" t="s">
        <v>785</v>
      </c>
      <c r="J255" s="719"/>
      <c r="K255" s="720"/>
    </row>
    <row r="256" spans="1:11" ht="13">
      <c r="A256" s="718" t="s">
        <v>977</v>
      </c>
      <c r="B256" s="22"/>
      <c r="C256" s="22">
        <v>89.88</v>
      </c>
      <c r="D256" s="23" t="s">
        <v>887</v>
      </c>
      <c r="J256" s="719"/>
      <c r="K256" s="720"/>
    </row>
    <row r="257" spans="1:11" ht="13">
      <c r="A257" s="721">
        <v>45295</v>
      </c>
      <c r="B257" s="22"/>
      <c r="C257" s="22">
        <v>231478</v>
      </c>
      <c r="D257" s="23" t="s">
        <v>978</v>
      </c>
      <c r="J257" s="719"/>
      <c r="K257" s="720"/>
    </row>
    <row r="258" spans="1:11" ht="13">
      <c r="A258" s="721">
        <v>45295</v>
      </c>
      <c r="B258" s="22"/>
      <c r="C258" s="22">
        <v>64010</v>
      </c>
      <c r="D258" s="23" t="s">
        <v>956</v>
      </c>
      <c r="J258" s="719"/>
      <c r="K258" s="720"/>
    </row>
    <row r="259" spans="1:11" ht="13">
      <c r="A259" s="721">
        <v>45295</v>
      </c>
      <c r="B259" s="22"/>
      <c r="C259" s="22">
        <v>7000</v>
      </c>
      <c r="D259" s="23" t="s">
        <v>945</v>
      </c>
      <c r="J259" s="719"/>
      <c r="K259" s="720"/>
    </row>
    <row r="260" spans="1:11" ht="13">
      <c r="A260" s="721">
        <v>45416</v>
      </c>
      <c r="B260" s="22"/>
      <c r="C260" s="22">
        <v>915</v>
      </c>
      <c r="D260" s="23" t="s">
        <v>521</v>
      </c>
      <c r="J260" s="719"/>
      <c r="K260" s="720"/>
    </row>
    <row r="261" spans="1:11" ht="13">
      <c r="A261" s="721">
        <v>45416</v>
      </c>
      <c r="C261" s="22">
        <v>11000</v>
      </c>
      <c r="D261" s="23" t="s">
        <v>979</v>
      </c>
      <c r="J261" s="719"/>
      <c r="K261" s="720"/>
    </row>
    <row r="262" spans="1:11" ht="13">
      <c r="A262" s="721">
        <v>45416</v>
      </c>
      <c r="C262" s="22">
        <v>74.400000000000006</v>
      </c>
      <c r="D262" s="23" t="s">
        <v>838</v>
      </c>
      <c r="J262" s="719"/>
      <c r="K262" s="720"/>
    </row>
    <row r="263" spans="1:11" ht="13">
      <c r="A263" s="721">
        <v>45416</v>
      </c>
      <c r="B263" s="22">
        <v>296419.7</v>
      </c>
      <c r="C263" s="22"/>
      <c r="D263" s="23" t="s">
        <v>934</v>
      </c>
      <c r="E263" s="23" t="s">
        <v>980</v>
      </c>
      <c r="J263" s="719"/>
      <c r="K263" s="720"/>
    </row>
    <row r="264" spans="1:11" ht="13">
      <c r="A264" s="721">
        <v>45508</v>
      </c>
      <c r="B264" s="22"/>
      <c r="C264" s="22">
        <v>4000</v>
      </c>
      <c r="D264" s="23" t="s">
        <v>979</v>
      </c>
      <c r="J264" s="719"/>
      <c r="K264" s="720"/>
    </row>
    <row r="265" spans="1:11" ht="13">
      <c r="A265" s="721">
        <v>45508</v>
      </c>
      <c r="B265" s="22"/>
      <c r="C265" s="22">
        <v>74.59</v>
      </c>
      <c r="J265" s="719"/>
      <c r="K265" s="720"/>
    </row>
    <row r="266" spans="1:11" ht="13">
      <c r="A266" s="721">
        <v>45600</v>
      </c>
      <c r="B266" s="22"/>
      <c r="C266" s="22">
        <v>39808</v>
      </c>
      <c r="D266" s="23" t="s">
        <v>502</v>
      </c>
      <c r="E266" s="23" t="s">
        <v>981</v>
      </c>
      <c r="J266" s="719"/>
      <c r="K266" s="720"/>
    </row>
    <row r="267" spans="1:11" ht="13">
      <c r="A267" s="721">
        <v>45600</v>
      </c>
      <c r="B267" s="22"/>
      <c r="C267" s="22">
        <v>3661</v>
      </c>
      <c r="D267" s="23" t="s">
        <v>906</v>
      </c>
      <c r="J267" s="719"/>
      <c r="K267" s="720"/>
    </row>
    <row r="268" spans="1:11" ht="13">
      <c r="A268" s="718" t="s">
        <v>273</v>
      </c>
      <c r="B268" s="22"/>
      <c r="C268" s="22">
        <v>809.91</v>
      </c>
      <c r="D268" s="23" t="s">
        <v>785</v>
      </c>
      <c r="J268" s="719"/>
      <c r="K268" s="720"/>
    </row>
    <row r="269" spans="1:11" ht="13">
      <c r="A269" s="718" t="s">
        <v>273</v>
      </c>
      <c r="B269" s="22"/>
      <c r="C269" s="22">
        <v>89.99</v>
      </c>
      <c r="D269" s="23" t="s">
        <v>887</v>
      </c>
      <c r="J269" s="719"/>
      <c r="K269" s="720"/>
    </row>
    <row r="270" spans="1:11" ht="13">
      <c r="A270" s="721">
        <v>45327</v>
      </c>
      <c r="B270" s="22"/>
      <c r="C270" s="22">
        <v>220014</v>
      </c>
      <c r="D270" s="23" t="s">
        <v>919</v>
      </c>
      <c r="J270" s="719"/>
      <c r="K270" s="720"/>
    </row>
    <row r="271" spans="1:11" ht="13">
      <c r="A271" s="721">
        <v>45327</v>
      </c>
      <c r="B271" s="22"/>
      <c r="C271" s="22">
        <v>64010</v>
      </c>
      <c r="D271" s="23" t="s">
        <v>982</v>
      </c>
      <c r="J271" s="719"/>
      <c r="K271" s="720"/>
    </row>
    <row r="272" spans="1:11" ht="13">
      <c r="A272" s="721">
        <v>45356</v>
      </c>
      <c r="B272" s="22"/>
      <c r="C272" s="22">
        <v>915</v>
      </c>
      <c r="D272" s="23" t="s">
        <v>521</v>
      </c>
      <c r="J272" s="719"/>
      <c r="K272" s="720"/>
    </row>
    <row r="273" spans="1:11" ht="13">
      <c r="A273" s="721">
        <v>45540</v>
      </c>
      <c r="B273" s="22"/>
      <c r="C273" s="22">
        <v>7000</v>
      </c>
      <c r="D273" s="23" t="s">
        <v>945</v>
      </c>
      <c r="J273" s="719"/>
      <c r="K273" s="720"/>
    </row>
    <row r="274" spans="1:11" ht="13">
      <c r="A274" s="718" t="s">
        <v>899</v>
      </c>
      <c r="B274" s="22"/>
      <c r="C274" s="22">
        <v>72795</v>
      </c>
      <c r="D274" s="23" t="s">
        <v>502</v>
      </c>
      <c r="J274" s="719"/>
      <c r="K274" s="720"/>
    </row>
    <row r="275" spans="1:11" ht="13">
      <c r="A275" s="718" t="s">
        <v>899</v>
      </c>
      <c r="B275" s="22"/>
      <c r="C275" s="22">
        <v>3661</v>
      </c>
      <c r="D275" s="23" t="s">
        <v>906</v>
      </c>
      <c r="J275" s="719"/>
      <c r="K275" s="720"/>
    </row>
    <row r="276" spans="1:11" ht="13">
      <c r="A276" s="718" t="s">
        <v>983</v>
      </c>
      <c r="B276" s="22">
        <v>85000</v>
      </c>
      <c r="C276" s="22"/>
      <c r="D276" s="23" t="s">
        <v>831</v>
      </c>
      <c r="J276" s="719"/>
      <c r="K276" s="720"/>
    </row>
    <row r="277" spans="1:11" ht="13">
      <c r="A277" s="718" t="s">
        <v>277</v>
      </c>
      <c r="B277" s="22"/>
      <c r="C277" s="22">
        <v>814.21</v>
      </c>
      <c r="D277" s="23" t="s">
        <v>785</v>
      </c>
      <c r="J277" s="719"/>
      <c r="K277" s="720"/>
    </row>
    <row r="278" spans="1:11" ht="13">
      <c r="A278" s="718" t="s">
        <v>277</v>
      </c>
      <c r="B278" s="22"/>
      <c r="C278" s="22">
        <v>90.47</v>
      </c>
      <c r="D278" s="23" t="s">
        <v>887</v>
      </c>
      <c r="J278" s="719"/>
      <c r="K278" s="720"/>
    </row>
    <row r="279" spans="1:11" ht="13">
      <c r="A279" s="718" t="s">
        <v>277</v>
      </c>
      <c r="B279" s="22">
        <v>436975.53</v>
      </c>
      <c r="C279" s="22"/>
      <c r="D279" s="23" t="s">
        <v>934</v>
      </c>
      <c r="E279" s="23" t="s">
        <v>984</v>
      </c>
      <c r="J279" s="719"/>
      <c r="K279" s="720"/>
    </row>
    <row r="280" spans="1:11" ht="13">
      <c r="A280" s="718" t="s">
        <v>277</v>
      </c>
      <c r="B280" s="22"/>
      <c r="C280" s="22">
        <v>589.65</v>
      </c>
      <c r="D280" s="23" t="s">
        <v>838</v>
      </c>
      <c r="J280" s="719"/>
      <c r="K280" s="720"/>
    </row>
    <row r="281" spans="1:11" ht="13">
      <c r="A281" s="721">
        <v>45357</v>
      </c>
      <c r="B281" s="22"/>
      <c r="C281" s="22">
        <v>220014</v>
      </c>
      <c r="D281" s="23" t="s">
        <v>919</v>
      </c>
      <c r="J281" s="719"/>
      <c r="K281" s="720"/>
    </row>
    <row r="282" spans="1:11" ht="13">
      <c r="A282" s="721">
        <v>45357</v>
      </c>
      <c r="B282" s="22"/>
      <c r="C282" s="22">
        <v>64010</v>
      </c>
      <c r="D282" s="23" t="s">
        <v>982</v>
      </c>
      <c r="J282" s="719"/>
      <c r="K282" s="720"/>
    </row>
    <row r="283" spans="1:11" ht="13">
      <c r="A283" s="721">
        <v>45479</v>
      </c>
      <c r="B283" s="22">
        <v>391168.53</v>
      </c>
      <c r="C283" s="22"/>
      <c r="D283" s="23" t="s">
        <v>934</v>
      </c>
      <c r="E283" s="23" t="s">
        <v>985</v>
      </c>
      <c r="J283" s="719"/>
      <c r="K283" s="720"/>
    </row>
    <row r="284" spans="1:11" ht="13">
      <c r="A284" s="721">
        <v>45479</v>
      </c>
      <c r="B284" s="22"/>
      <c r="C284" s="22">
        <v>915</v>
      </c>
      <c r="D284" s="23" t="s">
        <v>521</v>
      </c>
      <c r="J284" s="719"/>
      <c r="K284" s="720"/>
    </row>
    <row r="285" spans="1:11" ht="13">
      <c r="A285" s="721">
        <v>45602</v>
      </c>
      <c r="B285" s="22"/>
      <c r="C285" s="22">
        <v>72795</v>
      </c>
      <c r="D285" s="23" t="s">
        <v>502</v>
      </c>
      <c r="J285" s="719"/>
      <c r="K285" s="720"/>
    </row>
    <row r="286" spans="1:11" ht="13">
      <c r="A286" s="721">
        <v>45602</v>
      </c>
      <c r="B286" s="22"/>
      <c r="C286" s="22">
        <v>3661</v>
      </c>
      <c r="D286" s="23" t="s">
        <v>927</v>
      </c>
      <c r="J286" s="719"/>
      <c r="K286" s="720"/>
    </row>
    <row r="287" spans="1:11" ht="13">
      <c r="A287" s="721">
        <v>45602</v>
      </c>
      <c r="B287" s="22"/>
      <c r="C287" s="22">
        <v>34182</v>
      </c>
      <c r="D287" s="23" t="s">
        <v>986</v>
      </c>
      <c r="J287" s="719"/>
      <c r="K287" s="720"/>
    </row>
    <row r="288" spans="1:11" ht="13">
      <c r="A288" s="718" t="s">
        <v>987</v>
      </c>
      <c r="B288" s="22"/>
      <c r="C288" s="22">
        <v>7000</v>
      </c>
      <c r="D288" s="23" t="s">
        <v>852</v>
      </c>
      <c r="J288" s="719"/>
      <c r="K288" s="720"/>
    </row>
    <row r="289" spans="1:11" ht="13">
      <c r="A289" s="718" t="s">
        <v>988</v>
      </c>
      <c r="B289" s="22"/>
      <c r="C289" s="22">
        <v>60975</v>
      </c>
      <c r="D289" s="23" t="s">
        <v>512</v>
      </c>
      <c r="E289" s="23" t="s">
        <v>85</v>
      </c>
      <c r="J289" s="719"/>
      <c r="K289" s="720"/>
    </row>
    <row r="290" spans="1:11" ht="13">
      <c r="A290" s="718" t="s">
        <v>283</v>
      </c>
      <c r="B290" s="22"/>
      <c r="C290" s="22">
        <v>817.75</v>
      </c>
      <c r="D290" s="23" t="s">
        <v>785</v>
      </c>
      <c r="J290" s="719"/>
      <c r="K290" s="720"/>
    </row>
    <row r="291" spans="1:11" ht="13">
      <c r="A291" s="718" t="s">
        <v>283</v>
      </c>
      <c r="B291" s="22"/>
      <c r="C291" s="22">
        <v>90.86</v>
      </c>
      <c r="D291" s="23" t="s">
        <v>887</v>
      </c>
      <c r="J291" s="719"/>
      <c r="K291" s="720"/>
    </row>
    <row r="292" spans="1:11" ht="13">
      <c r="A292" s="718" t="s">
        <v>283</v>
      </c>
      <c r="B292" s="22"/>
      <c r="C292" s="22">
        <v>220014</v>
      </c>
      <c r="D292" s="23" t="s">
        <v>869</v>
      </c>
      <c r="J292" s="719"/>
      <c r="K292" s="720"/>
    </row>
    <row r="293" spans="1:11" ht="13">
      <c r="A293" s="718" t="s">
        <v>283</v>
      </c>
      <c r="B293" s="22"/>
      <c r="C293" s="22">
        <v>63384</v>
      </c>
      <c r="D293" s="23" t="s">
        <v>982</v>
      </c>
      <c r="E293" s="23" t="s">
        <v>989</v>
      </c>
      <c r="J293" s="719"/>
      <c r="K293" s="720"/>
    </row>
    <row r="294" spans="1:11" ht="13">
      <c r="A294" s="718" t="s">
        <v>283</v>
      </c>
      <c r="C294" s="22">
        <v>915</v>
      </c>
      <c r="D294" s="23" t="s">
        <v>521</v>
      </c>
      <c r="J294" s="719"/>
      <c r="K294" s="720"/>
    </row>
    <row r="295" spans="1:11" ht="13">
      <c r="A295" s="721">
        <v>45633</v>
      </c>
      <c r="B295" s="22">
        <v>433066.63</v>
      </c>
      <c r="C295" s="22"/>
      <c r="D295" s="23" t="s">
        <v>934</v>
      </c>
      <c r="E295" s="23" t="s">
        <v>990</v>
      </c>
      <c r="J295" s="719"/>
      <c r="K295" s="720"/>
    </row>
    <row r="296" spans="1:11" ht="13">
      <c r="A296" s="721">
        <v>45633</v>
      </c>
      <c r="C296" s="22">
        <v>611.4</v>
      </c>
      <c r="D296" s="23" t="s">
        <v>838</v>
      </c>
      <c r="J296" s="719"/>
      <c r="K296" s="720"/>
    </row>
    <row r="297" spans="1:11" ht="13">
      <c r="A297" s="718" t="s">
        <v>903</v>
      </c>
      <c r="C297" s="22">
        <v>7000</v>
      </c>
      <c r="D297" s="23" t="s">
        <v>852</v>
      </c>
      <c r="J297" s="719"/>
      <c r="K297" s="720"/>
    </row>
    <row r="298" spans="1:11" ht="13">
      <c r="A298" s="718" t="s">
        <v>991</v>
      </c>
      <c r="B298" s="22"/>
      <c r="C298" s="22">
        <v>8814</v>
      </c>
      <c r="D298" s="23" t="s">
        <v>992</v>
      </c>
      <c r="J298" s="719"/>
      <c r="K298" s="720"/>
    </row>
    <row r="299" spans="1:11" ht="13">
      <c r="A299" s="718" t="s">
        <v>991</v>
      </c>
      <c r="B299" s="22"/>
      <c r="C299" s="22">
        <v>77.819999999999993</v>
      </c>
      <c r="D299" s="23" t="s">
        <v>838</v>
      </c>
      <c r="J299" s="719"/>
      <c r="K299" s="720"/>
    </row>
    <row r="300" spans="1:11" ht="13">
      <c r="A300" s="718" t="s">
        <v>993</v>
      </c>
      <c r="B300" s="22"/>
      <c r="C300" s="22">
        <v>190825</v>
      </c>
      <c r="D300" s="23" t="s">
        <v>512</v>
      </c>
      <c r="J300" s="719"/>
      <c r="K300" s="720"/>
    </row>
    <row r="301" spans="1:11" ht="13">
      <c r="A301" s="718" t="s">
        <v>290</v>
      </c>
      <c r="B301" s="22"/>
      <c r="C301" s="22">
        <v>820.76</v>
      </c>
      <c r="D301" s="23" t="s">
        <v>785</v>
      </c>
      <c r="J301" s="719"/>
      <c r="K301" s="720"/>
    </row>
    <row r="302" spans="1:11" ht="13">
      <c r="A302" s="718" t="s">
        <v>290</v>
      </c>
      <c r="B302" s="43"/>
      <c r="C302" s="22">
        <v>91.2</v>
      </c>
      <c r="D302" s="23" t="s">
        <v>887</v>
      </c>
      <c r="J302" s="719"/>
      <c r="K302" s="720"/>
    </row>
    <row r="303" spans="1:11" ht="13">
      <c r="A303" s="721">
        <v>45299</v>
      </c>
      <c r="B303" s="22"/>
      <c r="C303" s="22">
        <v>64010</v>
      </c>
      <c r="D303" s="23" t="s">
        <v>956</v>
      </c>
      <c r="J303" s="719"/>
      <c r="K303" s="720"/>
    </row>
    <row r="304" spans="1:11" ht="13">
      <c r="A304" s="721">
        <v>45299</v>
      </c>
      <c r="B304" s="22"/>
      <c r="C304" s="22">
        <v>220014</v>
      </c>
      <c r="D304" s="23" t="s">
        <v>869</v>
      </c>
      <c r="J304" s="719"/>
      <c r="K304" s="720"/>
    </row>
    <row r="305" spans="1:11" ht="13">
      <c r="A305" s="721">
        <v>45330</v>
      </c>
      <c r="B305" s="22">
        <v>328733.75</v>
      </c>
      <c r="C305" s="22"/>
      <c r="D305" s="23" t="s">
        <v>934</v>
      </c>
      <c r="E305" s="23" t="s">
        <v>994</v>
      </c>
      <c r="J305" s="719"/>
      <c r="K305" s="720"/>
    </row>
    <row r="306" spans="1:11" ht="13">
      <c r="A306" s="721">
        <v>45420</v>
      </c>
      <c r="B306" s="22"/>
      <c r="C306" s="22">
        <v>1369</v>
      </c>
      <c r="D306" s="23" t="s">
        <v>521</v>
      </c>
      <c r="J306" s="719"/>
      <c r="K306" s="720"/>
    </row>
    <row r="307" spans="1:11" ht="13">
      <c r="A307" s="721">
        <v>45512</v>
      </c>
      <c r="B307" s="22"/>
      <c r="C307" s="22">
        <v>7000</v>
      </c>
      <c r="D307" s="23" t="s">
        <v>852</v>
      </c>
      <c r="J307" s="719"/>
      <c r="K307" s="720"/>
    </row>
    <row r="308" spans="1:11" ht="13">
      <c r="A308" s="718" t="s">
        <v>995</v>
      </c>
      <c r="B308" s="22"/>
      <c r="C308" s="22">
        <v>3661</v>
      </c>
      <c r="D308" s="23" t="s">
        <v>927</v>
      </c>
      <c r="J308" s="719"/>
      <c r="K308" s="720"/>
    </row>
    <row r="309" spans="1:11" ht="13">
      <c r="A309" s="718" t="s">
        <v>995</v>
      </c>
      <c r="B309" s="22"/>
      <c r="C309" s="22">
        <v>73045</v>
      </c>
      <c r="D309" s="23" t="s">
        <v>502</v>
      </c>
      <c r="J309" s="719"/>
      <c r="K309" s="720"/>
    </row>
    <row r="310" spans="1:11" ht="13">
      <c r="A310" s="718" t="s">
        <v>996</v>
      </c>
      <c r="B310" s="22"/>
      <c r="C310" s="22">
        <v>120615</v>
      </c>
      <c r="D310" s="23" t="s">
        <v>997</v>
      </c>
      <c r="J310" s="719"/>
      <c r="K310" s="720"/>
    </row>
    <row r="311" spans="1:11" ht="13">
      <c r="A311" s="718" t="s">
        <v>998</v>
      </c>
      <c r="B311" s="22">
        <v>68420</v>
      </c>
      <c r="C311" s="22"/>
      <c r="D311" s="23" t="s">
        <v>831</v>
      </c>
      <c r="J311" s="719"/>
      <c r="K311" s="720"/>
    </row>
    <row r="312" spans="1:11" ht="13">
      <c r="A312" s="718" t="s">
        <v>999</v>
      </c>
      <c r="B312" s="22"/>
      <c r="C312" s="22">
        <v>821.99</v>
      </c>
      <c r="D312" s="23" t="s">
        <v>785</v>
      </c>
      <c r="J312" s="719"/>
      <c r="K312" s="720"/>
    </row>
    <row r="313" spans="1:11" ht="13">
      <c r="A313" s="718" t="s">
        <v>999</v>
      </c>
      <c r="B313" s="22"/>
      <c r="C313" s="22">
        <v>91.33</v>
      </c>
      <c r="D313" s="23" t="s">
        <v>887</v>
      </c>
      <c r="J313" s="719"/>
      <c r="K313" s="720"/>
    </row>
    <row r="314" spans="1:11" ht="13">
      <c r="A314" s="721">
        <v>45331</v>
      </c>
      <c r="B314" s="22"/>
      <c r="C314" s="22">
        <v>68640</v>
      </c>
      <c r="D314" s="23" t="s">
        <v>956</v>
      </c>
      <c r="J314" s="719"/>
      <c r="K314" s="720"/>
    </row>
    <row r="315" spans="1:11" ht="13">
      <c r="A315" s="721">
        <v>45331</v>
      </c>
      <c r="B315" s="22"/>
      <c r="C315" s="22">
        <v>218246</v>
      </c>
      <c r="D315" s="23" t="s">
        <v>869</v>
      </c>
      <c r="J315" s="719"/>
      <c r="K315" s="720"/>
    </row>
    <row r="316" spans="1:11" ht="13">
      <c r="A316" s="721">
        <v>45331</v>
      </c>
      <c r="B316" s="22"/>
      <c r="C316" s="22">
        <v>915</v>
      </c>
      <c r="D316" s="23" t="s">
        <v>521</v>
      </c>
      <c r="J316" s="719"/>
      <c r="K316" s="720"/>
    </row>
    <row r="317" spans="1:11" ht="13">
      <c r="A317" s="721">
        <v>45331</v>
      </c>
      <c r="B317" s="22"/>
      <c r="C317" s="22">
        <v>7000</v>
      </c>
      <c r="D317" s="23" t="s">
        <v>852</v>
      </c>
      <c r="J317" s="719"/>
      <c r="K317" s="720"/>
    </row>
    <row r="318" spans="1:11" ht="13">
      <c r="A318" s="721">
        <v>45605</v>
      </c>
      <c r="B318" s="22">
        <v>84918</v>
      </c>
      <c r="D318" s="23" t="s">
        <v>831</v>
      </c>
      <c r="J318" s="719"/>
      <c r="K318" s="720"/>
    </row>
    <row r="319" spans="1:11" ht="13">
      <c r="A319" s="721">
        <v>45635</v>
      </c>
      <c r="C319" s="22">
        <v>78181</v>
      </c>
      <c r="D319" s="23" t="s">
        <v>502</v>
      </c>
      <c r="J319" s="719"/>
      <c r="K319" s="720"/>
    </row>
    <row r="320" spans="1:11" ht="13">
      <c r="A320" s="721">
        <v>45635</v>
      </c>
      <c r="B320" s="22"/>
      <c r="C320" s="22">
        <v>4619</v>
      </c>
      <c r="D320" s="23" t="s">
        <v>927</v>
      </c>
      <c r="J320" s="719"/>
      <c r="K320" s="720"/>
    </row>
    <row r="321" spans="1:11" ht="13">
      <c r="A321" s="718" t="s">
        <v>905</v>
      </c>
      <c r="B321" s="22">
        <v>335342.32</v>
      </c>
      <c r="C321" s="22"/>
      <c r="D321" s="23" t="s">
        <v>934</v>
      </c>
      <c r="E321" s="23" t="s">
        <v>1000</v>
      </c>
      <c r="J321" s="719"/>
      <c r="K321" s="720"/>
    </row>
    <row r="322" spans="1:11" ht="13">
      <c r="A322" s="718" t="s">
        <v>1001</v>
      </c>
      <c r="B322" s="22"/>
      <c r="C322" s="22">
        <v>87359</v>
      </c>
      <c r="D322" s="23" t="s">
        <v>512</v>
      </c>
      <c r="J322" s="719"/>
      <c r="K322" s="720"/>
    </row>
    <row r="323" spans="1:11" ht="13">
      <c r="A323" s="718" t="s">
        <v>1002</v>
      </c>
      <c r="B323" s="22">
        <v>47000</v>
      </c>
      <c r="C323" s="22"/>
      <c r="D323" s="23" t="s">
        <v>831</v>
      </c>
      <c r="J323" s="719"/>
      <c r="K323" s="720"/>
    </row>
    <row r="324" spans="1:11" ht="13">
      <c r="A324" s="718" t="s">
        <v>304</v>
      </c>
      <c r="B324" s="22"/>
      <c r="C324" s="22">
        <v>824.12</v>
      </c>
      <c r="D324" s="23" t="s">
        <v>785</v>
      </c>
      <c r="J324" s="719"/>
      <c r="K324" s="720"/>
    </row>
    <row r="325" spans="1:11" ht="13">
      <c r="A325" s="718" t="s">
        <v>304</v>
      </c>
      <c r="B325" s="22"/>
      <c r="C325" s="22">
        <v>91.57</v>
      </c>
      <c r="D325" s="23" t="s">
        <v>887</v>
      </c>
      <c r="J325" s="719"/>
      <c r="K325" s="720"/>
    </row>
    <row r="326" spans="1:11" ht="13">
      <c r="A326" s="718" t="s">
        <v>304</v>
      </c>
      <c r="B326" s="22"/>
      <c r="C326" s="22">
        <v>991</v>
      </c>
      <c r="D326" s="23" t="s">
        <v>521</v>
      </c>
      <c r="J326" s="719"/>
      <c r="K326" s="720"/>
    </row>
    <row r="327" spans="1:11" ht="13">
      <c r="A327" s="721">
        <v>45301</v>
      </c>
      <c r="B327" s="22"/>
      <c r="C327" s="22">
        <v>66325</v>
      </c>
      <c r="D327" s="23" t="s">
        <v>956</v>
      </c>
      <c r="J327" s="719"/>
      <c r="K327" s="720"/>
    </row>
    <row r="328" spans="1:11" ht="13">
      <c r="A328" s="721">
        <v>45301</v>
      </c>
      <c r="B328" s="22"/>
      <c r="C328" s="22">
        <v>220014</v>
      </c>
      <c r="D328" s="23" t="s">
        <v>869</v>
      </c>
      <c r="J328" s="719"/>
      <c r="K328" s="720"/>
    </row>
    <row r="329" spans="1:11" ht="13">
      <c r="A329" s="721">
        <v>45301</v>
      </c>
      <c r="B329" s="22"/>
      <c r="C329" s="22">
        <v>7000</v>
      </c>
      <c r="D329" s="23" t="s">
        <v>852</v>
      </c>
      <c r="J329" s="719"/>
      <c r="K329" s="720"/>
    </row>
    <row r="330" spans="1:11" ht="13">
      <c r="A330" s="727">
        <v>45361</v>
      </c>
      <c r="B330" s="22">
        <v>333451.51</v>
      </c>
      <c r="C330" s="22"/>
      <c r="D330" s="23" t="s">
        <v>934</v>
      </c>
      <c r="E330" s="23" t="s">
        <v>1003</v>
      </c>
      <c r="J330" s="719"/>
      <c r="K330" s="720"/>
    </row>
    <row r="331" spans="1:11" ht="13">
      <c r="A331" s="726">
        <v>45575</v>
      </c>
      <c r="B331" s="22"/>
      <c r="C331" s="22">
        <v>4760</v>
      </c>
      <c r="D331" s="23" t="s">
        <v>1004</v>
      </c>
      <c r="J331" s="719"/>
      <c r="K331" s="720"/>
    </row>
    <row r="332" spans="1:11" ht="13">
      <c r="A332" s="718" t="s">
        <v>1005</v>
      </c>
      <c r="B332" s="22"/>
      <c r="C332" s="22">
        <v>75488</v>
      </c>
      <c r="D332" s="23" t="s">
        <v>502</v>
      </c>
      <c r="J332" s="719"/>
      <c r="K332" s="720"/>
    </row>
    <row r="333" spans="1:11" ht="13">
      <c r="A333" s="718" t="s">
        <v>1005</v>
      </c>
      <c r="B333" s="22"/>
      <c r="C333" s="22">
        <v>4140</v>
      </c>
      <c r="D333" s="23" t="s">
        <v>927</v>
      </c>
      <c r="J333" s="719"/>
      <c r="K333" s="720"/>
    </row>
    <row r="334" spans="1:11" ht="13">
      <c r="A334" s="718" t="s">
        <v>1005</v>
      </c>
      <c r="B334" s="22"/>
      <c r="C334" s="22">
        <v>2620</v>
      </c>
      <c r="D334" s="23" t="s">
        <v>1006</v>
      </c>
      <c r="J334" s="719"/>
      <c r="K334" s="720"/>
    </row>
    <row r="335" spans="1:11" ht="13">
      <c r="A335" s="718" t="s">
        <v>1007</v>
      </c>
      <c r="B335" s="22"/>
      <c r="C335" s="22">
        <v>119659</v>
      </c>
      <c r="D335" s="23" t="s">
        <v>512</v>
      </c>
      <c r="J335" s="719"/>
      <c r="K335" s="720"/>
    </row>
    <row r="336" spans="1:11" ht="13">
      <c r="A336" s="718" t="s">
        <v>1008</v>
      </c>
      <c r="B336" s="22">
        <v>204920</v>
      </c>
      <c r="C336" s="22"/>
      <c r="D336" s="23" t="s">
        <v>831</v>
      </c>
      <c r="J336" s="719"/>
      <c r="K336" s="720"/>
    </row>
    <row r="337" spans="1:11" ht="13">
      <c r="A337" s="718" t="s">
        <v>310</v>
      </c>
      <c r="B337" s="22"/>
      <c r="C337" s="22">
        <v>827.08</v>
      </c>
      <c r="D337" s="23" t="s">
        <v>785</v>
      </c>
      <c r="J337" s="719"/>
      <c r="K337" s="720"/>
    </row>
    <row r="338" spans="1:11" ht="13">
      <c r="A338" s="718" t="s">
        <v>310</v>
      </c>
      <c r="B338" s="22"/>
      <c r="C338" s="22">
        <v>91.9</v>
      </c>
      <c r="D338" s="23" t="s">
        <v>887</v>
      </c>
      <c r="J338" s="719"/>
      <c r="K338" s="720"/>
    </row>
    <row r="339" spans="1:11" ht="13">
      <c r="A339" s="721">
        <v>45302</v>
      </c>
      <c r="B339" s="22"/>
      <c r="C339" s="22">
        <v>220014</v>
      </c>
      <c r="D339" s="23" t="s">
        <v>869</v>
      </c>
      <c r="J339" s="719"/>
      <c r="K339" s="720"/>
    </row>
    <row r="340" spans="1:11" ht="13">
      <c r="A340" s="721">
        <v>45302</v>
      </c>
      <c r="B340" s="22"/>
      <c r="C340" s="22">
        <v>66325</v>
      </c>
      <c r="D340" s="23" t="s">
        <v>956</v>
      </c>
      <c r="J340" s="719"/>
      <c r="K340" s="720"/>
    </row>
    <row r="341" spans="1:11" ht="13">
      <c r="A341" s="721">
        <v>45302</v>
      </c>
      <c r="B341" s="22"/>
      <c r="C341" s="22">
        <v>7000</v>
      </c>
      <c r="D341" s="23" t="s">
        <v>852</v>
      </c>
      <c r="J341" s="719"/>
      <c r="K341" s="720"/>
    </row>
    <row r="342" spans="1:11" ht="13">
      <c r="A342" s="721">
        <v>45302</v>
      </c>
      <c r="B342" s="22"/>
      <c r="C342" s="22">
        <v>953</v>
      </c>
      <c r="D342" s="23" t="s">
        <v>521</v>
      </c>
      <c r="J342" s="719"/>
      <c r="K342" s="720"/>
    </row>
    <row r="343" spans="1:11" ht="13">
      <c r="A343" s="718" t="s">
        <v>1009</v>
      </c>
      <c r="B343" s="22">
        <v>200000</v>
      </c>
      <c r="C343" s="22"/>
      <c r="D343" s="23" t="s">
        <v>831</v>
      </c>
      <c r="J343" s="719"/>
      <c r="K343" s="720"/>
    </row>
    <row r="344" spans="1:11" ht="13">
      <c r="A344" s="718" t="s">
        <v>1009</v>
      </c>
      <c r="B344" s="22">
        <v>96000</v>
      </c>
      <c r="C344" s="22"/>
      <c r="D344" s="23" t="s">
        <v>831</v>
      </c>
      <c r="J344" s="719"/>
      <c r="K344" s="720"/>
    </row>
    <row r="345" spans="1:11" ht="13">
      <c r="A345" s="718" t="s">
        <v>1010</v>
      </c>
      <c r="B345" s="22"/>
      <c r="C345" s="22">
        <v>829.86</v>
      </c>
      <c r="D345" s="23" t="s">
        <v>785</v>
      </c>
      <c r="J345" s="719"/>
      <c r="K345" s="720"/>
    </row>
    <row r="346" spans="1:11" ht="13">
      <c r="A346" s="718" t="s">
        <v>1010</v>
      </c>
      <c r="B346" s="22"/>
      <c r="C346" s="22">
        <v>92.21</v>
      </c>
      <c r="D346" s="23" t="s">
        <v>887</v>
      </c>
      <c r="J346" s="719"/>
      <c r="K346" s="720"/>
    </row>
    <row r="347" spans="1:11" ht="13">
      <c r="A347" s="718" t="s">
        <v>1010</v>
      </c>
      <c r="B347" s="22">
        <v>420518.91</v>
      </c>
      <c r="C347" s="22"/>
      <c r="D347" s="23" t="s">
        <v>934</v>
      </c>
      <c r="E347" s="23" t="s">
        <v>1011</v>
      </c>
      <c r="J347" s="719"/>
      <c r="K347" s="720"/>
    </row>
    <row r="348" spans="1:11" ht="13">
      <c r="A348" s="721">
        <v>45334</v>
      </c>
      <c r="B348" s="22"/>
      <c r="C348" s="22">
        <v>220014</v>
      </c>
      <c r="D348" s="23" t="s">
        <v>919</v>
      </c>
      <c r="J348" s="719"/>
      <c r="K348" s="720"/>
    </row>
    <row r="349" spans="1:11" ht="13">
      <c r="A349" s="721">
        <v>45334</v>
      </c>
      <c r="B349" s="22"/>
      <c r="C349" s="22">
        <v>66325</v>
      </c>
      <c r="D349" s="23" t="s">
        <v>956</v>
      </c>
      <c r="J349" s="719"/>
      <c r="K349" s="720"/>
    </row>
    <row r="350" spans="1:11" ht="13">
      <c r="A350" s="721">
        <v>45334</v>
      </c>
      <c r="B350" s="22"/>
      <c r="C350" s="22">
        <v>35653</v>
      </c>
      <c r="D350" s="23" t="s">
        <v>986</v>
      </c>
      <c r="J350" s="719"/>
      <c r="K350" s="720"/>
    </row>
    <row r="351" spans="1:11" ht="13">
      <c r="A351" s="721">
        <v>45424</v>
      </c>
      <c r="B351" s="22"/>
      <c r="C351" s="22">
        <v>953</v>
      </c>
      <c r="D351" s="23" t="s">
        <v>1012</v>
      </c>
      <c r="J351" s="719"/>
      <c r="K351" s="720"/>
    </row>
    <row r="352" spans="1:11" ht="13">
      <c r="A352" s="726">
        <v>45424</v>
      </c>
      <c r="B352" s="22"/>
      <c r="C352" s="22">
        <v>7000</v>
      </c>
      <c r="D352" s="23" t="s">
        <v>852</v>
      </c>
      <c r="J352" s="719"/>
      <c r="K352" s="720"/>
    </row>
    <row r="353" spans="1:11" ht="13">
      <c r="A353" s="726">
        <v>45608</v>
      </c>
      <c r="B353" s="22"/>
      <c r="C353" s="22">
        <v>3119</v>
      </c>
      <c r="D353" s="23" t="s">
        <v>1013</v>
      </c>
      <c r="J353" s="719"/>
      <c r="K353" s="720"/>
    </row>
    <row r="354" spans="1:11" ht="13">
      <c r="A354" s="718" t="s">
        <v>910</v>
      </c>
      <c r="B354" s="22"/>
      <c r="C354" s="22">
        <v>75488</v>
      </c>
      <c r="D354" s="23" t="s">
        <v>502</v>
      </c>
      <c r="J354" s="719"/>
      <c r="K354" s="720"/>
    </row>
    <row r="355" spans="1:11" ht="13">
      <c r="A355" s="718" t="s">
        <v>910</v>
      </c>
      <c r="B355" s="22"/>
      <c r="C355" s="22">
        <v>4140</v>
      </c>
      <c r="D355" s="23" t="s">
        <v>927</v>
      </c>
      <c r="J355" s="719"/>
      <c r="K355" s="720"/>
    </row>
    <row r="356" spans="1:11" ht="13">
      <c r="A356" s="718" t="s">
        <v>1014</v>
      </c>
      <c r="B356" s="22"/>
      <c r="C356" s="22">
        <v>13318</v>
      </c>
      <c r="D356" s="23" t="s">
        <v>968</v>
      </c>
      <c r="J356" s="719"/>
      <c r="K356" s="720"/>
    </row>
    <row r="357" spans="1:11" ht="13">
      <c r="A357" s="718" t="s">
        <v>62</v>
      </c>
      <c r="B357" s="22"/>
      <c r="C357" s="22">
        <v>220014</v>
      </c>
      <c r="D357" s="23" t="s">
        <v>919</v>
      </c>
      <c r="J357" s="719"/>
      <c r="K357" s="720"/>
    </row>
    <row r="358" spans="1:11" ht="13">
      <c r="A358" s="718" t="s">
        <v>62</v>
      </c>
      <c r="B358" s="22"/>
      <c r="C358" s="22">
        <v>62636</v>
      </c>
      <c r="D358" s="23" t="s">
        <v>956</v>
      </c>
      <c r="J358" s="719"/>
      <c r="K358" s="720"/>
    </row>
    <row r="359" spans="1:11" ht="13">
      <c r="A359" s="718" t="s">
        <v>62</v>
      </c>
      <c r="B359" s="22"/>
      <c r="C359" s="22">
        <v>7000</v>
      </c>
      <c r="D359" s="23" t="s">
        <v>852</v>
      </c>
      <c r="J359" s="719"/>
      <c r="K359" s="720"/>
    </row>
    <row r="360" spans="1:11" ht="13">
      <c r="A360" s="718" t="s">
        <v>62</v>
      </c>
      <c r="B360" s="22"/>
      <c r="C360" s="22">
        <v>953</v>
      </c>
      <c r="D360" s="23" t="s">
        <v>521</v>
      </c>
      <c r="J360" s="719"/>
      <c r="K360" s="720"/>
    </row>
    <row r="361" spans="1:11" ht="13">
      <c r="A361" s="718" t="s">
        <v>62</v>
      </c>
      <c r="B361" s="22"/>
      <c r="C361" s="22">
        <v>20500</v>
      </c>
      <c r="D361" s="23" t="s">
        <v>1015</v>
      </c>
      <c r="J361" s="719"/>
      <c r="K361" s="720"/>
    </row>
    <row r="362" spans="1:11" ht="13">
      <c r="A362" s="718" t="s">
        <v>328</v>
      </c>
      <c r="B362" s="718"/>
      <c r="C362" s="22">
        <v>20500</v>
      </c>
      <c r="D362" s="23" t="s">
        <v>1016</v>
      </c>
      <c r="J362" s="719"/>
      <c r="K362" s="720"/>
    </row>
    <row r="363" spans="1:11" ht="13">
      <c r="A363" s="718" t="s">
        <v>328</v>
      </c>
      <c r="B363" s="22"/>
      <c r="C363" s="22">
        <v>41.21</v>
      </c>
      <c r="D363" s="23" t="s">
        <v>838</v>
      </c>
      <c r="J363" s="719"/>
      <c r="K363" s="720"/>
    </row>
    <row r="364" spans="1:11" ht="13">
      <c r="A364" s="718" t="s">
        <v>328</v>
      </c>
      <c r="B364" s="22"/>
      <c r="C364" s="22">
        <v>832.81</v>
      </c>
      <c r="D364" s="23" t="s">
        <v>785</v>
      </c>
      <c r="E364" s="23"/>
      <c r="J364" s="719"/>
      <c r="K364" s="720"/>
    </row>
    <row r="365" spans="1:11" ht="13">
      <c r="A365" s="718" t="s">
        <v>328</v>
      </c>
      <c r="B365" s="22"/>
      <c r="C365" s="22">
        <v>92.54</v>
      </c>
      <c r="D365" s="23" t="s">
        <v>887</v>
      </c>
      <c r="E365" s="23"/>
      <c r="J365" s="719"/>
      <c r="K365" s="720"/>
    </row>
    <row r="366" spans="1:11" ht="13">
      <c r="A366" s="721">
        <v>45717</v>
      </c>
      <c r="B366" s="22">
        <v>553024.72</v>
      </c>
      <c r="C366" s="22"/>
      <c r="D366" s="23" t="s">
        <v>934</v>
      </c>
      <c r="E366" s="23" t="s">
        <v>1017</v>
      </c>
      <c r="J366" s="719"/>
      <c r="K366" s="720"/>
    </row>
    <row r="367" spans="1:11" ht="13">
      <c r="A367" s="721">
        <v>45717</v>
      </c>
      <c r="B367" s="22"/>
      <c r="C367" s="22">
        <v>667.65</v>
      </c>
      <c r="D367" s="23" t="s">
        <v>838</v>
      </c>
      <c r="J367" s="719"/>
      <c r="K367" s="720"/>
    </row>
    <row r="368" spans="1:11" ht="13">
      <c r="A368" s="721">
        <v>45839</v>
      </c>
      <c r="B368" s="22"/>
      <c r="C368" s="22">
        <v>9200</v>
      </c>
      <c r="D368" s="23" t="s">
        <v>1018</v>
      </c>
      <c r="J368" s="719"/>
      <c r="K368" s="720"/>
    </row>
    <row r="369" spans="1:11" ht="13">
      <c r="A369" s="721">
        <v>45839</v>
      </c>
      <c r="B369" s="22"/>
      <c r="C369" s="22">
        <v>84.38</v>
      </c>
      <c r="D369" s="23" t="s">
        <v>838</v>
      </c>
      <c r="J369" s="719"/>
      <c r="K369" s="720"/>
    </row>
    <row r="370" spans="1:11" ht="13">
      <c r="A370" s="718" t="s">
        <v>913</v>
      </c>
      <c r="B370" s="22"/>
      <c r="C370" s="22">
        <v>84140</v>
      </c>
      <c r="D370" s="23" t="s">
        <v>502</v>
      </c>
      <c r="J370" s="719"/>
      <c r="K370" s="720"/>
    </row>
    <row r="371" spans="1:11" ht="13">
      <c r="A371" s="718" t="s">
        <v>913</v>
      </c>
      <c r="B371" s="22"/>
      <c r="C371" s="22">
        <v>7178</v>
      </c>
      <c r="D371" s="23" t="s">
        <v>927</v>
      </c>
      <c r="J371" s="719"/>
      <c r="K371" s="720"/>
    </row>
    <row r="372" spans="1:11" ht="13">
      <c r="A372" s="718" t="s">
        <v>335</v>
      </c>
      <c r="B372" s="22"/>
      <c r="C372" s="22">
        <v>835.66</v>
      </c>
      <c r="D372" s="23" t="s">
        <v>785</v>
      </c>
      <c r="J372" s="719"/>
      <c r="K372" s="720"/>
    </row>
    <row r="373" spans="1:11" ht="13">
      <c r="A373" s="718" t="s">
        <v>335</v>
      </c>
      <c r="B373" s="22"/>
      <c r="C373" s="22">
        <v>92.85</v>
      </c>
      <c r="D373" s="23" t="s">
        <v>887</v>
      </c>
      <c r="J373" s="719"/>
      <c r="K373" s="720"/>
    </row>
    <row r="374" spans="1:11" ht="13">
      <c r="A374" s="718" t="s">
        <v>335</v>
      </c>
      <c r="B374" s="22">
        <v>86500</v>
      </c>
      <c r="C374" s="22"/>
      <c r="D374" s="23" t="s">
        <v>831</v>
      </c>
      <c r="J374" s="719"/>
      <c r="K374" s="720"/>
    </row>
    <row r="375" spans="1:11" ht="13">
      <c r="A375" s="718" t="s">
        <v>335</v>
      </c>
      <c r="B375" s="22">
        <v>278243.18</v>
      </c>
      <c r="C375" s="22"/>
      <c r="D375" s="23" t="s">
        <v>934</v>
      </c>
      <c r="E375" s="23" t="s">
        <v>1019</v>
      </c>
      <c r="J375" s="719"/>
      <c r="K375" s="720"/>
    </row>
    <row r="376" spans="1:11" ht="13">
      <c r="A376" s="721">
        <v>45718</v>
      </c>
      <c r="B376" s="22"/>
      <c r="C376" s="22">
        <v>69773</v>
      </c>
      <c r="D376" s="23" t="s">
        <v>956</v>
      </c>
      <c r="J376" s="719"/>
      <c r="K376" s="720"/>
    </row>
    <row r="377" spans="1:11" ht="13">
      <c r="A377" s="721">
        <v>45718</v>
      </c>
      <c r="B377" s="22"/>
      <c r="C377" s="22">
        <v>232093</v>
      </c>
      <c r="D377" s="23" t="s">
        <v>919</v>
      </c>
      <c r="J377" s="719"/>
      <c r="K377" s="720"/>
    </row>
    <row r="378" spans="1:11" ht="13">
      <c r="A378" s="721">
        <v>45718</v>
      </c>
      <c r="B378" s="22"/>
      <c r="C378" s="22">
        <v>232093</v>
      </c>
      <c r="D378" s="23" t="s">
        <v>1020</v>
      </c>
      <c r="J378" s="719"/>
      <c r="K378" s="720"/>
    </row>
    <row r="379" spans="1:11" ht="13">
      <c r="A379" s="721">
        <v>45718</v>
      </c>
      <c r="B379" s="22"/>
      <c r="C379" s="22">
        <v>43.3</v>
      </c>
      <c r="D379" s="23" t="s">
        <v>838</v>
      </c>
      <c r="J379" s="719"/>
      <c r="K379" s="720"/>
    </row>
    <row r="380" spans="1:11" ht="13">
      <c r="A380" s="721">
        <v>45718</v>
      </c>
      <c r="B380" s="22"/>
      <c r="C380" s="22">
        <v>7000</v>
      </c>
      <c r="D380" s="23" t="s">
        <v>852</v>
      </c>
      <c r="J380" s="719"/>
      <c r="K380" s="720"/>
    </row>
    <row r="381" spans="1:11" ht="13">
      <c r="A381" s="721">
        <v>45718</v>
      </c>
      <c r="B381" s="22"/>
      <c r="C381" s="22">
        <v>1427</v>
      </c>
      <c r="D381" s="23" t="s">
        <v>521</v>
      </c>
      <c r="J381" s="719"/>
      <c r="K381" s="720"/>
    </row>
    <row r="382" spans="1:11" ht="13">
      <c r="A382" s="721">
        <v>45993</v>
      </c>
      <c r="B382" s="22"/>
      <c r="C382" s="22">
        <v>79372</v>
      </c>
      <c r="D382" s="23" t="s">
        <v>502</v>
      </c>
      <c r="J382" s="719"/>
      <c r="K382" s="720"/>
    </row>
    <row r="383" spans="1:11" ht="13">
      <c r="A383" s="721">
        <v>45993</v>
      </c>
      <c r="B383" s="22"/>
      <c r="C383" s="22">
        <v>4216</v>
      </c>
      <c r="D383" s="23" t="s">
        <v>927</v>
      </c>
      <c r="J383" s="719"/>
      <c r="K383" s="720"/>
    </row>
    <row r="384" spans="1:11" ht="13">
      <c r="A384" s="718" t="s">
        <v>345</v>
      </c>
      <c r="B384" s="22"/>
      <c r="C384" s="22">
        <v>843.67</v>
      </c>
      <c r="D384" s="23" t="s">
        <v>785</v>
      </c>
      <c r="J384" s="719"/>
      <c r="K384" s="720"/>
    </row>
    <row r="385" spans="1:11" ht="13">
      <c r="A385" s="718" t="s">
        <v>345</v>
      </c>
      <c r="B385" s="22"/>
      <c r="C385" s="22">
        <v>93.74</v>
      </c>
      <c r="D385" s="23" t="s">
        <v>887</v>
      </c>
      <c r="J385" s="719"/>
      <c r="K385" s="720"/>
    </row>
    <row r="386" spans="1:11" ht="13">
      <c r="A386" s="718" t="s">
        <v>345</v>
      </c>
      <c r="B386" s="22">
        <v>252922.43</v>
      </c>
      <c r="C386" s="22"/>
      <c r="D386" s="23" t="s">
        <v>934</v>
      </c>
      <c r="E386" s="23" t="s">
        <v>1021</v>
      </c>
      <c r="J386" s="719"/>
      <c r="K386" s="720"/>
    </row>
    <row r="387" spans="1:11" ht="13">
      <c r="A387" s="718" t="s">
        <v>345</v>
      </c>
      <c r="B387" s="22">
        <v>200000</v>
      </c>
      <c r="C387" s="22"/>
      <c r="D387" s="23" t="s">
        <v>831</v>
      </c>
      <c r="J387" s="719"/>
      <c r="K387" s="720"/>
    </row>
    <row r="388" spans="1:11" ht="13">
      <c r="A388" s="718" t="s">
        <v>345</v>
      </c>
      <c r="B388" s="22">
        <v>151000</v>
      </c>
      <c r="C388" s="22"/>
      <c r="D388" s="23" t="s">
        <v>831</v>
      </c>
      <c r="J388" s="719"/>
      <c r="K388" s="720"/>
    </row>
    <row r="389" spans="1:11" ht="13">
      <c r="A389" s="721">
        <v>45780</v>
      </c>
      <c r="B389" s="22"/>
      <c r="C389" s="22">
        <v>69773</v>
      </c>
      <c r="D389" s="23" t="s">
        <v>956</v>
      </c>
      <c r="J389" s="719"/>
      <c r="K389" s="720"/>
    </row>
    <row r="390" spans="1:11" ht="13">
      <c r="A390" s="721">
        <v>45780</v>
      </c>
      <c r="B390" s="22"/>
      <c r="C390" s="22">
        <v>232093</v>
      </c>
      <c r="D390" s="23" t="s">
        <v>919</v>
      </c>
      <c r="J390" s="719"/>
      <c r="K390" s="720"/>
    </row>
    <row r="391" spans="1:11" ht="13">
      <c r="A391" s="721">
        <v>45780</v>
      </c>
      <c r="B391" s="22"/>
      <c r="C391" s="22">
        <v>232093</v>
      </c>
      <c r="D391" s="23" t="s">
        <v>1020</v>
      </c>
      <c r="J391" s="719"/>
      <c r="K391" s="720"/>
    </row>
    <row r="392" spans="1:11" ht="13">
      <c r="A392" s="721">
        <v>45780</v>
      </c>
      <c r="B392" s="22"/>
      <c r="C392" s="22">
        <v>43.3</v>
      </c>
      <c r="D392" s="23" t="s">
        <v>838</v>
      </c>
      <c r="J392" s="719"/>
      <c r="K392" s="720"/>
    </row>
    <row r="393" spans="1:11" ht="13">
      <c r="A393" s="721">
        <v>45811</v>
      </c>
      <c r="B393" s="22"/>
      <c r="C393" s="22">
        <v>9340</v>
      </c>
      <c r="D393" s="23" t="s">
        <v>1022</v>
      </c>
      <c r="J393" s="719"/>
      <c r="K393" s="720"/>
    </row>
    <row r="394" spans="1:11" ht="13">
      <c r="A394" s="721">
        <v>45841</v>
      </c>
      <c r="B394" s="22"/>
      <c r="C394" s="22">
        <v>1001</v>
      </c>
      <c r="D394" s="23" t="s">
        <v>521</v>
      </c>
      <c r="J394" s="719"/>
      <c r="K394" s="720"/>
    </row>
    <row r="395" spans="1:11" ht="13">
      <c r="A395" s="721">
        <v>45964</v>
      </c>
      <c r="B395" s="22"/>
      <c r="C395" s="22">
        <v>7000</v>
      </c>
      <c r="D395" s="23" t="s">
        <v>852</v>
      </c>
      <c r="J395" s="719"/>
      <c r="K395" s="720"/>
    </row>
    <row r="396" spans="1:11" ht="13">
      <c r="A396" s="718" t="s">
        <v>1023</v>
      </c>
      <c r="B396" s="22"/>
      <c r="C396" s="22">
        <v>79372</v>
      </c>
      <c r="D396" s="23" t="s">
        <v>502</v>
      </c>
      <c r="J396" s="719"/>
      <c r="K396" s="720"/>
    </row>
    <row r="397" spans="1:11" ht="13">
      <c r="A397" s="718" t="s">
        <v>1023</v>
      </c>
      <c r="B397" s="22"/>
      <c r="C397" s="22">
        <v>4216</v>
      </c>
      <c r="D397" s="23" t="s">
        <v>927</v>
      </c>
      <c r="J397" s="719"/>
      <c r="K397" s="720"/>
    </row>
    <row r="398" spans="1:11" ht="13">
      <c r="A398" s="718" t="s">
        <v>1024</v>
      </c>
      <c r="B398" s="22"/>
      <c r="C398" s="22">
        <v>64008</v>
      </c>
      <c r="D398" s="23" t="s">
        <v>512</v>
      </c>
      <c r="J398" s="719"/>
      <c r="K398" s="720"/>
    </row>
    <row r="399" spans="1:11" ht="13">
      <c r="A399" s="718" t="s">
        <v>1025</v>
      </c>
      <c r="B399" s="22"/>
      <c r="C399" s="22">
        <v>7399</v>
      </c>
      <c r="D399" s="23" t="s">
        <v>1026</v>
      </c>
      <c r="J399" s="719"/>
      <c r="K399" s="720"/>
    </row>
    <row r="400" spans="1:11" ht="13">
      <c r="A400" s="718" t="s">
        <v>351</v>
      </c>
      <c r="B400" s="22"/>
      <c r="C400" s="22">
        <v>850.2</v>
      </c>
      <c r="D400" s="23" t="s">
        <v>785</v>
      </c>
      <c r="J400" s="719"/>
      <c r="K400" s="720"/>
    </row>
    <row r="401" spans="1:11" ht="13">
      <c r="A401" s="718" t="s">
        <v>351</v>
      </c>
      <c r="B401" s="22"/>
      <c r="C401" s="22">
        <v>94.47</v>
      </c>
      <c r="D401" s="23" t="s">
        <v>887</v>
      </c>
      <c r="J401" s="719"/>
      <c r="K401" s="720"/>
    </row>
    <row r="402" spans="1:11" ht="13">
      <c r="A402" s="718" t="s">
        <v>351</v>
      </c>
      <c r="B402" s="22">
        <v>260000</v>
      </c>
      <c r="C402" s="22"/>
      <c r="D402" s="23" t="s">
        <v>831</v>
      </c>
      <c r="J402" s="719"/>
      <c r="K402" s="720"/>
    </row>
    <row r="403" spans="1:11" ht="13">
      <c r="A403" s="718" t="s">
        <v>351</v>
      </c>
      <c r="B403" s="22">
        <v>200000</v>
      </c>
      <c r="C403" s="22"/>
      <c r="D403" s="23" t="s">
        <v>831</v>
      </c>
      <c r="J403" s="719"/>
      <c r="K403" s="720"/>
    </row>
    <row r="404" spans="1:11" ht="13">
      <c r="A404" s="721">
        <v>45661</v>
      </c>
      <c r="B404" s="22"/>
      <c r="C404" s="22">
        <v>68096</v>
      </c>
      <c r="D404" s="23" t="s">
        <v>956</v>
      </c>
      <c r="J404" s="719"/>
      <c r="K404" s="720"/>
    </row>
    <row r="405" spans="1:11" ht="13">
      <c r="A405" s="721">
        <v>45661</v>
      </c>
      <c r="B405" s="22"/>
      <c r="C405" s="22">
        <v>232093</v>
      </c>
      <c r="D405" s="23" t="s">
        <v>1027</v>
      </c>
      <c r="J405" s="719"/>
      <c r="K405" s="720"/>
    </row>
    <row r="406" spans="1:11" ht="13">
      <c r="A406" s="721">
        <v>45661</v>
      </c>
      <c r="B406" s="22"/>
      <c r="C406" s="22">
        <v>43.37</v>
      </c>
      <c r="D406" s="23" t="s">
        <v>838</v>
      </c>
      <c r="J406" s="719"/>
      <c r="K406" s="720"/>
    </row>
    <row r="407" spans="1:11" ht="13">
      <c r="A407" s="721">
        <v>45661</v>
      </c>
      <c r="B407" s="22"/>
      <c r="C407" s="22">
        <v>232093</v>
      </c>
      <c r="D407" s="23" t="s">
        <v>919</v>
      </c>
      <c r="J407" s="719"/>
      <c r="K407" s="720"/>
    </row>
    <row r="408" spans="1:11" ht="13">
      <c r="A408" s="721">
        <v>45751</v>
      </c>
      <c r="B408" s="22">
        <v>154906.91</v>
      </c>
      <c r="C408" s="22"/>
      <c r="D408" s="23" t="s">
        <v>934</v>
      </c>
      <c r="E408" s="23" t="s">
        <v>1028</v>
      </c>
      <c r="J408" s="719"/>
      <c r="K408" s="720"/>
    </row>
    <row r="409" spans="1:11" ht="13">
      <c r="A409" s="721">
        <v>45751</v>
      </c>
      <c r="B409" s="22"/>
      <c r="C409" s="22">
        <v>1002</v>
      </c>
      <c r="D409" s="23" t="s">
        <v>521</v>
      </c>
      <c r="J409" s="719"/>
      <c r="K409" s="720"/>
    </row>
    <row r="410" spans="1:11" ht="13">
      <c r="A410" s="721">
        <v>45842</v>
      </c>
      <c r="B410" s="22"/>
      <c r="C410" s="22">
        <v>7000</v>
      </c>
      <c r="D410" s="23" t="s">
        <v>852</v>
      </c>
      <c r="J410" s="719"/>
      <c r="K410" s="720"/>
    </row>
    <row r="411" spans="1:11" ht="13">
      <c r="A411" s="721">
        <v>45904</v>
      </c>
      <c r="B411" s="22">
        <v>240000</v>
      </c>
      <c r="C411" s="22"/>
      <c r="D411" s="23" t="s">
        <v>831</v>
      </c>
      <c r="J411" s="719"/>
      <c r="K411" s="720"/>
    </row>
    <row r="412" spans="1:11" ht="13">
      <c r="A412" s="721">
        <v>45904</v>
      </c>
      <c r="B412" s="22"/>
      <c r="C412" s="22">
        <v>369179</v>
      </c>
      <c r="D412" s="23" t="s">
        <v>1029</v>
      </c>
      <c r="J412" s="719"/>
      <c r="K412" s="720"/>
    </row>
    <row r="413" spans="1:11" ht="13">
      <c r="A413" s="718" t="s">
        <v>357</v>
      </c>
      <c r="B413" s="22"/>
      <c r="C413" s="22">
        <v>855.18</v>
      </c>
      <c r="D413" s="22" t="s">
        <v>785</v>
      </c>
      <c r="E413" s="23"/>
      <c r="J413" s="719"/>
      <c r="K413" s="720"/>
    </row>
    <row r="414" spans="1:11" ht="13">
      <c r="A414" s="718" t="s">
        <v>357</v>
      </c>
      <c r="B414" s="22"/>
      <c r="C414" s="22">
        <v>95.02</v>
      </c>
      <c r="D414" s="22" t="s">
        <v>887</v>
      </c>
      <c r="E414" s="23"/>
      <c r="J414" s="719"/>
      <c r="K414" s="720"/>
    </row>
    <row r="415" spans="1:11" ht="13">
      <c r="A415" s="721">
        <v>45693</v>
      </c>
      <c r="B415" s="22">
        <v>330846.92</v>
      </c>
      <c r="C415" s="22"/>
      <c r="D415" s="23" t="s">
        <v>934</v>
      </c>
      <c r="E415" s="23" t="s">
        <v>1030</v>
      </c>
      <c r="J415" s="719"/>
      <c r="K415" s="720"/>
    </row>
    <row r="416" spans="1:11" ht="13">
      <c r="A416" s="721">
        <v>45693</v>
      </c>
      <c r="B416" s="22">
        <v>242000</v>
      </c>
      <c r="C416" s="22"/>
      <c r="D416" s="23" t="s">
        <v>831</v>
      </c>
      <c r="J416" s="719"/>
      <c r="K416" s="720"/>
    </row>
    <row r="417" spans="1:11" ht="13">
      <c r="A417" s="721">
        <v>45693</v>
      </c>
      <c r="B417" s="22"/>
      <c r="C417" s="22">
        <v>232093</v>
      </c>
      <c r="D417" s="23" t="s">
        <v>919</v>
      </c>
      <c r="J417" s="719"/>
      <c r="K417" s="720"/>
    </row>
    <row r="418" spans="1:11" ht="13">
      <c r="A418" s="721">
        <v>45782</v>
      </c>
      <c r="B418" s="22"/>
      <c r="C418" s="22">
        <v>1001</v>
      </c>
      <c r="D418" s="23" t="s">
        <v>521</v>
      </c>
      <c r="J418" s="719"/>
      <c r="K418" s="720"/>
    </row>
    <row r="419" spans="1:11" ht="13">
      <c r="A419" s="721">
        <v>45782</v>
      </c>
      <c r="B419" s="22"/>
      <c r="C419" s="22">
        <v>7000</v>
      </c>
      <c r="D419" s="23" t="s">
        <v>852</v>
      </c>
      <c r="J419" s="719"/>
      <c r="K419" s="720"/>
    </row>
    <row r="420" spans="1:11" ht="13">
      <c r="A420" s="721">
        <v>45905</v>
      </c>
      <c r="B420" s="22"/>
      <c r="C420" s="22">
        <v>11000</v>
      </c>
      <c r="D420" s="23" t="s">
        <v>1018</v>
      </c>
      <c r="E420" s="23" t="s">
        <v>1031</v>
      </c>
      <c r="J420" s="719"/>
      <c r="K420" s="720"/>
    </row>
    <row r="421" spans="1:11" ht="13">
      <c r="A421" s="721">
        <v>45905</v>
      </c>
      <c r="B421" s="22"/>
      <c r="C421" s="22">
        <v>80.64</v>
      </c>
      <c r="D421" s="23" t="s">
        <v>838</v>
      </c>
      <c r="J421" s="719"/>
      <c r="K421" s="720"/>
    </row>
    <row r="422" spans="1:11" ht="13">
      <c r="A422" s="718" t="s">
        <v>1032</v>
      </c>
      <c r="B422" s="22"/>
      <c r="C422" s="22">
        <v>36664</v>
      </c>
      <c r="D422" s="23" t="s">
        <v>502</v>
      </c>
      <c r="J422" s="719"/>
      <c r="K422" s="720"/>
    </row>
    <row r="423" spans="1:11" ht="13">
      <c r="A423" s="718" t="s">
        <v>1032</v>
      </c>
      <c r="B423" s="22"/>
      <c r="C423" s="22">
        <v>18617</v>
      </c>
      <c r="D423" s="23" t="s">
        <v>927</v>
      </c>
      <c r="J423" s="719"/>
      <c r="K423" s="720"/>
    </row>
    <row r="424" spans="1:11" ht="13">
      <c r="A424" s="718" t="s">
        <v>1033</v>
      </c>
      <c r="B424" s="22"/>
      <c r="C424" s="22">
        <v>118664</v>
      </c>
      <c r="D424" s="23" t="s">
        <v>512</v>
      </c>
      <c r="J424" s="719"/>
      <c r="K424" s="720"/>
    </row>
    <row r="425" spans="1:11" ht="13">
      <c r="A425" s="718" t="s">
        <v>1034</v>
      </c>
      <c r="B425" s="22"/>
      <c r="C425" s="22">
        <v>858.29</v>
      </c>
      <c r="D425" s="23" t="s">
        <v>785</v>
      </c>
      <c r="E425" s="23"/>
      <c r="J425" s="719"/>
      <c r="K425" s="720"/>
    </row>
    <row r="426" spans="1:11" ht="13">
      <c r="A426" s="718" t="s">
        <v>1034</v>
      </c>
      <c r="B426" s="22"/>
      <c r="C426" s="22">
        <v>95.37</v>
      </c>
      <c r="D426" s="22" t="s">
        <v>887</v>
      </c>
      <c r="E426" s="23"/>
      <c r="J426" s="719"/>
      <c r="K426" s="720"/>
    </row>
    <row r="427" spans="1:11" ht="13">
      <c r="A427" s="718" t="s">
        <v>1034</v>
      </c>
      <c r="B427" s="22">
        <v>538284.57999999996</v>
      </c>
      <c r="C427" s="22"/>
      <c r="D427" s="23" t="s">
        <v>934</v>
      </c>
      <c r="E427" s="23" t="s">
        <v>1035</v>
      </c>
      <c r="J427" s="719"/>
      <c r="K427" s="720"/>
    </row>
    <row r="428" spans="1:11" ht="13">
      <c r="A428" s="718" t="s">
        <v>1034</v>
      </c>
      <c r="B428" s="22"/>
      <c r="C428" s="22">
        <v>635.25</v>
      </c>
      <c r="D428" s="23" t="s">
        <v>838</v>
      </c>
      <c r="J428" s="719"/>
      <c r="K428" s="720"/>
    </row>
    <row r="429" spans="1:11" ht="13">
      <c r="A429" s="721">
        <v>45694</v>
      </c>
      <c r="B429" s="22"/>
      <c r="C429" s="22">
        <v>232093</v>
      </c>
      <c r="D429" s="23" t="s">
        <v>919</v>
      </c>
      <c r="J429" s="719"/>
      <c r="K429" s="720"/>
    </row>
    <row r="430" spans="1:11" ht="13">
      <c r="A430" s="721">
        <v>45694</v>
      </c>
      <c r="B430" s="22"/>
      <c r="C430" s="22">
        <v>232093</v>
      </c>
      <c r="D430" s="23" t="s">
        <v>1020</v>
      </c>
      <c r="J430" s="719"/>
      <c r="K430" s="720"/>
    </row>
    <row r="431" spans="1:11" ht="13">
      <c r="A431" s="721">
        <v>45694</v>
      </c>
      <c r="B431" s="22"/>
      <c r="C431" s="22">
        <v>80.290000000000006</v>
      </c>
      <c r="D431" s="23" t="s">
        <v>838</v>
      </c>
      <c r="J431" s="719"/>
      <c r="K431" s="720"/>
    </row>
    <row r="432" spans="1:11" ht="13">
      <c r="A432" s="721">
        <v>45814</v>
      </c>
      <c r="C432" s="22">
        <v>619</v>
      </c>
      <c r="D432" s="23" t="s">
        <v>521</v>
      </c>
      <c r="J432" s="719"/>
      <c r="K432" s="720"/>
    </row>
    <row r="433" spans="1:11" ht="13">
      <c r="A433" s="727">
        <v>45997</v>
      </c>
      <c r="B433" s="22"/>
      <c r="C433" s="22">
        <v>7000</v>
      </c>
      <c r="D433" s="23" t="s">
        <v>852</v>
      </c>
      <c r="J433" s="719"/>
      <c r="K433" s="720"/>
    </row>
    <row r="434" spans="1:11" ht="13">
      <c r="A434" s="718" t="s">
        <v>1036</v>
      </c>
      <c r="B434" s="22">
        <v>18000</v>
      </c>
      <c r="C434" s="22"/>
      <c r="D434" s="23" t="s">
        <v>831</v>
      </c>
      <c r="J434" s="719"/>
      <c r="K434" s="720"/>
    </row>
    <row r="435" spans="1:11" ht="13">
      <c r="A435" s="718" t="s">
        <v>1036</v>
      </c>
      <c r="B435" s="22"/>
      <c r="C435" s="22">
        <v>8121</v>
      </c>
      <c r="D435" s="23" t="s">
        <v>502</v>
      </c>
      <c r="J435" s="719"/>
      <c r="K435" s="720"/>
    </row>
    <row r="436" spans="1:11" ht="13">
      <c r="A436" s="718" t="s">
        <v>1037</v>
      </c>
      <c r="B436" s="22"/>
      <c r="C436" s="22">
        <v>253778</v>
      </c>
      <c r="D436" s="23" t="s">
        <v>512</v>
      </c>
      <c r="J436" s="719"/>
      <c r="K436" s="720"/>
    </row>
    <row r="437" spans="1:11" ht="13">
      <c r="A437" s="718" t="s">
        <v>373</v>
      </c>
      <c r="B437" s="22"/>
      <c r="C437" s="22">
        <v>307.83999999999997</v>
      </c>
      <c r="D437" s="23" t="s">
        <v>785</v>
      </c>
      <c r="J437" s="719"/>
      <c r="K437" s="720"/>
    </row>
    <row r="438" spans="1:11" ht="13">
      <c r="A438" s="718" t="s">
        <v>373</v>
      </c>
      <c r="B438" s="22">
        <v>240000</v>
      </c>
      <c r="C438" s="22"/>
      <c r="D438" s="23" t="s">
        <v>831</v>
      </c>
      <c r="J438" s="719"/>
      <c r="K438" s="720"/>
    </row>
    <row r="439" spans="1:11" ht="13">
      <c r="A439" s="718" t="s">
        <v>373</v>
      </c>
      <c r="B439" s="22"/>
      <c r="C439" s="22">
        <v>551.67999999999995</v>
      </c>
      <c r="D439" s="23" t="s">
        <v>785</v>
      </c>
      <c r="J439" s="719"/>
      <c r="K439" s="720"/>
    </row>
    <row r="440" spans="1:11" ht="13">
      <c r="A440" s="718" t="s">
        <v>373</v>
      </c>
      <c r="B440" s="22"/>
      <c r="C440" s="22">
        <v>95.5</v>
      </c>
      <c r="D440" s="22" t="s">
        <v>887</v>
      </c>
      <c r="J440" s="719"/>
      <c r="K440" s="720"/>
    </row>
    <row r="441" spans="1:11" ht="13">
      <c r="A441" s="721">
        <v>45664</v>
      </c>
      <c r="B441" s="22"/>
      <c r="C441" s="22">
        <v>232093</v>
      </c>
      <c r="D441" s="23" t="s">
        <v>919</v>
      </c>
      <c r="J441" s="719"/>
      <c r="K441" s="720"/>
    </row>
    <row r="442" spans="1:11" ht="13">
      <c r="A442" s="721">
        <v>45754</v>
      </c>
      <c r="B442" s="22">
        <v>340923.68</v>
      </c>
      <c r="C442" s="22"/>
      <c r="D442" s="23" t="s">
        <v>934</v>
      </c>
      <c r="E442" s="23" t="s">
        <v>1038</v>
      </c>
      <c r="J442" s="719"/>
      <c r="K442" s="720"/>
    </row>
    <row r="443" spans="1:11" ht="13">
      <c r="A443" s="721">
        <v>45754</v>
      </c>
      <c r="B443" s="22"/>
      <c r="C443" s="22">
        <v>7000</v>
      </c>
      <c r="D443" s="23" t="s">
        <v>852</v>
      </c>
      <c r="J443" s="719"/>
      <c r="K443" s="720"/>
    </row>
    <row r="444" spans="1:11" ht="13">
      <c r="A444" s="718" t="s">
        <v>1039</v>
      </c>
      <c r="B444" s="22"/>
      <c r="C444" s="22">
        <v>8621</v>
      </c>
      <c r="D444" s="23" t="s">
        <v>502</v>
      </c>
      <c r="J444" s="719"/>
      <c r="K444" s="720"/>
    </row>
    <row r="445" spans="1:11" ht="13">
      <c r="A445" s="718" t="s">
        <v>1040</v>
      </c>
      <c r="B445" s="22"/>
      <c r="C445" s="22">
        <v>175653</v>
      </c>
      <c r="D445" s="23" t="s">
        <v>512</v>
      </c>
      <c r="J445" s="719"/>
      <c r="K445" s="720"/>
    </row>
    <row r="446" spans="1:11" ht="13">
      <c r="A446" s="23" t="s">
        <v>1041</v>
      </c>
      <c r="B446" s="22">
        <v>90000</v>
      </c>
      <c r="C446" s="22"/>
      <c r="D446" s="23" t="s">
        <v>831</v>
      </c>
      <c r="J446" s="719"/>
      <c r="K446" s="720"/>
    </row>
    <row r="447" spans="1:11" ht="13">
      <c r="A447" s="730" t="s">
        <v>67</v>
      </c>
      <c r="B447" s="22"/>
      <c r="C447" s="22">
        <v>859.03</v>
      </c>
      <c r="D447" s="23" t="s">
        <v>785</v>
      </c>
      <c r="J447" s="719"/>
      <c r="K447" s="720"/>
    </row>
    <row r="448" spans="1:11" ht="13">
      <c r="A448" s="730" t="s">
        <v>67</v>
      </c>
      <c r="B448" s="22"/>
      <c r="C448" s="22">
        <v>95.45</v>
      </c>
      <c r="D448" s="22" t="s">
        <v>887</v>
      </c>
      <c r="J448" s="719"/>
      <c r="K448" s="720"/>
    </row>
    <row r="449" spans="1:11" ht="13">
      <c r="A449" s="730" t="s">
        <v>67</v>
      </c>
      <c r="B449" s="22"/>
      <c r="C449" s="22">
        <v>232093</v>
      </c>
      <c r="D449" s="23" t="s">
        <v>919</v>
      </c>
      <c r="J449" s="719"/>
      <c r="K449" s="720"/>
    </row>
    <row r="450" spans="1:11" ht="13">
      <c r="A450" s="730" t="s">
        <v>67</v>
      </c>
      <c r="B450" s="22"/>
      <c r="C450" s="22">
        <v>7000</v>
      </c>
      <c r="D450" s="23" t="s">
        <v>852</v>
      </c>
      <c r="J450" s="719"/>
      <c r="K450" s="720"/>
    </row>
    <row r="451" spans="1:11" ht="13">
      <c r="A451" s="730" t="s">
        <v>67</v>
      </c>
      <c r="B451" s="22"/>
      <c r="C451" s="22">
        <v>5435</v>
      </c>
      <c r="D451" s="23" t="s">
        <v>992</v>
      </c>
      <c r="J451" s="719"/>
      <c r="K451" s="720"/>
    </row>
    <row r="452" spans="1:11" ht="13">
      <c r="A452" s="730" t="s">
        <v>67</v>
      </c>
      <c r="B452" s="22"/>
      <c r="C452" s="22">
        <v>77.81</v>
      </c>
      <c r="D452" s="23" t="s">
        <v>838</v>
      </c>
      <c r="J452" s="719"/>
      <c r="K452" s="720"/>
    </row>
    <row r="453" spans="1:11" ht="13">
      <c r="A453" s="721">
        <v>45969</v>
      </c>
      <c r="B453" s="22">
        <v>60000</v>
      </c>
      <c r="C453" s="22"/>
      <c r="D453" s="23" t="s">
        <v>831</v>
      </c>
      <c r="J453" s="719"/>
      <c r="K453" s="720"/>
    </row>
    <row r="454" spans="1:11" ht="13">
      <c r="A454" s="721">
        <v>45969</v>
      </c>
      <c r="B454" s="22">
        <v>11000</v>
      </c>
      <c r="C454" s="22"/>
      <c r="D454" s="23" t="s">
        <v>831</v>
      </c>
      <c r="J454" s="719"/>
      <c r="K454" s="720"/>
    </row>
    <row r="455" spans="1:11" ht="13">
      <c r="A455" s="721">
        <v>45969</v>
      </c>
      <c r="B455" s="22"/>
      <c r="C455" s="22">
        <v>8121</v>
      </c>
      <c r="D455" s="23" t="s">
        <v>502</v>
      </c>
      <c r="J455" s="719"/>
      <c r="K455" s="720"/>
    </row>
    <row r="456" spans="1:11" ht="13">
      <c r="A456" s="721">
        <v>45999</v>
      </c>
      <c r="B456" s="22"/>
      <c r="C456" s="22">
        <v>64012</v>
      </c>
      <c r="D456" s="23" t="s">
        <v>770</v>
      </c>
      <c r="E456" s="23" t="s">
        <v>1042</v>
      </c>
      <c r="J456" s="719"/>
      <c r="K456" s="720"/>
    </row>
    <row r="457" spans="1:11" ht="13">
      <c r="A457" s="718" t="s">
        <v>1043</v>
      </c>
      <c r="B457" s="22">
        <v>24100</v>
      </c>
      <c r="C457" s="22"/>
      <c r="D457" s="23" t="s">
        <v>831</v>
      </c>
      <c r="J457" s="719"/>
      <c r="K457" s="720"/>
    </row>
    <row r="458" spans="1:11" ht="13">
      <c r="A458" s="718" t="s">
        <v>1044</v>
      </c>
      <c r="B458" s="22">
        <v>22000</v>
      </c>
      <c r="C458" s="22"/>
      <c r="D458" s="23" t="s">
        <v>831</v>
      </c>
      <c r="J458" s="719"/>
      <c r="K458" s="720"/>
    </row>
    <row r="459" spans="1:11" ht="13">
      <c r="A459" s="718" t="s">
        <v>1044</v>
      </c>
      <c r="B459" s="22"/>
      <c r="C459" s="22">
        <v>43110</v>
      </c>
      <c r="D459" s="23" t="s">
        <v>1045</v>
      </c>
      <c r="E459" s="23" t="s">
        <v>1046</v>
      </c>
      <c r="J459" s="719"/>
      <c r="K459" s="720"/>
    </row>
    <row r="460" spans="1:11" ht="13">
      <c r="A460" s="718" t="s">
        <v>1044</v>
      </c>
      <c r="B460" s="22"/>
      <c r="C460" s="22">
        <v>77.31</v>
      </c>
      <c r="D460" s="23" t="s">
        <v>838</v>
      </c>
      <c r="J460" s="719"/>
      <c r="K460" s="720"/>
    </row>
    <row r="461" spans="1:11" ht="13">
      <c r="A461" s="718" t="s">
        <v>1044</v>
      </c>
      <c r="B461" s="22"/>
      <c r="C461" s="22">
        <v>2484</v>
      </c>
      <c r="D461" s="23" t="s">
        <v>507</v>
      </c>
      <c r="E461" s="23" t="s">
        <v>1047</v>
      </c>
      <c r="J461" s="719"/>
      <c r="K461" s="720"/>
    </row>
    <row r="462" spans="1:11" ht="13">
      <c r="A462" s="718" t="s">
        <v>1048</v>
      </c>
      <c r="B462" s="22"/>
      <c r="C462" s="22">
        <v>644.9</v>
      </c>
      <c r="D462" s="23" t="s">
        <v>785</v>
      </c>
      <c r="J462" s="719"/>
      <c r="K462" s="720"/>
    </row>
    <row r="463" spans="1:11" ht="13">
      <c r="A463" s="718" t="s">
        <v>1048</v>
      </c>
      <c r="B463" s="22">
        <v>200000</v>
      </c>
      <c r="C463" s="22"/>
      <c r="D463" s="23" t="s">
        <v>831</v>
      </c>
      <c r="J463" s="719"/>
      <c r="K463" s="720"/>
    </row>
    <row r="464" spans="1:11" ht="13">
      <c r="A464" s="718" t="s">
        <v>1048</v>
      </c>
      <c r="B464" s="22">
        <v>227684.66</v>
      </c>
      <c r="C464" s="22"/>
      <c r="D464" s="23" t="s">
        <v>934</v>
      </c>
      <c r="E464" s="23" t="s">
        <v>1049</v>
      </c>
      <c r="J464" s="719"/>
      <c r="K464" s="720"/>
    </row>
    <row r="465" spans="1:11" ht="13">
      <c r="A465" s="718" t="s">
        <v>1048</v>
      </c>
      <c r="B465" s="22"/>
      <c r="C465" s="22">
        <v>214.37</v>
      </c>
      <c r="D465" s="23" t="s">
        <v>785</v>
      </c>
      <c r="J465" s="719"/>
      <c r="K465" s="720"/>
    </row>
    <row r="466" spans="1:11" ht="13">
      <c r="A466" s="718" t="s">
        <v>1048</v>
      </c>
      <c r="B466" s="22"/>
      <c r="C466" s="22">
        <v>95.47</v>
      </c>
      <c r="D466" s="23" t="s">
        <v>887</v>
      </c>
      <c r="J466" s="719"/>
      <c r="K466" s="720"/>
    </row>
    <row r="467" spans="1:11" ht="13">
      <c r="A467" s="721">
        <v>45666</v>
      </c>
      <c r="C467" s="22">
        <v>232093</v>
      </c>
      <c r="D467" s="23" t="s">
        <v>869</v>
      </c>
      <c r="J467" s="719"/>
      <c r="K467" s="720"/>
    </row>
    <row r="468" spans="1:11" ht="13">
      <c r="A468" s="721">
        <v>45666</v>
      </c>
      <c r="B468" s="22">
        <v>75000</v>
      </c>
      <c r="D468" s="23" t="s">
        <v>831</v>
      </c>
      <c r="J468" s="719"/>
      <c r="K468" s="720"/>
    </row>
    <row r="469" spans="1:11" ht="13">
      <c r="A469" s="721">
        <v>45666</v>
      </c>
      <c r="B469" s="22"/>
      <c r="C469" s="22">
        <v>33138</v>
      </c>
      <c r="D469" s="23" t="s">
        <v>1050</v>
      </c>
      <c r="J469" s="719"/>
      <c r="K469" s="720"/>
    </row>
    <row r="470" spans="1:11" ht="13">
      <c r="A470" s="721">
        <v>45666</v>
      </c>
      <c r="B470" s="22"/>
      <c r="C470" s="22">
        <v>31241</v>
      </c>
      <c r="D470" s="23" t="s">
        <v>919</v>
      </c>
      <c r="J470" s="719"/>
      <c r="K470" s="720"/>
    </row>
    <row r="471" spans="1:11" ht="13">
      <c r="A471" s="721">
        <v>45786</v>
      </c>
      <c r="B471" s="22">
        <v>320230.37</v>
      </c>
      <c r="C471" s="22"/>
      <c r="D471" s="23" t="s">
        <v>934</v>
      </c>
      <c r="E471" s="23" t="s">
        <v>1051</v>
      </c>
      <c r="J471" s="719"/>
      <c r="K471" s="720"/>
    </row>
    <row r="472" spans="1:11" ht="13">
      <c r="A472" s="721">
        <v>45786</v>
      </c>
      <c r="B472" s="22"/>
      <c r="C472" s="22">
        <v>5748</v>
      </c>
      <c r="D472" s="23" t="s">
        <v>1052</v>
      </c>
      <c r="J472" s="719"/>
      <c r="K472" s="720"/>
    </row>
    <row r="473" spans="1:11" ht="13">
      <c r="A473" s="721">
        <v>45786</v>
      </c>
      <c r="B473" s="22"/>
      <c r="C473" s="22">
        <v>944</v>
      </c>
      <c r="D473" s="23" t="s">
        <v>1022</v>
      </c>
      <c r="J473" s="719"/>
      <c r="K473" s="720"/>
    </row>
    <row r="474" spans="1:11" ht="13">
      <c r="A474" s="721">
        <v>45939</v>
      </c>
      <c r="B474" s="22"/>
      <c r="C474" s="22">
        <v>9278</v>
      </c>
      <c r="D474" s="23" t="s">
        <v>1053</v>
      </c>
      <c r="J474" s="719"/>
      <c r="K474" s="720"/>
    </row>
    <row r="475" spans="1:11" ht="13">
      <c r="A475" s="721">
        <v>45939</v>
      </c>
      <c r="B475" s="22"/>
      <c r="C475" s="22">
        <v>77.290000000000006</v>
      </c>
      <c r="D475" s="23" t="s">
        <v>838</v>
      </c>
      <c r="J475" s="719"/>
      <c r="K475" s="720"/>
    </row>
    <row r="476" spans="1:11" ht="13">
      <c r="A476" s="718" t="s">
        <v>1054</v>
      </c>
      <c r="B476" s="22"/>
      <c r="C476" s="22">
        <v>15223</v>
      </c>
      <c r="D476" s="23" t="s">
        <v>502</v>
      </c>
      <c r="J476" s="719"/>
      <c r="K476" s="720"/>
    </row>
    <row r="477" spans="1:11" ht="13">
      <c r="A477" s="718" t="s">
        <v>1055</v>
      </c>
      <c r="B477" s="22"/>
      <c r="C477" s="22">
        <v>162723</v>
      </c>
      <c r="D477" s="23" t="s">
        <v>512</v>
      </c>
      <c r="J477" s="719"/>
      <c r="K477" s="720"/>
    </row>
    <row r="478" spans="1:11" ht="13">
      <c r="A478" s="23" t="s">
        <v>401</v>
      </c>
      <c r="C478" s="23">
        <v>859.13</v>
      </c>
      <c r="D478" s="23" t="s">
        <v>785</v>
      </c>
      <c r="J478" s="719"/>
      <c r="K478" s="720"/>
    </row>
    <row r="479" spans="1:11" ht="13">
      <c r="A479" s="23" t="s">
        <v>401</v>
      </c>
      <c r="B479" s="22"/>
      <c r="C479" s="22">
        <v>95.46</v>
      </c>
      <c r="D479" s="23" t="s">
        <v>887</v>
      </c>
      <c r="J479" s="719"/>
      <c r="K479" s="720"/>
    </row>
    <row r="480" spans="1:11" ht="13">
      <c r="A480" s="721">
        <v>45667</v>
      </c>
      <c r="B480" s="22"/>
      <c r="C480" s="22">
        <v>33138</v>
      </c>
      <c r="D480" s="23" t="s">
        <v>1050</v>
      </c>
      <c r="J480" s="719"/>
      <c r="K480" s="720"/>
    </row>
    <row r="481" spans="1:11" ht="13">
      <c r="A481" s="721">
        <v>45698</v>
      </c>
      <c r="C481" s="22">
        <v>6255</v>
      </c>
      <c r="D481" s="23" t="s">
        <v>1056</v>
      </c>
      <c r="J481" s="719"/>
      <c r="K481" s="720"/>
    </row>
    <row r="482" spans="1:11" ht="13">
      <c r="A482" s="721">
        <v>45698</v>
      </c>
      <c r="C482" s="22">
        <v>5748</v>
      </c>
      <c r="D482" s="23" t="s">
        <v>1057</v>
      </c>
      <c r="E482" s="23" t="s">
        <v>1058</v>
      </c>
      <c r="J482" s="719"/>
      <c r="K482" s="720"/>
    </row>
    <row r="483" spans="1:11" ht="13">
      <c r="A483" s="721">
        <v>45698</v>
      </c>
      <c r="B483" s="22"/>
      <c r="C483" s="22">
        <v>2268</v>
      </c>
      <c r="D483" s="23" t="s">
        <v>1057</v>
      </c>
      <c r="E483" s="23" t="s">
        <v>1059</v>
      </c>
      <c r="J483" s="719"/>
      <c r="K483" s="720"/>
    </row>
    <row r="484" spans="1:11" ht="13">
      <c r="A484" s="721">
        <v>45726</v>
      </c>
      <c r="B484" s="22">
        <v>236765.79</v>
      </c>
      <c r="C484" s="22"/>
      <c r="D484" s="23" t="s">
        <v>934</v>
      </c>
      <c r="E484" s="23" t="s">
        <v>1060</v>
      </c>
      <c r="J484" s="719"/>
      <c r="K484" s="720"/>
    </row>
    <row r="485" spans="1:11" ht="13">
      <c r="A485" s="721">
        <v>45726</v>
      </c>
      <c r="B485" s="22"/>
      <c r="C485" s="22">
        <v>7000</v>
      </c>
      <c r="D485" s="23" t="s">
        <v>852</v>
      </c>
      <c r="J485" s="719"/>
      <c r="K485" s="720"/>
    </row>
    <row r="486" spans="1:11" ht="13">
      <c r="A486" s="718" t="s">
        <v>1061</v>
      </c>
      <c r="B486" s="22"/>
      <c r="C486" s="22">
        <v>14165</v>
      </c>
      <c r="D486" s="23" t="s">
        <v>502</v>
      </c>
      <c r="J486" s="719"/>
      <c r="K486" s="720"/>
    </row>
    <row r="487" spans="1:11" ht="13">
      <c r="A487" s="718" t="s">
        <v>1062</v>
      </c>
      <c r="B487" s="22"/>
      <c r="C487" s="22">
        <v>423</v>
      </c>
      <c r="D487" s="23" t="s">
        <v>521</v>
      </c>
      <c r="E487" s="23" t="s">
        <v>1063</v>
      </c>
      <c r="J487" s="719"/>
      <c r="K487" s="720"/>
    </row>
    <row r="488" spans="1:11" ht="13">
      <c r="A488" s="721"/>
      <c r="B488" s="22"/>
      <c r="C488" s="22">
        <v>328994</v>
      </c>
      <c r="D488" s="23" t="s">
        <v>1064</v>
      </c>
      <c r="J488" s="719"/>
      <c r="K488" s="720"/>
    </row>
    <row r="489" spans="1:11" ht="13">
      <c r="A489" s="721"/>
      <c r="B489" s="22"/>
      <c r="C489" s="22"/>
      <c r="J489" s="719"/>
      <c r="K489" s="720"/>
    </row>
    <row r="490" spans="1:11" ht="13">
      <c r="A490" s="721"/>
      <c r="B490" s="22"/>
      <c r="C490" s="22"/>
      <c r="J490" s="719"/>
      <c r="K490" s="720"/>
    </row>
    <row r="491" spans="1:11" ht="13">
      <c r="A491" s="721"/>
      <c r="B491" s="22"/>
      <c r="C491" s="22"/>
      <c r="J491" s="719"/>
      <c r="K491" s="720"/>
    </row>
    <row r="492" spans="1:11" ht="13">
      <c r="A492" s="721"/>
      <c r="B492" s="22"/>
      <c r="C492" s="22"/>
      <c r="J492" s="719"/>
      <c r="K492" s="720"/>
    </row>
    <row r="493" spans="1:11" ht="13">
      <c r="A493" s="721"/>
      <c r="B493" s="22"/>
      <c r="C493" s="22"/>
      <c r="J493" s="719"/>
      <c r="K493" s="720"/>
    </row>
    <row r="494" spans="1:11" ht="13">
      <c r="A494" s="721"/>
      <c r="B494" s="22"/>
      <c r="C494" s="22"/>
      <c r="J494" s="719"/>
      <c r="K494" s="720"/>
    </row>
    <row r="495" spans="1:11" ht="13">
      <c r="A495" s="721"/>
      <c r="B495" s="22"/>
      <c r="C495" s="22"/>
      <c r="J495" s="719"/>
      <c r="K495" s="720"/>
    </row>
    <row r="496" spans="1:11" ht="13">
      <c r="A496" s="721"/>
      <c r="B496" s="22"/>
      <c r="C496" s="22"/>
      <c r="J496" s="719"/>
      <c r="K496" s="720"/>
    </row>
    <row r="497" spans="1:11" ht="13">
      <c r="A497" s="721"/>
      <c r="B497" s="22"/>
      <c r="C497" s="22"/>
      <c r="J497" s="719"/>
      <c r="K497" s="720"/>
    </row>
    <row r="498" spans="1:11" ht="13">
      <c r="A498" s="721"/>
      <c r="B498" s="22"/>
      <c r="C498" s="22"/>
      <c r="J498" s="719"/>
      <c r="K498" s="720"/>
    </row>
    <row r="499" spans="1:11" ht="13">
      <c r="A499" s="721"/>
      <c r="B499" s="22"/>
      <c r="C499" s="22"/>
      <c r="J499" s="719"/>
      <c r="K499" s="720"/>
    </row>
    <row r="500" spans="1:11" ht="13">
      <c r="A500" s="721"/>
      <c r="B500" s="22"/>
      <c r="C500" s="22"/>
      <c r="J500" s="719"/>
      <c r="K500" s="720"/>
    </row>
    <row r="501" spans="1:11" ht="13">
      <c r="A501" s="721"/>
      <c r="B501" s="22"/>
      <c r="C501" s="22"/>
      <c r="J501" s="719"/>
      <c r="K501" s="720"/>
    </row>
    <row r="502" spans="1:11" ht="13">
      <c r="A502" s="721"/>
      <c r="B502" s="22"/>
      <c r="C502" s="22"/>
      <c r="J502" s="719"/>
      <c r="K502" s="720"/>
    </row>
    <row r="503" spans="1:11" ht="13">
      <c r="A503" s="721"/>
      <c r="B503" s="22"/>
      <c r="C503" s="22"/>
      <c r="J503" s="719"/>
      <c r="K503" s="720"/>
    </row>
    <row r="504" spans="1:11" ht="13">
      <c r="A504" s="721"/>
      <c r="B504" s="22"/>
      <c r="C504" s="22"/>
      <c r="J504" s="719"/>
      <c r="K504" s="720"/>
    </row>
    <row r="505" spans="1:11" ht="13">
      <c r="A505" s="721"/>
      <c r="B505" s="22"/>
      <c r="C505" s="22"/>
      <c r="J505" s="719"/>
      <c r="K505" s="720"/>
    </row>
    <row r="506" spans="1:11" ht="13">
      <c r="A506" s="721"/>
      <c r="B506" s="22"/>
      <c r="C506" s="22"/>
      <c r="J506" s="719"/>
      <c r="K506" s="720"/>
    </row>
    <row r="507" spans="1:11" ht="13">
      <c r="A507" s="721"/>
      <c r="B507" s="22"/>
      <c r="C507" s="22"/>
      <c r="J507" s="719"/>
      <c r="K507" s="720"/>
    </row>
    <row r="508" spans="1:11" ht="13">
      <c r="A508" s="721"/>
      <c r="B508" s="22"/>
      <c r="C508" s="22"/>
      <c r="J508" s="719"/>
      <c r="K508" s="720"/>
    </row>
    <row r="509" spans="1:11" ht="13">
      <c r="A509" s="721"/>
      <c r="B509" s="22"/>
      <c r="C509" s="22"/>
      <c r="J509" s="719"/>
      <c r="K509" s="720"/>
    </row>
    <row r="510" spans="1:11" ht="13">
      <c r="A510" s="721"/>
      <c r="B510" s="22"/>
      <c r="C510" s="22"/>
      <c r="J510" s="719"/>
      <c r="K510" s="720"/>
    </row>
    <row r="511" spans="1:11" ht="13">
      <c r="A511" s="721"/>
      <c r="B511" s="22"/>
      <c r="C511" s="22"/>
      <c r="J511" s="719"/>
      <c r="K511" s="720"/>
    </row>
    <row r="512" spans="1:11" ht="13">
      <c r="A512" s="721"/>
      <c r="B512" s="22"/>
      <c r="C512" s="22"/>
      <c r="J512" s="719"/>
      <c r="K512" s="720"/>
    </row>
    <row r="513" spans="1:11" ht="13">
      <c r="A513" s="721"/>
      <c r="B513" s="22"/>
      <c r="C513" s="22"/>
      <c r="J513" s="714"/>
      <c r="K513" s="714"/>
    </row>
    <row r="514" spans="1:11" ht="13">
      <c r="A514" s="721"/>
      <c r="B514" s="22"/>
      <c r="C514" s="22"/>
      <c r="J514" s="714"/>
      <c r="K514" s="714"/>
    </row>
    <row r="515" spans="1:11" ht="13">
      <c r="A515" s="721"/>
      <c r="B515" s="22"/>
      <c r="C515" s="22"/>
      <c r="J515" s="714"/>
      <c r="K515" s="714"/>
    </row>
    <row r="516" spans="1:11" ht="13">
      <c r="A516" s="721"/>
      <c r="B516" s="22"/>
      <c r="C516" s="22"/>
      <c r="J516" s="714"/>
      <c r="K516" s="714"/>
    </row>
    <row r="517" spans="1:11" ht="13">
      <c r="A517" s="721"/>
      <c r="B517" s="22"/>
      <c r="C517" s="22"/>
      <c r="J517" s="714"/>
      <c r="K517" s="714"/>
    </row>
    <row r="518" spans="1:11" ht="13">
      <c r="A518" s="721"/>
      <c r="B518" s="22"/>
      <c r="C518" s="22"/>
      <c r="J518" s="714"/>
      <c r="K518" s="714"/>
    </row>
    <row r="519" spans="1:11" ht="13">
      <c r="A519" s="721"/>
      <c r="B519" s="22"/>
      <c r="C519" s="22"/>
      <c r="J519" s="714"/>
      <c r="K519" s="714"/>
    </row>
    <row r="520" spans="1:11" ht="13">
      <c r="A520" s="721"/>
      <c r="B520" s="22"/>
      <c r="C520" s="22"/>
      <c r="J520" s="714"/>
      <c r="K520" s="714"/>
    </row>
    <row r="521" spans="1:11" ht="13">
      <c r="A521" s="721"/>
      <c r="B521" s="22"/>
      <c r="C521" s="22"/>
      <c r="J521" s="714"/>
      <c r="K521" s="714"/>
    </row>
    <row r="522" spans="1:11" ht="13">
      <c r="A522" s="721"/>
      <c r="B522" s="22"/>
      <c r="C522" s="22"/>
      <c r="J522" s="714"/>
      <c r="K522" s="714"/>
    </row>
    <row r="523" spans="1:11" ht="13">
      <c r="A523" s="721"/>
      <c r="B523" s="22"/>
      <c r="C523" s="22"/>
      <c r="J523" s="714"/>
      <c r="K523" s="714"/>
    </row>
    <row r="524" spans="1:11" ht="13">
      <c r="A524" s="721"/>
      <c r="B524" s="22"/>
      <c r="C524" s="22"/>
      <c r="J524" s="714"/>
      <c r="K524" s="714"/>
    </row>
    <row r="525" spans="1:11" ht="13">
      <c r="A525" s="721"/>
      <c r="B525" s="22"/>
      <c r="C525" s="22"/>
      <c r="J525" s="714"/>
      <c r="K525" s="714"/>
    </row>
    <row r="526" spans="1:11" ht="13">
      <c r="A526" s="721"/>
      <c r="B526" s="22"/>
      <c r="C526" s="22"/>
      <c r="J526" s="714"/>
      <c r="K526" s="714"/>
    </row>
    <row r="527" spans="1:11" ht="13">
      <c r="A527" s="721"/>
      <c r="B527" s="22"/>
      <c r="C527" s="22"/>
      <c r="J527" s="714"/>
      <c r="K527" s="714"/>
    </row>
    <row r="528" spans="1:11" ht="13">
      <c r="A528" s="721"/>
      <c r="B528" s="22"/>
      <c r="C528" s="22"/>
      <c r="J528" s="714"/>
      <c r="K528" s="714"/>
    </row>
    <row r="529" spans="1:11" ht="13">
      <c r="A529" s="721"/>
      <c r="B529" s="22"/>
      <c r="C529" s="22"/>
      <c r="J529" s="714"/>
      <c r="K529" s="714"/>
    </row>
    <row r="530" spans="1:11" ht="13">
      <c r="A530" s="721"/>
      <c r="B530" s="22"/>
      <c r="C530" s="22"/>
      <c r="J530" s="714"/>
      <c r="K530" s="714"/>
    </row>
    <row r="531" spans="1:11" ht="13">
      <c r="A531" s="721"/>
      <c r="B531" s="22"/>
      <c r="C531" s="22"/>
      <c r="J531" s="714"/>
      <c r="K531" s="714"/>
    </row>
    <row r="532" spans="1:11" ht="13">
      <c r="A532" s="721"/>
      <c r="B532" s="22"/>
      <c r="C532" s="22"/>
      <c r="J532" s="714"/>
      <c r="K532" s="714"/>
    </row>
    <row r="533" spans="1:11" ht="13">
      <c r="A533" s="721"/>
      <c r="B533" s="22"/>
      <c r="C533" s="22"/>
      <c r="J533" s="714"/>
      <c r="K533" s="714"/>
    </row>
    <row r="534" spans="1:11" ht="13">
      <c r="A534" s="721"/>
      <c r="B534" s="22"/>
      <c r="C534" s="22"/>
      <c r="J534" s="714"/>
      <c r="K534" s="714"/>
    </row>
    <row r="535" spans="1:11" ht="13">
      <c r="A535" s="721"/>
      <c r="B535" s="22"/>
      <c r="C535" s="22"/>
      <c r="J535" s="714"/>
      <c r="K535" s="714"/>
    </row>
    <row r="536" spans="1:11" ht="13">
      <c r="A536" s="721"/>
      <c r="B536" s="22"/>
      <c r="C536" s="22"/>
      <c r="J536" s="714"/>
      <c r="K536" s="714"/>
    </row>
    <row r="537" spans="1:11" ht="13">
      <c r="A537" s="721"/>
      <c r="B537" s="22"/>
      <c r="C537" s="22"/>
      <c r="J537" s="714"/>
      <c r="K537" s="714"/>
    </row>
    <row r="538" spans="1:11" ht="13">
      <c r="A538" s="721"/>
      <c r="B538" s="22"/>
      <c r="C538" s="22"/>
      <c r="J538" s="714"/>
      <c r="K538" s="714"/>
    </row>
    <row r="539" spans="1:11" ht="13">
      <c r="A539" s="721"/>
      <c r="B539" s="22"/>
      <c r="C539" s="22"/>
      <c r="J539" s="714"/>
      <c r="K539" s="714"/>
    </row>
    <row r="540" spans="1:11" ht="13">
      <c r="A540" s="721"/>
      <c r="B540" s="22"/>
      <c r="C540" s="22"/>
      <c r="J540" s="714"/>
      <c r="K540" s="714"/>
    </row>
    <row r="541" spans="1:11" ht="13">
      <c r="A541" s="721"/>
      <c r="B541" s="22"/>
      <c r="C541" s="22"/>
      <c r="J541" s="714"/>
      <c r="K541" s="714"/>
    </row>
    <row r="542" spans="1:11" ht="13">
      <c r="A542" s="721"/>
      <c r="B542" s="22"/>
      <c r="C542" s="22"/>
      <c r="J542" s="714"/>
      <c r="K542" s="714"/>
    </row>
    <row r="543" spans="1:11" ht="13">
      <c r="A543" s="721"/>
      <c r="B543" s="22"/>
      <c r="C543" s="22"/>
      <c r="J543" s="714"/>
      <c r="K543" s="714"/>
    </row>
    <row r="544" spans="1:11" ht="13">
      <c r="A544" s="721"/>
      <c r="B544" s="22"/>
      <c r="C544" s="22"/>
      <c r="J544" s="714"/>
      <c r="K544" s="714"/>
    </row>
    <row r="545" spans="1:11" ht="13">
      <c r="A545" s="721"/>
      <c r="B545" s="22"/>
      <c r="C545" s="22"/>
      <c r="J545" s="714"/>
      <c r="K545" s="714"/>
    </row>
    <row r="546" spans="1:11" ht="13">
      <c r="A546" s="721"/>
      <c r="B546" s="22"/>
      <c r="C546" s="22"/>
      <c r="J546" s="714"/>
      <c r="K546" s="714"/>
    </row>
    <row r="547" spans="1:11" ht="13">
      <c r="A547" s="721"/>
      <c r="B547" s="22"/>
      <c r="C547" s="22"/>
      <c r="J547" s="714"/>
      <c r="K547" s="714"/>
    </row>
    <row r="548" spans="1:11" ht="13">
      <c r="A548" s="721"/>
      <c r="B548" s="22"/>
      <c r="C548" s="22"/>
      <c r="J548" s="714"/>
      <c r="K548" s="714"/>
    </row>
    <row r="549" spans="1:11" ht="13">
      <c r="A549" s="721"/>
      <c r="B549" s="22"/>
      <c r="C549" s="22"/>
      <c r="J549" s="714"/>
      <c r="K549" s="714"/>
    </row>
    <row r="550" spans="1:11" ht="13">
      <c r="A550" s="721"/>
      <c r="B550" s="22"/>
      <c r="C550" s="22"/>
      <c r="J550" s="714"/>
      <c r="K550" s="714"/>
    </row>
    <row r="551" spans="1:11" ht="13">
      <c r="A551" s="721"/>
      <c r="B551" s="22"/>
      <c r="C551" s="22"/>
      <c r="J551" s="714"/>
      <c r="K551" s="714"/>
    </row>
    <row r="552" spans="1:11" ht="13">
      <c r="A552" s="721"/>
      <c r="B552" s="22"/>
      <c r="C552" s="22"/>
      <c r="J552" s="714"/>
      <c r="K552" s="714"/>
    </row>
    <row r="553" spans="1:11" ht="13">
      <c r="A553" s="721"/>
      <c r="B553" s="22"/>
      <c r="C553" s="22"/>
      <c r="J553" s="714"/>
      <c r="K553" s="714"/>
    </row>
    <row r="554" spans="1:11" ht="13">
      <c r="A554" s="721"/>
      <c r="B554" s="22"/>
      <c r="C554" s="22"/>
      <c r="J554" s="714"/>
      <c r="K554" s="714"/>
    </row>
    <row r="555" spans="1:11" ht="13">
      <c r="A555" s="721"/>
      <c r="B555" s="22"/>
      <c r="C555" s="22"/>
      <c r="J555" s="714"/>
      <c r="K555" s="714"/>
    </row>
    <row r="556" spans="1:11" ht="13">
      <c r="A556" s="721"/>
      <c r="B556" s="22"/>
      <c r="C556" s="22"/>
      <c r="J556" s="714"/>
      <c r="K556" s="714"/>
    </row>
    <row r="557" spans="1:11" ht="13">
      <c r="A557" s="721"/>
      <c r="B557" s="22"/>
      <c r="C557" s="22"/>
      <c r="J557" s="714"/>
      <c r="K557" s="714"/>
    </row>
    <row r="558" spans="1:11" ht="13">
      <c r="A558" s="721"/>
      <c r="B558" s="22"/>
      <c r="C558" s="22"/>
      <c r="J558" s="714"/>
      <c r="K558" s="714"/>
    </row>
    <row r="559" spans="1:11" ht="13">
      <c r="A559" s="721"/>
      <c r="B559" s="22"/>
      <c r="C559" s="22"/>
      <c r="J559" s="714"/>
      <c r="K559" s="714"/>
    </row>
    <row r="560" spans="1:11" ht="13">
      <c r="A560" s="721"/>
      <c r="B560" s="22"/>
      <c r="C560" s="22"/>
      <c r="J560" s="714"/>
      <c r="K560" s="714"/>
    </row>
    <row r="561" spans="1:11" ht="13">
      <c r="A561" s="721"/>
      <c r="B561" s="22"/>
      <c r="C561" s="22"/>
      <c r="J561" s="714"/>
      <c r="K561" s="714"/>
    </row>
    <row r="562" spans="1:11" ht="13">
      <c r="A562" s="721"/>
      <c r="B562" s="22"/>
      <c r="C562" s="22"/>
      <c r="J562" s="714"/>
      <c r="K562" s="714"/>
    </row>
    <row r="563" spans="1:11" ht="13">
      <c r="A563" s="721"/>
      <c r="B563" s="22"/>
      <c r="C563" s="22"/>
      <c r="J563" s="714"/>
      <c r="K563" s="714"/>
    </row>
    <row r="564" spans="1:11" ht="13">
      <c r="A564" s="721"/>
      <c r="B564" s="22"/>
      <c r="C564" s="22"/>
      <c r="J564" s="714"/>
      <c r="K564" s="714"/>
    </row>
    <row r="565" spans="1:11" ht="13">
      <c r="A565" s="721"/>
      <c r="B565" s="22"/>
      <c r="C565" s="22"/>
      <c r="J565" s="714"/>
      <c r="K565" s="714"/>
    </row>
    <row r="566" spans="1:11" ht="13">
      <c r="A566" s="721"/>
      <c r="B566" s="22"/>
      <c r="C566" s="22"/>
      <c r="J566" s="714"/>
      <c r="K566" s="714"/>
    </row>
    <row r="567" spans="1:11" ht="13">
      <c r="A567" s="721"/>
      <c r="B567" s="22"/>
      <c r="C567" s="22"/>
      <c r="J567" s="714"/>
      <c r="K567" s="714"/>
    </row>
    <row r="568" spans="1:11" ht="13">
      <c r="A568" s="721"/>
      <c r="B568" s="22"/>
      <c r="C568" s="22"/>
      <c r="J568" s="714"/>
      <c r="K568" s="714"/>
    </row>
    <row r="569" spans="1:11" ht="13">
      <c r="A569" s="721"/>
      <c r="B569" s="22"/>
      <c r="C569" s="22"/>
      <c r="J569" s="714"/>
      <c r="K569" s="714"/>
    </row>
    <row r="570" spans="1:11" ht="13">
      <c r="A570" s="721"/>
      <c r="B570" s="22"/>
      <c r="C570" s="22"/>
      <c r="J570" s="714"/>
      <c r="K570" s="714"/>
    </row>
    <row r="571" spans="1:11" ht="13">
      <c r="A571" s="721"/>
      <c r="B571" s="22"/>
      <c r="C571" s="22"/>
      <c r="J571" s="714"/>
      <c r="K571" s="714"/>
    </row>
    <row r="572" spans="1:11" ht="13">
      <c r="A572" s="721"/>
      <c r="B572" s="22"/>
      <c r="C572" s="22"/>
      <c r="J572" s="714"/>
      <c r="K572" s="714"/>
    </row>
    <row r="573" spans="1:11" ht="13">
      <c r="A573" s="721"/>
      <c r="B573" s="22"/>
      <c r="C573" s="22"/>
      <c r="J573" s="714"/>
      <c r="K573" s="714"/>
    </row>
    <row r="574" spans="1:11" ht="13">
      <c r="A574" s="721"/>
      <c r="B574" s="22"/>
      <c r="C574" s="22"/>
      <c r="J574" s="714"/>
      <c r="K574" s="714"/>
    </row>
    <row r="575" spans="1:11" ht="13">
      <c r="A575" s="721"/>
      <c r="B575" s="22"/>
      <c r="C575" s="22"/>
      <c r="J575" s="714"/>
      <c r="K575" s="714"/>
    </row>
    <row r="576" spans="1:11" ht="13">
      <c r="A576" s="721"/>
      <c r="B576" s="22"/>
      <c r="C576" s="22"/>
      <c r="J576" s="714"/>
      <c r="K576" s="714"/>
    </row>
    <row r="577" spans="1:11" ht="13">
      <c r="A577" s="721"/>
      <c r="B577" s="22"/>
      <c r="C577" s="22"/>
      <c r="J577" s="714"/>
      <c r="K577" s="714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AC619"/>
  <sheetViews>
    <sheetView workbookViewId="0">
      <pane ySplit="6" topLeftCell="A7" activePane="bottomLeft" state="frozen"/>
      <selection pane="bottomLeft" activeCell="A3" sqref="A3"/>
    </sheetView>
  </sheetViews>
  <sheetFormatPr baseColWidth="10" defaultColWidth="12.6640625" defaultRowHeight="15.75" customHeight="1"/>
  <cols>
    <col min="1" max="1" width="10.6640625" customWidth="1"/>
    <col min="2" max="2" width="11.5" customWidth="1"/>
    <col min="3" max="3" width="11.83203125" customWidth="1"/>
    <col min="4" max="4" width="32" customWidth="1"/>
    <col min="6" max="6" width="6.1640625" customWidth="1"/>
    <col min="7" max="8" width="2.33203125" customWidth="1"/>
    <col min="12" max="12" width="16.83203125" customWidth="1"/>
    <col min="13" max="13" width="18.33203125" customWidth="1"/>
    <col min="14" max="15" width="2.33203125" customWidth="1"/>
    <col min="16" max="16" width="10.5" customWidth="1"/>
    <col min="17" max="17" width="13.1640625" customWidth="1"/>
    <col min="18" max="18" width="12.6640625" customWidth="1"/>
    <col min="19" max="19" width="16.33203125" customWidth="1"/>
    <col min="20" max="20" width="5.6640625" customWidth="1"/>
    <col min="21" max="22" width="2.33203125" customWidth="1"/>
    <col min="23" max="23" width="10.6640625" customWidth="1"/>
    <col min="27" max="27" width="10.6640625" customWidth="1"/>
    <col min="28" max="29" width="2.33203125" customWidth="1"/>
  </cols>
  <sheetData>
    <row r="1" spans="1:29" ht="15.75" customHeight="1">
      <c r="A1" s="34"/>
      <c r="B1" s="75"/>
      <c r="C1" s="731" t="s">
        <v>823</v>
      </c>
      <c r="D1" s="10"/>
      <c r="E1" s="732"/>
      <c r="F1" s="23"/>
      <c r="G1" s="719"/>
      <c r="H1" s="720"/>
      <c r="I1" s="34"/>
      <c r="J1" s="715" t="s">
        <v>824</v>
      </c>
      <c r="K1" s="10"/>
      <c r="L1" s="327"/>
      <c r="M1" s="23"/>
      <c r="N1" s="719"/>
      <c r="O1" s="720"/>
      <c r="P1" s="34"/>
      <c r="Q1" s="733" t="s">
        <v>1065</v>
      </c>
      <c r="R1" s="10"/>
      <c r="S1" s="327"/>
      <c r="T1" s="23"/>
      <c r="U1" s="719"/>
      <c r="V1" s="720"/>
      <c r="W1" s="34"/>
      <c r="X1" s="734" t="s">
        <v>1066</v>
      </c>
      <c r="Y1" s="10"/>
      <c r="Z1" s="327"/>
      <c r="AA1" s="23"/>
      <c r="AB1" s="719"/>
      <c r="AC1" s="720"/>
    </row>
    <row r="2" spans="1:29" ht="15.75" customHeight="1">
      <c r="A2" s="34"/>
      <c r="B2" s="75"/>
      <c r="C2" s="23"/>
      <c r="D2" s="10"/>
      <c r="E2" s="732"/>
      <c r="F2" s="23"/>
      <c r="G2" s="719"/>
      <c r="H2" s="720"/>
      <c r="I2" s="34"/>
      <c r="J2" s="23"/>
      <c r="K2" s="10"/>
      <c r="L2" s="327"/>
      <c r="M2" s="23"/>
      <c r="N2" s="719"/>
      <c r="O2" s="720"/>
      <c r="P2" s="34"/>
      <c r="Q2" s="23"/>
      <c r="R2" s="10"/>
      <c r="S2" s="327"/>
      <c r="T2" s="23"/>
      <c r="U2" s="719"/>
      <c r="V2" s="720"/>
      <c r="W2" s="34"/>
      <c r="X2" s="23"/>
      <c r="Y2" s="10"/>
      <c r="Z2" s="327"/>
      <c r="AA2" s="23"/>
      <c r="AB2" s="719"/>
      <c r="AC2" s="720"/>
    </row>
    <row r="3" spans="1:29" ht="15.75" customHeight="1">
      <c r="A3" s="34"/>
      <c r="B3" s="75"/>
      <c r="C3" s="10" t="s">
        <v>825</v>
      </c>
      <c r="D3" s="53">
        <f>SUM(B7:B589)-SUM(C7:C589)</f>
        <v>9236.3799999993062</v>
      </c>
      <c r="E3" s="23"/>
      <c r="F3" s="73"/>
      <c r="G3" s="719"/>
      <c r="H3" s="720"/>
      <c r="I3" s="34"/>
      <c r="J3" s="10" t="s">
        <v>825</v>
      </c>
      <c r="K3" s="53">
        <f>SUM(J7:J619)-SUM(K7:K619)</f>
        <v>29377.599999999919</v>
      </c>
      <c r="L3" s="23"/>
      <c r="M3" s="73"/>
      <c r="N3" s="719"/>
      <c r="O3" s="720"/>
      <c r="P3" s="34"/>
      <c r="Q3" s="10" t="s">
        <v>825</v>
      </c>
      <c r="R3" s="53">
        <f>SUM(Q7:Q579)-SUM(R7:R579)</f>
        <v>-16753.330000000002</v>
      </c>
      <c r="S3" s="23"/>
      <c r="T3" s="73"/>
      <c r="U3" s="719"/>
      <c r="V3" s="720"/>
      <c r="W3" s="34"/>
      <c r="X3" s="10" t="s">
        <v>825</v>
      </c>
      <c r="Y3" s="53">
        <f>SUM(X7:X579)-SUM(Y7:Y579)</f>
        <v>41.960000000035507</v>
      </c>
      <c r="Z3" s="23"/>
      <c r="AA3" s="73"/>
      <c r="AB3" s="719"/>
      <c r="AC3" s="720"/>
    </row>
    <row r="4" spans="1:29" ht="15.75" customHeight="1">
      <c r="A4" s="34"/>
      <c r="B4" s="75"/>
      <c r="C4" s="10"/>
      <c r="D4" s="23" t="s">
        <v>829</v>
      </c>
      <c r="E4" s="716">
        <f>D3-F3</f>
        <v>9236.3799999993062</v>
      </c>
      <c r="G4" s="719"/>
      <c r="H4" s="720"/>
      <c r="I4" s="34"/>
      <c r="J4" s="10"/>
      <c r="K4" s="23" t="s">
        <v>829</v>
      </c>
      <c r="L4" s="716">
        <f>K3-M3</f>
        <v>29377.599999999919</v>
      </c>
      <c r="N4" s="719"/>
      <c r="O4" s="720"/>
      <c r="P4" s="34"/>
      <c r="Q4" s="10"/>
      <c r="R4" s="23" t="s">
        <v>829</v>
      </c>
      <c r="S4" s="735">
        <f>R3-T3</f>
        <v>-16753.330000000002</v>
      </c>
      <c r="U4" s="719"/>
      <c r="V4" s="720"/>
      <c r="W4" s="34"/>
      <c r="X4" s="10"/>
      <c r="Y4" s="23" t="s">
        <v>829</v>
      </c>
      <c r="Z4" s="736">
        <f>Y3-AA3</f>
        <v>41.960000000035507</v>
      </c>
      <c r="AB4" s="719"/>
      <c r="AC4" s="720"/>
    </row>
    <row r="5" spans="1:29" ht="15.75" customHeight="1">
      <c r="A5" s="34"/>
      <c r="B5" s="75"/>
      <c r="C5" s="75"/>
      <c r="D5" s="10"/>
      <c r="E5" s="23"/>
      <c r="F5" s="10"/>
      <c r="G5" s="719"/>
      <c r="H5" s="720"/>
      <c r="I5" s="34"/>
      <c r="J5" s="75"/>
      <c r="K5" s="75"/>
      <c r="L5" s="10"/>
      <c r="M5" s="737"/>
      <c r="N5" s="719"/>
      <c r="O5" s="720"/>
      <c r="P5" s="34"/>
      <c r="Q5" s="75"/>
      <c r="R5" s="75"/>
      <c r="S5" s="10"/>
      <c r="T5" s="737"/>
      <c r="U5" s="719"/>
      <c r="V5" s="720"/>
      <c r="W5" s="34"/>
      <c r="X5" s="75"/>
      <c r="Y5" s="75"/>
      <c r="Z5" s="10"/>
      <c r="AA5" s="737"/>
      <c r="AB5" s="719"/>
      <c r="AC5" s="720"/>
    </row>
    <row r="6" spans="1:29" ht="15.75" customHeight="1">
      <c r="A6" s="717" t="s">
        <v>55</v>
      </c>
      <c r="B6" s="75" t="s">
        <v>826</v>
      </c>
      <c r="C6" s="75" t="s">
        <v>827</v>
      </c>
      <c r="D6" s="10" t="s">
        <v>455</v>
      </c>
      <c r="E6" s="10"/>
      <c r="G6" s="719"/>
      <c r="H6" s="720"/>
      <c r="I6" s="717" t="s">
        <v>55</v>
      </c>
      <c r="J6" s="75" t="s">
        <v>826</v>
      </c>
      <c r="K6" s="75" t="s">
        <v>827</v>
      </c>
      <c r="L6" s="10" t="s">
        <v>455</v>
      </c>
      <c r="N6" s="719"/>
      <c r="O6" s="720"/>
      <c r="P6" s="717" t="s">
        <v>55</v>
      </c>
      <c r="Q6" s="75" t="s">
        <v>826</v>
      </c>
      <c r="R6" s="75" t="s">
        <v>827</v>
      </c>
      <c r="S6" s="10" t="s">
        <v>455</v>
      </c>
      <c r="U6" s="719"/>
      <c r="V6" s="720"/>
      <c r="W6" s="717" t="s">
        <v>55</v>
      </c>
      <c r="X6" s="75" t="s">
        <v>826</v>
      </c>
      <c r="Y6" s="75" t="s">
        <v>827</v>
      </c>
      <c r="Z6" s="10" t="s">
        <v>455</v>
      </c>
      <c r="AB6" s="719"/>
      <c r="AC6" s="720"/>
    </row>
    <row r="7" spans="1:29" ht="15.75" customHeight="1">
      <c r="A7" s="83" t="s">
        <v>830</v>
      </c>
      <c r="B7" s="22">
        <v>10000</v>
      </c>
      <c r="C7" s="22"/>
      <c r="D7" s="23" t="s">
        <v>1067</v>
      </c>
      <c r="E7" s="23" t="s">
        <v>1068</v>
      </c>
      <c r="G7" s="719"/>
      <c r="H7" s="720"/>
      <c r="I7" s="107">
        <v>44569</v>
      </c>
      <c r="J7" s="22">
        <v>5000</v>
      </c>
      <c r="K7" s="22"/>
      <c r="L7" s="23" t="s">
        <v>1069</v>
      </c>
      <c r="N7" s="719"/>
      <c r="O7" s="720"/>
      <c r="P7" s="82">
        <v>45693</v>
      </c>
      <c r="Q7" s="22">
        <v>0</v>
      </c>
      <c r="R7" s="22"/>
      <c r="U7" s="719"/>
      <c r="V7" s="720"/>
      <c r="W7" s="107">
        <v>45388</v>
      </c>
      <c r="X7" s="22">
        <v>1300</v>
      </c>
      <c r="Y7" s="22"/>
      <c r="Z7" s="23" t="s">
        <v>1070</v>
      </c>
      <c r="AB7" s="719"/>
      <c r="AC7" s="720"/>
    </row>
    <row r="8" spans="1:29" ht="15.75" customHeight="1">
      <c r="A8" s="83" t="s">
        <v>1071</v>
      </c>
      <c r="B8" s="22">
        <v>5433</v>
      </c>
      <c r="C8" s="22"/>
      <c r="D8" s="23" t="s">
        <v>1067</v>
      </c>
      <c r="E8" s="23" t="s">
        <v>1068</v>
      </c>
      <c r="G8" s="719"/>
      <c r="H8" s="720"/>
      <c r="I8" s="107">
        <v>44569</v>
      </c>
      <c r="J8" s="22"/>
      <c r="K8" s="22">
        <v>843</v>
      </c>
      <c r="L8" s="23" t="s">
        <v>1072</v>
      </c>
      <c r="N8" s="719"/>
      <c r="O8" s="720"/>
      <c r="P8" s="82">
        <v>45782</v>
      </c>
      <c r="Q8" s="22"/>
      <c r="R8" s="22">
        <v>3100</v>
      </c>
      <c r="S8" s="23" t="s">
        <v>1073</v>
      </c>
      <c r="U8" s="719"/>
      <c r="V8" s="720"/>
      <c r="W8" s="107">
        <v>45388</v>
      </c>
      <c r="X8" s="22"/>
      <c r="Y8" s="22">
        <v>20</v>
      </c>
      <c r="Z8" s="23" t="s">
        <v>1074</v>
      </c>
      <c r="AB8" s="719"/>
      <c r="AC8" s="720"/>
    </row>
    <row r="9" spans="1:29" ht="15.75" customHeight="1">
      <c r="A9" s="83" t="s">
        <v>129</v>
      </c>
      <c r="B9" s="22"/>
      <c r="C9" s="22">
        <v>5660</v>
      </c>
      <c r="D9" s="23" t="s">
        <v>961</v>
      </c>
      <c r="G9" s="719"/>
      <c r="H9" s="720"/>
      <c r="I9" s="107">
        <v>44569</v>
      </c>
      <c r="J9" s="22"/>
      <c r="K9" s="22">
        <v>40</v>
      </c>
      <c r="L9" s="23" t="s">
        <v>838</v>
      </c>
      <c r="N9" s="719"/>
      <c r="O9" s="720"/>
      <c r="P9" s="82">
        <v>45782</v>
      </c>
      <c r="Q9" s="22"/>
      <c r="R9" s="22">
        <v>15</v>
      </c>
      <c r="S9" s="23" t="s">
        <v>1075</v>
      </c>
      <c r="U9" s="719"/>
      <c r="V9" s="720"/>
      <c r="W9" s="107">
        <v>45388</v>
      </c>
      <c r="X9" s="22"/>
      <c r="Y9" s="22">
        <v>12.8</v>
      </c>
      <c r="Z9" s="23" t="s">
        <v>1076</v>
      </c>
      <c r="AB9" s="719"/>
      <c r="AC9" s="720"/>
    </row>
    <row r="10" spans="1:29" ht="15.75" customHeight="1">
      <c r="A10" s="83" t="s">
        <v>129</v>
      </c>
      <c r="B10" s="22"/>
      <c r="C10" s="22">
        <v>1.9</v>
      </c>
      <c r="D10" s="23" t="s">
        <v>838</v>
      </c>
      <c r="G10" s="719"/>
      <c r="H10" s="720"/>
      <c r="I10" s="83" t="s">
        <v>832</v>
      </c>
      <c r="J10" s="22"/>
      <c r="K10" s="22">
        <v>31.63</v>
      </c>
      <c r="L10" s="23" t="s">
        <v>1077</v>
      </c>
      <c r="N10" s="719"/>
      <c r="O10" s="720"/>
      <c r="P10" s="82">
        <v>45782</v>
      </c>
      <c r="Q10" s="22"/>
      <c r="R10" s="22">
        <v>1300</v>
      </c>
      <c r="S10" s="23" t="s">
        <v>1078</v>
      </c>
      <c r="U10" s="719"/>
      <c r="V10" s="720"/>
      <c r="W10" s="107">
        <v>45418</v>
      </c>
      <c r="X10" s="22"/>
      <c r="Y10" s="22">
        <v>300</v>
      </c>
      <c r="Z10" s="23" t="s">
        <v>1079</v>
      </c>
      <c r="AB10" s="719"/>
      <c r="AC10" s="720"/>
    </row>
    <row r="11" spans="1:29" ht="15.75" customHeight="1">
      <c r="A11" s="83" t="s">
        <v>129</v>
      </c>
      <c r="B11" s="22">
        <v>4200</v>
      </c>
      <c r="C11" s="22"/>
      <c r="D11" s="23" t="s">
        <v>1080</v>
      </c>
      <c r="E11" s="23" t="s">
        <v>1081</v>
      </c>
      <c r="G11" s="719"/>
      <c r="H11" s="720"/>
      <c r="I11" s="107">
        <v>44570</v>
      </c>
      <c r="J11" s="22"/>
      <c r="K11" s="22">
        <v>713</v>
      </c>
      <c r="L11" s="23" t="s">
        <v>1072</v>
      </c>
      <c r="N11" s="719"/>
      <c r="O11" s="720"/>
      <c r="P11" s="82">
        <v>45782</v>
      </c>
      <c r="Q11" s="22"/>
      <c r="R11" s="22">
        <v>833.33</v>
      </c>
      <c r="S11" s="23" t="s">
        <v>1082</v>
      </c>
      <c r="U11" s="719"/>
      <c r="V11" s="720"/>
      <c r="W11" s="107">
        <v>45418</v>
      </c>
      <c r="X11" s="22"/>
      <c r="Y11" s="22">
        <v>800</v>
      </c>
      <c r="Z11" s="23" t="s">
        <v>1079</v>
      </c>
      <c r="AB11" s="719"/>
      <c r="AC11" s="720"/>
    </row>
    <row r="12" spans="1:29" ht="15.75" customHeight="1">
      <c r="A12" s="107">
        <v>44594</v>
      </c>
      <c r="B12" s="22"/>
      <c r="C12" s="22">
        <v>1290</v>
      </c>
      <c r="D12" s="23" t="s">
        <v>1083</v>
      </c>
      <c r="G12" s="719"/>
      <c r="H12" s="720"/>
      <c r="I12" s="107">
        <v>44570</v>
      </c>
      <c r="J12" s="22"/>
      <c r="K12" s="22">
        <v>60</v>
      </c>
      <c r="L12" s="23" t="s">
        <v>838</v>
      </c>
      <c r="N12" s="719"/>
      <c r="O12" s="720"/>
      <c r="P12" s="82">
        <v>45813</v>
      </c>
      <c r="Q12" s="22"/>
      <c r="R12" s="22">
        <v>40</v>
      </c>
      <c r="S12" s="23" t="s">
        <v>754</v>
      </c>
      <c r="U12" s="719"/>
      <c r="V12" s="720"/>
      <c r="W12" s="83" t="s">
        <v>1084</v>
      </c>
      <c r="X12" s="22"/>
      <c r="Y12" s="22">
        <v>95</v>
      </c>
      <c r="Z12" s="23" t="s">
        <v>1085</v>
      </c>
      <c r="AA12" s="23" t="s">
        <v>1086</v>
      </c>
      <c r="AB12" s="719"/>
      <c r="AC12" s="720"/>
    </row>
    <row r="13" spans="1:29" ht="15.75" customHeight="1">
      <c r="A13" s="107">
        <v>44594</v>
      </c>
      <c r="B13" s="22"/>
      <c r="C13" s="22">
        <v>1.9</v>
      </c>
      <c r="D13" s="23" t="s">
        <v>838</v>
      </c>
      <c r="G13" s="719"/>
      <c r="H13" s="720"/>
      <c r="I13" s="107">
        <v>44570</v>
      </c>
      <c r="J13" s="22"/>
      <c r="K13" s="22">
        <v>514</v>
      </c>
      <c r="L13" s="23" t="s">
        <v>1087</v>
      </c>
      <c r="N13" s="719"/>
      <c r="O13" s="720"/>
      <c r="P13" s="82">
        <v>45813</v>
      </c>
      <c r="Q13" s="22"/>
      <c r="R13" s="22">
        <v>40</v>
      </c>
      <c r="S13" s="23" t="s">
        <v>754</v>
      </c>
      <c r="U13" s="719"/>
      <c r="V13" s="720"/>
      <c r="W13" s="83" t="s">
        <v>1088</v>
      </c>
      <c r="X13" s="22">
        <v>1300</v>
      </c>
      <c r="Y13" s="22"/>
      <c r="Z13" s="23" t="s">
        <v>1070</v>
      </c>
      <c r="AB13" s="719"/>
      <c r="AC13" s="720"/>
    </row>
    <row r="14" spans="1:29" ht="15.75" customHeight="1">
      <c r="A14" s="83" t="s">
        <v>1089</v>
      </c>
      <c r="B14" s="22">
        <v>3250</v>
      </c>
      <c r="C14" s="22"/>
      <c r="D14" s="23" t="s">
        <v>1080</v>
      </c>
      <c r="E14" s="23" t="s">
        <v>1090</v>
      </c>
      <c r="G14" s="719"/>
      <c r="H14" s="720"/>
      <c r="I14" s="107">
        <v>44570</v>
      </c>
      <c r="J14" s="22"/>
      <c r="K14" s="22">
        <v>60</v>
      </c>
      <c r="L14" s="23" t="s">
        <v>838</v>
      </c>
      <c r="N14" s="719"/>
      <c r="O14" s="720"/>
      <c r="P14" s="82">
        <v>45813</v>
      </c>
      <c r="Q14" s="22"/>
      <c r="R14" s="22">
        <v>2500</v>
      </c>
      <c r="S14" s="23" t="s">
        <v>1091</v>
      </c>
      <c r="T14" s="23" t="s">
        <v>1092</v>
      </c>
      <c r="U14" s="719"/>
      <c r="V14" s="720"/>
      <c r="W14" s="83" t="s">
        <v>1088</v>
      </c>
      <c r="X14" s="280"/>
      <c r="Y14" s="22">
        <v>20</v>
      </c>
      <c r="Z14" s="23" t="s">
        <v>1074</v>
      </c>
      <c r="AB14" s="719"/>
      <c r="AC14" s="720"/>
    </row>
    <row r="15" spans="1:29" ht="15.75" customHeight="1">
      <c r="A15" s="83" t="s">
        <v>839</v>
      </c>
      <c r="B15" s="22"/>
      <c r="C15" s="22">
        <v>8000</v>
      </c>
      <c r="D15" s="23" t="s">
        <v>961</v>
      </c>
      <c r="F15" s="22"/>
      <c r="G15" s="719"/>
      <c r="H15" s="720"/>
      <c r="I15" s="107">
        <v>44570</v>
      </c>
      <c r="J15" s="22"/>
      <c r="K15" s="22">
        <v>514</v>
      </c>
      <c r="L15" s="23" t="s">
        <v>1093</v>
      </c>
      <c r="N15" s="719"/>
      <c r="O15" s="720"/>
      <c r="P15" s="82">
        <v>45843</v>
      </c>
      <c r="Q15" s="22"/>
      <c r="R15" s="22">
        <v>110</v>
      </c>
      <c r="S15" s="80" t="s">
        <v>1094</v>
      </c>
      <c r="U15" s="719"/>
      <c r="V15" s="720"/>
      <c r="W15" s="83" t="s">
        <v>1088</v>
      </c>
      <c r="X15" s="280"/>
      <c r="Y15" s="22">
        <v>12.8</v>
      </c>
      <c r="Z15" s="23" t="s">
        <v>1076</v>
      </c>
      <c r="AB15" s="719"/>
      <c r="AC15" s="720"/>
    </row>
    <row r="16" spans="1:29" ht="15.75" customHeight="1">
      <c r="A16" s="83" t="s">
        <v>839</v>
      </c>
      <c r="B16" s="22"/>
      <c r="C16" s="22">
        <v>1.9</v>
      </c>
      <c r="D16" s="23" t="s">
        <v>838</v>
      </c>
      <c r="E16" s="22"/>
      <c r="G16" s="719"/>
      <c r="H16" s="720"/>
      <c r="I16" s="107">
        <v>44570</v>
      </c>
      <c r="J16" s="22"/>
      <c r="K16" s="22">
        <v>60</v>
      </c>
      <c r="L16" s="23" t="s">
        <v>838</v>
      </c>
      <c r="M16" s="22"/>
      <c r="N16" s="719"/>
      <c r="O16" s="720"/>
      <c r="P16" s="82">
        <v>45843</v>
      </c>
      <c r="Q16" s="22"/>
      <c r="R16" s="22">
        <v>2500</v>
      </c>
      <c r="S16" s="23" t="s">
        <v>1095</v>
      </c>
      <c r="T16" s="23" t="s">
        <v>1096</v>
      </c>
      <c r="U16" s="719"/>
      <c r="V16" s="720"/>
      <c r="W16" s="83" t="s">
        <v>283</v>
      </c>
      <c r="X16" s="280"/>
      <c r="Y16" s="22">
        <v>1100</v>
      </c>
      <c r="Z16" s="23" t="s">
        <v>1079</v>
      </c>
      <c r="AB16" s="719"/>
      <c r="AC16" s="720"/>
    </row>
    <row r="17" spans="1:29" ht="15.75" customHeight="1">
      <c r="A17" s="83" t="s">
        <v>839</v>
      </c>
      <c r="B17" s="22"/>
      <c r="C17" s="22">
        <v>5278</v>
      </c>
      <c r="D17" s="23" t="s">
        <v>961</v>
      </c>
      <c r="E17" s="22" t="s">
        <v>1097</v>
      </c>
      <c r="F17" s="22"/>
      <c r="G17" s="719"/>
      <c r="H17" s="720"/>
      <c r="I17" s="107">
        <v>44570</v>
      </c>
      <c r="J17" s="22"/>
      <c r="K17" s="22">
        <v>60</v>
      </c>
      <c r="L17" s="23" t="s">
        <v>1098</v>
      </c>
      <c r="M17" s="22"/>
      <c r="N17" s="719"/>
      <c r="O17" s="720"/>
      <c r="P17" s="82">
        <v>45694</v>
      </c>
      <c r="Q17" s="22"/>
      <c r="R17" s="22">
        <v>15</v>
      </c>
      <c r="S17" s="23" t="s">
        <v>1075</v>
      </c>
      <c r="U17" s="719"/>
      <c r="V17" s="720"/>
      <c r="W17" s="83" t="s">
        <v>903</v>
      </c>
      <c r="X17" s="280"/>
      <c r="Y17" s="22">
        <v>100</v>
      </c>
      <c r="Z17" s="23" t="s">
        <v>1099</v>
      </c>
      <c r="AA17" s="23" t="s">
        <v>1100</v>
      </c>
      <c r="AB17" s="719"/>
      <c r="AC17" s="720"/>
    </row>
    <row r="18" spans="1:29" ht="15.75" customHeight="1">
      <c r="A18" s="83" t="s">
        <v>839</v>
      </c>
      <c r="B18" s="22"/>
      <c r="C18" s="22">
        <v>1.9</v>
      </c>
      <c r="D18" s="23" t="s">
        <v>838</v>
      </c>
      <c r="E18" s="22"/>
      <c r="F18" s="22"/>
      <c r="G18" s="719"/>
      <c r="H18" s="720"/>
      <c r="I18" s="107">
        <v>44570</v>
      </c>
      <c r="J18" s="22"/>
      <c r="K18" s="22">
        <v>60</v>
      </c>
      <c r="L18" s="23" t="s">
        <v>838</v>
      </c>
      <c r="M18" s="22"/>
      <c r="N18" s="719"/>
      <c r="O18" s="720"/>
      <c r="P18" s="82">
        <v>45694</v>
      </c>
      <c r="Q18" s="22"/>
      <c r="R18" s="22">
        <v>1300</v>
      </c>
      <c r="S18" s="23" t="s">
        <v>1078</v>
      </c>
      <c r="U18" s="719"/>
      <c r="V18" s="720"/>
      <c r="W18" s="83" t="s">
        <v>1101</v>
      </c>
      <c r="X18" s="280"/>
      <c r="Y18" s="22">
        <v>50</v>
      </c>
      <c r="Z18" s="23" t="s">
        <v>1102</v>
      </c>
      <c r="AB18" s="719"/>
      <c r="AC18" s="720"/>
    </row>
    <row r="19" spans="1:29" ht="15.75" customHeight="1">
      <c r="A19" s="83" t="s">
        <v>137</v>
      </c>
      <c r="B19" s="22">
        <v>10000</v>
      </c>
      <c r="C19" s="22"/>
      <c r="D19" s="23" t="s">
        <v>1080</v>
      </c>
      <c r="E19" s="22" t="s">
        <v>1103</v>
      </c>
      <c r="F19" s="22"/>
      <c r="G19" s="719"/>
      <c r="H19" s="720"/>
      <c r="I19" s="107">
        <v>44813</v>
      </c>
      <c r="J19" s="22">
        <v>4171</v>
      </c>
      <c r="K19" s="22"/>
      <c r="L19" s="23" t="s">
        <v>1104</v>
      </c>
      <c r="M19" s="22" t="s">
        <v>1105</v>
      </c>
      <c r="N19" s="719"/>
      <c r="O19" s="720"/>
      <c r="P19" s="82">
        <v>45694</v>
      </c>
      <c r="Q19" s="22"/>
      <c r="R19" s="22">
        <v>2500</v>
      </c>
      <c r="S19" s="23" t="s">
        <v>1082</v>
      </c>
      <c r="U19" s="719"/>
      <c r="V19" s="720"/>
      <c r="W19" s="83" t="s">
        <v>1101</v>
      </c>
      <c r="X19" s="280"/>
      <c r="Y19" s="22">
        <v>50</v>
      </c>
      <c r="Z19" s="23" t="s">
        <v>1106</v>
      </c>
      <c r="AB19" s="719"/>
      <c r="AC19" s="720"/>
    </row>
    <row r="20" spans="1:29" ht="15.75" customHeight="1">
      <c r="A20" s="107">
        <v>44623</v>
      </c>
      <c r="B20" s="22">
        <v>626</v>
      </c>
      <c r="C20" s="22"/>
      <c r="D20" s="23" t="s">
        <v>1080</v>
      </c>
      <c r="E20" s="22" t="s">
        <v>1103</v>
      </c>
      <c r="F20" s="22"/>
      <c r="G20" s="719"/>
      <c r="H20" s="720"/>
      <c r="I20" s="107">
        <v>44813</v>
      </c>
      <c r="J20" s="22">
        <v>9200</v>
      </c>
      <c r="K20" s="22"/>
      <c r="L20" s="23" t="s">
        <v>1104</v>
      </c>
      <c r="M20" s="22" t="s">
        <v>1107</v>
      </c>
      <c r="N20" s="719"/>
      <c r="O20" s="720"/>
      <c r="P20" s="82">
        <v>45936</v>
      </c>
      <c r="Q20" s="22"/>
      <c r="R20" s="22">
        <v>2500</v>
      </c>
      <c r="S20" s="23" t="s">
        <v>1095</v>
      </c>
      <c r="T20" s="23" t="s">
        <v>1108</v>
      </c>
      <c r="U20" s="719"/>
      <c r="V20" s="720"/>
      <c r="W20" s="83" t="s">
        <v>290</v>
      </c>
      <c r="X20" s="280">
        <v>2040</v>
      </c>
      <c r="Y20" s="22"/>
      <c r="Z20" s="23" t="s">
        <v>1070</v>
      </c>
      <c r="AB20" s="719"/>
      <c r="AC20" s="720"/>
    </row>
    <row r="21" spans="1:29" ht="15.75" customHeight="1">
      <c r="A21" s="83" t="s">
        <v>1109</v>
      </c>
      <c r="B21" s="22">
        <v>3800</v>
      </c>
      <c r="C21" s="22"/>
      <c r="D21" s="23" t="s">
        <v>1080</v>
      </c>
      <c r="E21" s="22" t="s">
        <v>1110</v>
      </c>
      <c r="F21" s="22"/>
      <c r="G21" s="719"/>
      <c r="H21" s="720"/>
      <c r="I21" s="83" t="s">
        <v>837</v>
      </c>
      <c r="J21" s="22"/>
      <c r="K21" s="22">
        <v>31.11</v>
      </c>
      <c r="L21" s="23" t="s">
        <v>1077</v>
      </c>
      <c r="M21" s="22"/>
      <c r="N21" s="719"/>
      <c r="O21" s="720"/>
      <c r="Q21" s="22"/>
      <c r="R21" s="22"/>
      <c r="U21" s="719"/>
      <c r="V21" s="720"/>
      <c r="W21" s="83" t="s">
        <v>290</v>
      </c>
      <c r="X21" s="280"/>
      <c r="Y21" s="22">
        <v>20.399999999999999</v>
      </c>
      <c r="Z21" s="23" t="s">
        <v>1074</v>
      </c>
      <c r="AB21" s="719"/>
      <c r="AC21" s="720"/>
    </row>
    <row r="22" spans="1:29" ht="15.75" customHeight="1">
      <c r="A22" s="83" t="s">
        <v>1111</v>
      </c>
      <c r="B22" s="22"/>
      <c r="C22" s="22">
        <v>4953</v>
      </c>
      <c r="D22" s="23" t="s">
        <v>961</v>
      </c>
      <c r="E22" s="22" t="s">
        <v>1112</v>
      </c>
      <c r="F22" s="22"/>
      <c r="G22" s="719"/>
      <c r="H22" s="720"/>
      <c r="I22" s="83" t="s">
        <v>176</v>
      </c>
      <c r="J22" s="22">
        <v>11216.18</v>
      </c>
      <c r="K22" s="22"/>
      <c r="L22" s="23" t="s">
        <v>1104</v>
      </c>
      <c r="M22" s="22" t="s">
        <v>1113</v>
      </c>
      <c r="N22" s="719"/>
      <c r="O22" s="720"/>
      <c r="Q22" s="22"/>
      <c r="R22" s="22"/>
      <c r="U22" s="719"/>
      <c r="V22" s="720"/>
      <c r="W22" s="107">
        <v>45299</v>
      </c>
      <c r="X22" s="280"/>
      <c r="Y22" s="22">
        <v>900</v>
      </c>
      <c r="Z22" s="23" t="s">
        <v>1114</v>
      </c>
      <c r="AB22" s="719"/>
      <c r="AC22" s="720"/>
    </row>
    <row r="23" spans="1:29" ht="15.75" customHeight="1">
      <c r="A23" s="83" t="s">
        <v>1111</v>
      </c>
      <c r="B23" s="22"/>
      <c r="C23" s="22">
        <v>1.9</v>
      </c>
      <c r="D23" s="23" t="s">
        <v>838</v>
      </c>
      <c r="E23" s="22"/>
      <c r="F23" s="22"/>
      <c r="G23" s="719"/>
      <c r="H23" s="720"/>
      <c r="I23" s="107">
        <v>44661</v>
      </c>
      <c r="J23" s="22"/>
      <c r="K23" s="22">
        <v>700</v>
      </c>
      <c r="L23" s="23" t="s">
        <v>1072</v>
      </c>
      <c r="M23" s="22"/>
      <c r="N23" s="719"/>
      <c r="O23" s="720"/>
      <c r="Q23" s="22"/>
      <c r="R23" s="22"/>
      <c r="U23" s="719"/>
      <c r="V23" s="720"/>
      <c r="W23" s="107">
        <v>45299</v>
      </c>
      <c r="X23" s="280"/>
      <c r="Y23" s="22">
        <v>1100</v>
      </c>
      <c r="Z23" s="23" t="s">
        <v>1079</v>
      </c>
      <c r="AB23" s="719"/>
      <c r="AC23" s="720"/>
    </row>
    <row r="24" spans="1:29" ht="15.75" customHeight="1">
      <c r="A24" s="83" t="s">
        <v>1115</v>
      </c>
      <c r="B24" s="22">
        <v>7788</v>
      </c>
      <c r="C24" s="22"/>
      <c r="D24" s="23" t="s">
        <v>1080</v>
      </c>
      <c r="E24" s="22" t="s">
        <v>1116</v>
      </c>
      <c r="F24" s="22"/>
      <c r="G24" s="719"/>
      <c r="H24" s="720"/>
      <c r="I24" s="107">
        <v>44661</v>
      </c>
      <c r="J24" s="22"/>
      <c r="K24" s="22">
        <v>40</v>
      </c>
      <c r="L24" s="23" t="s">
        <v>838</v>
      </c>
      <c r="M24" s="22"/>
      <c r="N24" s="719"/>
      <c r="O24" s="720"/>
      <c r="Q24" s="22"/>
      <c r="R24" s="22"/>
      <c r="U24" s="719"/>
      <c r="V24" s="720"/>
      <c r="W24" s="107">
        <v>45299</v>
      </c>
      <c r="X24" s="280"/>
      <c r="Y24" s="22">
        <v>50</v>
      </c>
      <c r="Z24" s="23" t="s">
        <v>1117</v>
      </c>
      <c r="AB24" s="719"/>
      <c r="AC24" s="720"/>
    </row>
    <row r="25" spans="1:29" ht="15.75" customHeight="1">
      <c r="A25" s="83" t="s">
        <v>1118</v>
      </c>
      <c r="B25" s="22">
        <v>5000</v>
      </c>
      <c r="C25" s="22"/>
      <c r="D25" s="23" t="s">
        <v>1080</v>
      </c>
      <c r="E25" s="22" t="s">
        <v>1116</v>
      </c>
      <c r="F25" s="22"/>
      <c r="G25" s="719"/>
      <c r="H25" s="720"/>
      <c r="I25" s="107">
        <v>44661</v>
      </c>
      <c r="J25" s="22"/>
      <c r="K25" s="22">
        <v>510</v>
      </c>
      <c r="L25" s="23" t="s">
        <v>1119</v>
      </c>
      <c r="M25" s="22"/>
      <c r="N25" s="719"/>
      <c r="O25" s="720"/>
      <c r="Q25" s="22"/>
      <c r="R25" s="22"/>
      <c r="U25" s="719"/>
      <c r="V25" s="720"/>
      <c r="W25" s="83" t="s">
        <v>998</v>
      </c>
      <c r="X25" s="280">
        <v>4720</v>
      </c>
      <c r="Y25" s="22"/>
      <c r="Z25" s="23" t="s">
        <v>1070</v>
      </c>
      <c r="AB25" s="719"/>
      <c r="AC25" s="720"/>
    </row>
    <row r="26" spans="1:29" ht="15.75" customHeight="1">
      <c r="A26" s="107">
        <v>44565</v>
      </c>
      <c r="B26" s="22"/>
      <c r="C26" s="22">
        <v>4514</v>
      </c>
      <c r="D26" s="23" t="s">
        <v>1120</v>
      </c>
      <c r="F26" s="22"/>
      <c r="G26" s="719"/>
      <c r="H26" s="720"/>
      <c r="I26" s="107">
        <v>44661</v>
      </c>
      <c r="J26" s="22"/>
      <c r="K26" s="22">
        <v>40</v>
      </c>
      <c r="L26" s="23" t="s">
        <v>838</v>
      </c>
      <c r="N26" s="719"/>
      <c r="O26" s="720"/>
      <c r="Q26" s="22"/>
      <c r="R26" s="22"/>
      <c r="U26" s="719"/>
      <c r="V26" s="720"/>
      <c r="W26" s="83" t="s">
        <v>998</v>
      </c>
      <c r="X26" s="280"/>
      <c r="Y26" s="22">
        <v>47.2</v>
      </c>
      <c r="Z26" s="23" t="s">
        <v>1074</v>
      </c>
      <c r="AB26" s="719"/>
      <c r="AC26" s="720"/>
    </row>
    <row r="27" spans="1:29" ht="15.75" customHeight="1">
      <c r="A27" s="107">
        <v>44655</v>
      </c>
      <c r="B27" s="22">
        <v>9000</v>
      </c>
      <c r="C27" s="22"/>
      <c r="D27" s="23" t="s">
        <v>1121</v>
      </c>
      <c r="E27" s="22" t="s">
        <v>1122</v>
      </c>
      <c r="F27" s="22"/>
      <c r="G27" s="719"/>
      <c r="H27" s="720"/>
      <c r="I27" s="107">
        <v>44661</v>
      </c>
      <c r="J27" s="22"/>
      <c r="K27" s="22">
        <v>510</v>
      </c>
      <c r="L27" s="23" t="s">
        <v>1123</v>
      </c>
      <c r="M27" s="22"/>
      <c r="N27" s="719"/>
      <c r="O27" s="720"/>
      <c r="Q27" s="22"/>
      <c r="R27" s="22"/>
      <c r="U27" s="719"/>
      <c r="V27" s="720"/>
      <c r="W27" s="107">
        <v>45331</v>
      </c>
      <c r="X27" s="280"/>
      <c r="Y27" s="22">
        <v>1300</v>
      </c>
      <c r="Z27" s="23" t="s">
        <v>1124</v>
      </c>
      <c r="AB27" s="719"/>
      <c r="AC27" s="720"/>
    </row>
    <row r="28" spans="1:29" ht="15.75" customHeight="1">
      <c r="A28" s="107">
        <v>44655</v>
      </c>
      <c r="B28" s="22"/>
      <c r="C28" s="22">
        <v>2500</v>
      </c>
      <c r="D28" s="23" t="s">
        <v>1125</v>
      </c>
      <c r="E28" s="22"/>
      <c r="F28" s="22"/>
      <c r="G28" s="719"/>
      <c r="H28" s="720"/>
      <c r="I28" s="107">
        <v>44661</v>
      </c>
      <c r="J28" s="22"/>
      <c r="K28" s="22">
        <v>40</v>
      </c>
      <c r="L28" s="23" t="s">
        <v>838</v>
      </c>
      <c r="M28" s="22"/>
      <c r="N28" s="719"/>
      <c r="O28" s="720"/>
      <c r="Q28" s="22"/>
      <c r="R28" s="22"/>
      <c r="U28" s="719"/>
      <c r="V28" s="720"/>
      <c r="W28" s="107">
        <v>45331</v>
      </c>
      <c r="X28" s="280"/>
      <c r="Y28" s="22">
        <v>1300</v>
      </c>
      <c r="Z28" s="23" t="s">
        <v>1126</v>
      </c>
      <c r="AB28" s="719"/>
      <c r="AC28" s="720"/>
    </row>
    <row r="29" spans="1:29" ht="15.75" customHeight="1">
      <c r="A29" s="107">
        <v>44685</v>
      </c>
      <c r="B29" s="22">
        <v>8019</v>
      </c>
      <c r="C29" s="22"/>
      <c r="D29" s="23" t="s">
        <v>1121</v>
      </c>
      <c r="E29" s="22" t="s">
        <v>1122</v>
      </c>
      <c r="F29" s="22"/>
      <c r="G29" s="719"/>
      <c r="H29" s="720"/>
      <c r="I29" s="107">
        <v>44752</v>
      </c>
      <c r="J29" s="22">
        <v>3925</v>
      </c>
      <c r="K29" s="22"/>
      <c r="L29" s="23" t="s">
        <v>1104</v>
      </c>
      <c r="M29" s="22" t="s">
        <v>1127</v>
      </c>
      <c r="N29" s="719"/>
      <c r="O29" s="720"/>
      <c r="Q29" s="22"/>
      <c r="R29" s="22"/>
      <c r="U29" s="719"/>
      <c r="V29" s="720"/>
      <c r="W29" s="107">
        <v>45331</v>
      </c>
      <c r="X29" s="280"/>
      <c r="Y29" s="22">
        <v>900</v>
      </c>
      <c r="Z29" s="23" t="s">
        <v>1128</v>
      </c>
      <c r="AB29" s="719"/>
      <c r="AC29" s="720"/>
    </row>
    <row r="30" spans="1:29" ht="15.75" customHeight="1">
      <c r="A30" s="83" t="s">
        <v>858</v>
      </c>
      <c r="B30" s="22"/>
      <c r="C30" s="22">
        <v>9000</v>
      </c>
      <c r="D30" s="23" t="s">
        <v>961</v>
      </c>
      <c r="E30" s="22"/>
      <c r="F30" s="22"/>
      <c r="G30" s="719"/>
      <c r="H30" s="720"/>
      <c r="I30" s="83" t="s">
        <v>840</v>
      </c>
      <c r="J30" s="22"/>
      <c r="K30" s="22">
        <v>25</v>
      </c>
      <c r="L30" s="23" t="s">
        <v>1129</v>
      </c>
      <c r="M30" s="22" t="s">
        <v>1130</v>
      </c>
      <c r="N30" s="719"/>
      <c r="O30" s="720"/>
      <c r="Q30" s="22"/>
      <c r="R30" s="22"/>
      <c r="U30" s="719"/>
      <c r="V30" s="720"/>
      <c r="W30" s="107">
        <v>45331</v>
      </c>
      <c r="X30" s="280"/>
      <c r="Y30" s="22">
        <v>1100</v>
      </c>
      <c r="Z30" s="23" t="s">
        <v>1079</v>
      </c>
      <c r="AB30" s="719"/>
      <c r="AC30" s="720"/>
    </row>
    <row r="31" spans="1:29" ht="15.75" customHeight="1">
      <c r="A31" s="83" t="s">
        <v>858</v>
      </c>
      <c r="B31" s="22"/>
      <c r="C31" s="22">
        <v>1.9</v>
      </c>
      <c r="D31" s="23" t="s">
        <v>838</v>
      </c>
      <c r="E31" s="22"/>
      <c r="F31" s="22"/>
      <c r="G31" s="719"/>
      <c r="H31" s="720"/>
      <c r="I31" s="83" t="s">
        <v>840</v>
      </c>
      <c r="J31" s="22">
        <v>7450</v>
      </c>
      <c r="K31" s="22"/>
      <c r="L31" s="23" t="s">
        <v>1131</v>
      </c>
      <c r="M31" s="22" t="s">
        <v>1132</v>
      </c>
      <c r="N31" s="719"/>
      <c r="O31" s="720"/>
      <c r="U31" s="719"/>
      <c r="V31" s="720"/>
      <c r="W31" s="83" t="s">
        <v>1133</v>
      </c>
      <c r="X31" s="280">
        <v>4650</v>
      </c>
      <c r="Y31" s="22"/>
      <c r="Z31" s="23" t="s">
        <v>1070</v>
      </c>
      <c r="AB31" s="719"/>
      <c r="AC31" s="720"/>
    </row>
    <row r="32" spans="1:29" ht="15.75" customHeight="1">
      <c r="A32" s="83" t="s">
        <v>859</v>
      </c>
      <c r="B32" s="22"/>
      <c r="C32" s="22">
        <v>3175</v>
      </c>
      <c r="D32" s="23" t="s">
        <v>961</v>
      </c>
      <c r="E32" s="22"/>
      <c r="F32" s="22"/>
      <c r="G32" s="719"/>
      <c r="H32" s="720"/>
      <c r="I32" s="83" t="s">
        <v>840</v>
      </c>
      <c r="J32" s="22"/>
      <c r="K32" s="22">
        <v>30.76</v>
      </c>
      <c r="L32" s="23" t="s">
        <v>1077</v>
      </c>
      <c r="M32" s="22"/>
      <c r="N32" s="719"/>
      <c r="O32" s="720"/>
      <c r="U32" s="719"/>
      <c r="V32" s="720"/>
      <c r="W32" s="83" t="s">
        <v>1133</v>
      </c>
      <c r="X32" s="280"/>
      <c r="Y32" s="22">
        <v>46.5</v>
      </c>
      <c r="Z32" s="23" t="s">
        <v>1074</v>
      </c>
      <c r="AB32" s="719"/>
      <c r="AC32" s="720"/>
    </row>
    <row r="33" spans="1:29" ht="15.75" customHeight="1">
      <c r="A33" s="83" t="s">
        <v>859</v>
      </c>
      <c r="B33" s="22"/>
      <c r="C33" s="22">
        <v>1.9</v>
      </c>
      <c r="D33" s="23" t="s">
        <v>838</v>
      </c>
      <c r="E33" s="22"/>
      <c r="F33" s="22"/>
      <c r="G33" s="719"/>
      <c r="H33" s="720"/>
      <c r="I33" s="83" t="s">
        <v>184</v>
      </c>
      <c r="J33" s="22">
        <v>7912</v>
      </c>
      <c r="K33" s="22"/>
      <c r="L33" s="23" t="s">
        <v>1104</v>
      </c>
      <c r="M33" s="23" t="s">
        <v>1134</v>
      </c>
      <c r="N33" s="719"/>
      <c r="O33" s="720"/>
      <c r="U33" s="719"/>
      <c r="V33" s="720"/>
      <c r="W33" s="107">
        <v>45301</v>
      </c>
      <c r="X33" s="22"/>
      <c r="Y33" s="22">
        <v>1300</v>
      </c>
      <c r="Z33" s="23" t="s">
        <v>1124</v>
      </c>
      <c r="AB33" s="719"/>
      <c r="AC33" s="720"/>
    </row>
    <row r="34" spans="1:29" ht="15.75" customHeight="1">
      <c r="A34" s="107">
        <v>44597</v>
      </c>
      <c r="B34" s="22">
        <v>10000</v>
      </c>
      <c r="C34" s="22"/>
      <c r="D34" s="23" t="s">
        <v>1080</v>
      </c>
      <c r="E34" s="22" t="s">
        <v>1135</v>
      </c>
      <c r="F34" s="22"/>
      <c r="G34" s="719"/>
      <c r="H34" s="720"/>
      <c r="I34" s="82">
        <v>44572</v>
      </c>
      <c r="J34" s="22"/>
      <c r="K34" s="22">
        <v>482</v>
      </c>
      <c r="L34" s="23" t="s">
        <v>1119</v>
      </c>
      <c r="N34" s="719"/>
      <c r="O34" s="720"/>
      <c r="U34" s="719"/>
      <c r="V34" s="720"/>
      <c r="W34" s="107">
        <v>45301</v>
      </c>
      <c r="X34" s="22"/>
      <c r="Y34" s="22">
        <v>1300</v>
      </c>
      <c r="Z34" s="23" t="s">
        <v>1126</v>
      </c>
      <c r="AB34" s="719"/>
      <c r="AC34" s="720"/>
    </row>
    <row r="35" spans="1:29" ht="15.75" customHeight="1">
      <c r="A35" s="107">
        <v>44597</v>
      </c>
      <c r="B35" s="22">
        <v>6353</v>
      </c>
      <c r="C35" s="22"/>
      <c r="D35" s="23" t="s">
        <v>1080</v>
      </c>
      <c r="E35" s="22" t="s">
        <v>1135</v>
      </c>
      <c r="F35" s="22"/>
      <c r="G35" s="719"/>
      <c r="H35" s="720"/>
      <c r="I35" s="82">
        <v>44572</v>
      </c>
      <c r="J35" s="22"/>
      <c r="K35" s="22">
        <v>40</v>
      </c>
      <c r="L35" s="23" t="s">
        <v>838</v>
      </c>
      <c r="N35" s="719"/>
      <c r="O35" s="720"/>
      <c r="U35" s="719"/>
      <c r="V35" s="720"/>
      <c r="W35" s="107">
        <v>45301</v>
      </c>
      <c r="X35" s="22"/>
      <c r="Y35" s="22">
        <v>900</v>
      </c>
      <c r="Z35" s="23" t="s">
        <v>1128</v>
      </c>
      <c r="AB35" s="719"/>
      <c r="AC35" s="720"/>
    </row>
    <row r="36" spans="1:29" ht="15.75" customHeight="1">
      <c r="A36" s="107">
        <v>44597</v>
      </c>
      <c r="B36" s="22"/>
      <c r="C36" s="22">
        <v>4026</v>
      </c>
      <c r="D36" s="23" t="s">
        <v>1120</v>
      </c>
      <c r="E36" s="22"/>
      <c r="F36" s="22"/>
      <c r="G36" s="719"/>
      <c r="H36" s="720"/>
      <c r="I36" s="82">
        <v>44572</v>
      </c>
      <c r="K36" s="22">
        <v>482</v>
      </c>
      <c r="L36" s="23" t="s">
        <v>1123</v>
      </c>
      <c r="N36" s="719"/>
      <c r="O36" s="720"/>
      <c r="U36" s="719"/>
      <c r="V36" s="720"/>
      <c r="W36" s="107">
        <v>45301</v>
      </c>
      <c r="X36" s="22"/>
      <c r="Y36" s="22">
        <v>404</v>
      </c>
      <c r="Z36" s="23" t="s">
        <v>1079</v>
      </c>
      <c r="AB36" s="719"/>
      <c r="AC36" s="720"/>
    </row>
    <row r="37" spans="1:29" ht="15.75" customHeight="1">
      <c r="A37" s="107">
        <v>44625</v>
      </c>
      <c r="B37" s="22">
        <v>4350</v>
      </c>
      <c r="C37" s="22"/>
      <c r="D37" s="23" t="s">
        <v>1080</v>
      </c>
      <c r="E37" s="23" t="s">
        <v>1136</v>
      </c>
      <c r="G37" s="719"/>
      <c r="H37" s="720"/>
      <c r="I37" s="82">
        <v>44572</v>
      </c>
      <c r="K37" s="22">
        <v>40</v>
      </c>
      <c r="L37" s="23" t="s">
        <v>838</v>
      </c>
      <c r="N37" s="719"/>
      <c r="O37" s="720"/>
      <c r="U37" s="719"/>
      <c r="V37" s="720"/>
      <c r="W37" s="83" t="s">
        <v>1008</v>
      </c>
      <c r="X37" s="22">
        <v>4650</v>
      </c>
      <c r="Y37" s="22"/>
      <c r="Z37" s="23" t="s">
        <v>1070</v>
      </c>
      <c r="AB37" s="719"/>
      <c r="AC37" s="720"/>
    </row>
    <row r="38" spans="1:29" ht="15.75" customHeight="1">
      <c r="A38" s="107">
        <v>44900</v>
      </c>
      <c r="B38" s="22"/>
      <c r="C38" s="22">
        <v>313</v>
      </c>
      <c r="D38" s="23" t="s">
        <v>961</v>
      </c>
      <c r="G38" s="719"/>
      <c r="H38" s="720"/>
      <c r="I38" s="82">
        <v>44572</v>
      </c>
      <c r="K38" s="22">
        <v>700</v>
      </c>
      <c r="L38" s="23" t="s">
        <v>1137</v>
      </c>
      <c r="N38" s="719"/>
      <c r="O38" s="720"/>
      <c r="U38" s="719"/>
      <c r="V38" s="720"/>
      <c r="W38" s="83" t="s">
        <v>1008</v>
      </c>
      <c r="X38" s="22"/>
      <c r="Y38" s="22">
        <v>46.5</v>
      </c>
      <c r="Z38" s="23" t="s">
        <v>1074</v>
      </c>
      <c r="AB38" s="719"/>
      <c r="AC38" s="720"/>
    </row>
    <row r="39" spans="1:29" ht="15.75" customHeight="1">
      <c r="A39" s="107">
        <v>44900</v>
      </c>
      <c r="B39" s="22"/>
      <c r="C39" s="22">
        <v>1.9</v>
      </c>
      <c r="D39" s="23" t="s">
        <v>838</v>
      </c>
      <c r="G39" s="719"/>
      <c r="H39" s="720"/>
      <c r="I39" s="82">
        <v>44572</v>
      </c>
      <c r="J39" s="22"/>
      <c r="K39" s="22">
        <v>40</v>
      </c>
      <c r="L39" s="23" t="s">
        <v>838</v>
      </c>
      <c r="N39" s="719"/>
      <c r="O39" s="720"/>
      <c r="U39" s="719"/>
      <c r="V39" s="720"/>
      <c r="W39" s="82">
        <v>45302</v>
      </c>
      <c r="Y39" s="22">
        <v>1300</v>
      </c>
      <c r="Z39" s="23" t="s">
        <v>1124</v>
      </c>
      <c r="AB39" s="719"/>
      <c r="AC39" s="720"/>
    </row>
    <row r="40" spans="1:29" ht="15.75" customHeight="1">
      <c r="A40" s="83" t="s">
        <v>874</v>
      </c>
      <c r="B40" s="22">
        <v>3200</v>
      </c>
      <c r="C40" s="22"/>
      <c r="D40" s="23" t="s">
        <v>1080</v>
      </c>
      <c r="E40" s="23" t="s">
        <v>1138</v>
      </c>
      <c r="G40" s="719"/>
      <c r="H40" s="720"/>
      <c r="I40" s="82">
        <v>44753</v>
      </c>
      <c r="K40" s="23">
        <v>24.88</v>
      </c>
      <c r="L40" s="23" t="s">
        <v>1139</v>
      </c>
      <c r="N40" s="719"/>
      <c r="O40" s="720"/>
      <c r="U40" s="719"/>
      <c r="V40" s="720"/>
      <c r="W40" s="82">
        <v>45302</v>
      </c>
      <c r="Y40" s="22">
        <v>1300</v>
      </c>
      <c r="Z40" s="23" t="s">
        <v>1126</v>
      </c>
      <c r="AB40" s="719"/>
      <c r="AC40" s="720"/>
    </row>
    <row r="41" spans="1:29" ht="15.75" customHeight="1">
      <c r="A41" s="83" t="s">
        <v>1140</v>
      </c>
      <c r="B41" s="22">
        <v>6624</v>
      </c>
      <c r="C41" s="22"/>
      <c r="D41" s="23" t="s">
        <v>1080</v>
      </c>
      <c r="E41" s="23" t="s">
        <v>1141</v>
      </c>
      <c r="G41" s="719"/>
      <c r="H41" s="720"/>
      <c r="I41" s="82">
        <v>44784</v>
      </c>
      <c r="J41" s="22">
        <v>3450</v>
      </c>
      <c r="K41" s="22"/>
      <c r="L41" s="23" t="s">
        <v>1104</v>
      </c>
      <c r="M41" s="23" t="s">
        <v>1142</v>
      </c>
      <c r="N41" s="719"/>
      <c r="O41" s="720"/>
      <c r="U41" s="719"/>
      <c r="V41" s="720"/>
      <c r="W41" s="82">
        <v>45302</v>
      </c>
      <c r="Y41" s="22">
        <v>900</v>
      </c>
      <c r="Z41" s="23" t="s">
        <v>1128</v>
      </c>
      <c r="AB41" s="719"/>
      <c r="AC41" s="720"/>
    </row>
    <row r="42" spans="1:29" ht="15.75" customHeight="1">
      <c r="A42" s="107">
        <v>44567</v>
      </c>
      <c r="B42" s="22"/>
      <c r="C42" s="22">
        <v>4026</v>
      </c>
      <c r="D42" s="23" t="s">
        <v>1120</v>
      </c>
      <c r="G42" s="719"/>
      <c r="H42" s="720"/>
      <c r="I42" s="107" t="s">
        <v>842</v>
      </c>
      <c r="J42" s="22"/>
      <c r="K42" s="22">
        <v>31.91</v>
      </c>
      <c r="L42" s="23" t="s">
        <v>1077</v>
      </c>
      <c r="N42" s="719"/>
      <c r="O42" s="720"/>
      <c r="U42" s="719"/>
      <c r="V42" s="720"/>
      <c r="W42" s="82">
        <v>45302</v>
      </c>
      <c r="Y42" s="22">
        <v>1100</v>
      </c>
      <c r="Z42" s="23" t="s">
        <v>1079</v>
      </c>
      <c r="AB42" s="719"/>
      <c r="AC42" s="720"/>
    </row>
    <row r="43" spans="1:29" ht="15.75" customHeight="1">
      <c r="A43" s="394">
        <v>44598</v>
      </c>
      <c r="C43" s="22">
        <v>4010</v>
      </c>
      <c r="D43" s="23" t="s">
        <v>961</v>
      </c>
      <c r="G43" s="719"/>
      <c r="H43" s="720"/>
      <c r="I43" s="83" t="s">
        <v>1143</v>
      </c>
      <c r="J43" s="22"/>
      <c r="K43" s="22">
        <v>25</v>
      </c>
      <c r="L43" s="23" t="s">
        <v>1129</v>
      </c>
      <c r="M43" s="23" t="s">
        <v>1130</v>
      </c>
      <c r="N43" s="719"/>
      <c r="O43" s="720"/>
      <c r="U43" s="719"/>
      <c r="V43" s="720"/>
      <c r="W43" s="82">
        <v>45334</v>
      </c>
      <c r="X43" s="22">
        <v>4650</v>
      </c>
      <c r="Y43" s="22"/>
      <c r="Z43" s="23" t="s">
        <v>1070</v>
      </c>
      <c r="AB43" s="719"/>
      <c r="AC43" s="720"/>
    </row>
    <row r="44" spans="1:29" ht="15.75" customHeight="1">
      <c r="A44" s="394">
        <v>44598</v>
      </c>
      <c r="B44" s="22"/>
      <c r="C44" s="22">
        <v>1.9</v>
      </c>
      <c r="D44" s="23" t="s">
        <v>838</v>
      </c>
      <c r="G44" s="719"/>
      <c r="H44" s="720"/>
      <c r="I44" s="83" t="s">
        <v>1143</v>
      </c>
      <c r="J44" s="22">
        <v>7450</v>
      </c>
      <c r="L44" s="23" t="s">
        <v>1131</v>
      </c>
      <c r="M44" s="23" t="s">
        <v>1144</v>
      </c>
      <c r="N44" s="719"/>
      <c r="O44" s="720"/>
      <c r="U44" s="719"/>
      <c r="V44" s="720"/>
      <c r="W44" s="82">
        <v>45334</v>
      </c>
      <c r="X44" s="22"/>
      <c r="Y44" s="22">
        <v>46.5</v>
      </c>
      <c r="Z44" s="23" t="s">
        <v>1074</v>
      </c>
      <c r="AB44" s="719"/>
      <c r="AC44" s="720"/>
    </row>
    <row r="45" spans="1:29" ht="15.75" customHeight="1">
      <c r="A45" s="394">
        <v>44779</v>
      </c>
      <c r="B45" s="22">
        <v>4387.5</v>
      </c>
      <c r="C45" s="22"/>
      <c r="D45" s="23" t="s">
        <v>1080</v>
      </c>
      <c r="E45" s="23" t="s">
        <v>1145</v>
      </c>
      <c r="G45" s="719"/>
      <c r="H45" s="720"/>
      <c r="I45" s="83" t="s">
        <v>1146</v>
      </c>
      <c r="J45" s="22">
        <v>7532.5</v>
      </c>
      <c r="K45" s="22"/>
      <c r="L45" s="23" t="s">
        <v>1104</v>
      </c>
      <c r="M45" s="23" t="s">
        <v>1147</v>
      </c>
      <c r="N45" s="719"/>
      <c r="O45" s="720"/>
      <c r="U45" s="719"/>
      <c r="V45" s="720"/>
      <c r="W45" s="82">
        <v>45334</v>
      </c>
      <c r="Y45" s="22">
        <v>1300</v>
      </c>
      <c r="Z45" s="23" t="s">
        <v>1124</v>
      </c>
      <c r="AB45" s="719"/>
      <c r="AC45" s="720"/>
    </row>
    <row r="46" spans="1:29" ht="15.75" customHeight="1">
      <c r="A46" s="83" t="s">
        <v>158</v>
      </c>
      <c r="B46" s="22">
        <v>35136</v>
      </c>
      <c r="C46" s="22"/>
      <c r="D46" s="23" t="s">
        <v>1121</v>
      </c>
      <c r="E46" s="23" t="s">
        <v>1148</v>
      </c>
      <c r="G46" s="719"/>
      <c r="H46" s="720"/>
      <c r="I46" s="83" t="s">
        <v>1146</v>
      </c>
      <c r="J46" s="22"/>
      <c r="K46" s="22">
        <v>7800</v>
      </c>
      <c r="L46" s="23" t="s">
        <v>1149</v>
      </c>
      <c r="N46" s="719"/>
      <c r="O46" s="720"/>
      <c r="U46" s="719"/>
      <c r="V46" s="720"/>
      <c r="W46" s="82">
        <v>45334</v>
      </c>
      <c r="Y46" s="22">
        <v>1300</v>
      </c>
      <c r="Z46" s="23" t="s">
        <v>1126</v>
      </c>
      <c r="AB46" s="719"/>
      <c r="AC46" s="720"/>
    </row>
    <row r="47" spans="1:29" ht="15.75" customHeight="1">
      <c r="A47" s="83" t="s">
        <v>885</v>
      </c>
      <c r="B47" s="22"/>
      <c r="C47" s="22">
        <v>4813</v>
      </c>
      <c r="D47" s="23" t="s">
        <v>961</v>
      </c>
      <c r="G47" s="719"/>
      <c r="H47" s="720"/>
      <c r="I47" s="83" t="s">
        <v>1146</v>
      </c>
      <c r="J47" s="22"/>
      <c r="K47" s="22">
        <v>1.9</v>
      </c>
      <c r="L47" s="23" t="s">
        <v>838</v>
      </c>
      <c r="N47" s="719"/>
      <c r="O47" s="720"/>
      <c r="U47" s="719"/>
      <c r="V47" s="720"/>
      <c r="W47" s="82">
        <v>45334</v>
      </c>
      <c r="Y47" s="22">
        <v>900</v>
      </c>
      <c r="Z47" s="23" t="s">
        <v>1128</v>
      </c>
      <c r="AB47" s="719"/>
      <c r="AC47" s="720"/>
    </row>
    <row r="48" spans="1:29" ht="15.75" customHeight="1">
      <c r="A48" s="83" t="s">
        <v>885</v>
      </c>
      <c r="B48" s="22"/>
      <c r="C48" s="22">
        <v>1.9</v>
      </c>
      <c r="D48" s="23" t="s">
        <v>838</v>
      </c>
      <c r="G48" s="719"/>
      <c r="H48" s="720"/>
      <c r="I48" s="107">
        <v>44573</v>
      </c>
      <c r="J48" s="22"/>
      <c r="K48" s="22">
        <v>671</v>
      </c>
      <c r="L48" s="23" t="s">
        <v>1137</v>
      </c>
      <c r="N48" s="719"/>
      <c r="O48" s="720"/>
      <c r="U48" s="719"/>
      <c r="V48" s="720"/>
      <c r="W48" s="82">
        <v>45334</v>
      </c>
      <c r="Y48" s="22">
        <v>1100</v>
      </c>
      <c r="Z48" s="23" t="s">
        <v>1079</v>
      </c>
      <c r="AB48" s="719"/>
      <c r="AC48" s="720"/>
    </row>
    <row r="49" spans="1:29" ht="15.75" customHeight="1">
      <c r="A49" s="83" t="s">
        <v>885</v>
      </c>
      <c r="B49" s="22">
        <v>11029</v>
      </c>
      <c r="D49" s="23" t="s">
        <v>1080</v>
      </c>
      <c r="E49" s="23" t="s">
        <v>1150</v>
      </c>
      <c r="G49" s="719"/>
      <c r="H49" s="720"/>
      <c r="I49" s="107">
        <v>44573</v>
      </c>
      <c r="J49" s="22"/>
      <c r="K49" s="22">
        <v>40</v>
      </c>
      <c r="L49" s="23" t="s">
        <v>838</v>
      </c>
      <c r="N49" s="719"/>
      <c r="O49" s="720"/>
      <c r="U49" s="719"/>
      <c r="V49" s="720"/>
      <c r="W49" s="83" t="s">
        <v>1151</v>
      </c>
      <c r="X49" s="22">
        <v>3870</v>
      </c>
      <c r="Z49" s="23" t="s">
        <v>1070</v>
      </c>
      <c r="AB49" s="719"/>
      <c r="AC49" s="720"/>
    </row>
    <row r="50" spans="1:29" ht="15.75" customHeight="1">
      <c r="A50" s="107">
        <v>44568</v>
      </c>
      <c r="B50" s="22"/>
      <c r="C50" s="22">
        <v>4026</v>
      </c>
      <c r="D50" s="23" t="s">
        <v>1120</v>
      </c>
      <c r="G50" s="719"/>
      <c r="H50" s="720"/>
      <c r="I50" s="107">
        <v>44573</v>
      </c>
      <c r="J50" s="22"/>
      <c r="K50" s="22">
        <v>495</v>
      </c>
      <c r="L50" s="23" t="s">
        <v>1124</v>
      </c>
      <c r="N50" s="719"/>
      <c r="O50" s="720"/>
      <c r="U50" s="719"/>
      <c r="V50" s="720"/>
      <c r="W50" s="83" t="s">
        <v>1151</v>
      </c>
      <c r="X50" s="22"/>
      <c r="Y50" s="22">
        <v>38.700000000000003</v>
      </c>
      <c r="Z50" s="23" t="s">
        <v>1074</v>
      </c>
      <c r="AB50" s="719"/>
      <c r="AC50" s="720"/>
    </row>
    <row r="51" spans="1:29" ht="15.75" customHeight="1">
      <c r="A51" s="107">
        <v>44568</v>
      </c>
      <c r="B51" s="22"/>
      <c r="C51" s="22">
        <v>3294</v>
      </c>
      <c r="D51" s="23" t="s">
        <v>841</v>
      </c>
      <c r="G51" s="719"/>
      <c r="H51" s="720"/>
      <c r="I51" s="107">
        <v>44573</v>
      </c>
      <c r="J51" s="22"/>
      <c r="K51" s="22">
        <v>40</v>
      </c>
      <c r="L51" s="23" t="s">
        <v>838</v>
      </c>
      <c r="N51" s="719"/>
      <c r="O51" s="720"/>
      <c r="U51" s="719"/>
      <c r="V51" s="720"/>
      <c r="W51" s="83" t="s">
        <v>62</v>
      </c>
      <c r="X51" s="22"/>
      <c r="Y51" s="22">
        <v>1300</v>
      </c>
      <c r="Z51" s="23" t="s">
        <v>1124</v>
      </c>
      <c r="AB51" s="719"/>
      <c r="AC51" s="720"/>
    </row>
    <row r="52" spans="1:29" ht="15.75" customHeight="1">
      <c r="A52" s="107">
        <v>44568</v>
      </c>
      <c r="B52" s="22"/>
      <c r="C52" s="22">
        <v>0.89</v>
      </c>
      <c r="D52" s="23" t="s">
        <v>838</v>
      </c>
      <c r="G52" s="719"/>
      <c r="H52" s="720"/>
      <c r="I52" s="107">
        <v>44573</v>
      </c>
      <c r="J52" s="22"/>
      <c r="K52" s="22">
        <v>486</v>
      </c>
      <c r="L52" s="23" t="s">
        <v>1093</v>
      </c>
      <c r="N52" s="719"/>
      <c r="O52" s="720"/>
      <c r="U52" s="719"/>
      <c r="V52" s="720"/>
      <c r="W52" s="83" t="s">
        <v>62</v>
      </c>
      <c r="X52" s="22"/>
      <c r="Y52" s="22">
        <v>1300</v>
      </c>
      <c r="Z52" s="23" t="s">
        <v>1126</v>
      </c>
      <c r="AB52" s="719"/>
      <c r="AC52" s="720"/>
    </row>
    <row r="53" spans="1:29" ht="15.75" customHeight="1">
      <c r="A53" s="107">
        <v>44568</v>
      </c>
      <c r="B53" s="22"/>
      <c r="C53" s="22">
        <v>330</v>
      </c>
      <c r="D53" s="23" t="s">
        <v>1152</v>
      </c>
      <c r="G53" s="719"/>
      <c r="H53" s="720"/>
      <c r="I53" s="107">
        <v>44573</v>
      </c>
      <c r="J53" s="22"/>
      <c r="K53" s="22">
        <v>40</v>
      </c>
      <c r="L53" s="23" t="s">
        <v>838</v>
      </c>
      <c r="N53" s="719"/>
      <c r="O53" s="720"/>
      <c r="U53" s="719"/>
      <c r="V53" s="720"/>
      <c r="W53" s="83" t="s">
        <v>62</v>
      </c>
      <c r="X53" s="22"/>
      <c r="Y53" s="22">
        <v>900</v>
      </c>
      <c r="Z53" s="23" t="s">
        <v>1128</v>
      </c>
      <c r="AB53" s="719"/>
      <c r="AC53" s="720"/>
    </row>
    <row r="54" spans="1:29" ht="15.75" customHeight="1">
      <c r="A54" s="107">
        <v>44568</v>
      </c>
      <c r="B54" s="22"/>
      <c r="C54" s="22">
        <v>1.9</v>
      </c>
      <c r="D54" s="23" t="s">
        <v>838</v>
      </c>
      <c r="G54" s="719"/>
      <c r="H54" s="720"/>
      <c r="I54" s="107">
        <v>44573</v>
      </c>
      <c r="J54" s="22"/>
      <c r="K54" s="22">
        <v>225</v>
      </c>
      <c r="L54" s="23" t="s">
        <v>1153</v>
      </c>
      <c r="N54" s="719"/>
      <c r="O54" s="720"/>
      <c r="U54" s="719"/>
      <c r="V54" s="720"/>
      <c r="W54" s="83" t="s">
        <v>62</v>
      </c>
      <c r="X54" s="22"/>
      <c r="Y54" s="22">
        <v>1100</v>
      </c>
      <c r="Z54" s="23" t="s">
        <v>1079</v>
      </c>
      <c r="AB54" s="719"/>
      <c r="AC54" s="720"/>
    </row>
    <row r="55" spans="1:29" ht="15.75" customHeight="1">
      <c r="A55" s="83" t="s">
        <v>1154</v>
      </c>
      <c r="B55" s="22">
        <v>4138</v>
      </c>
      <c r="C55" s="22"/>
      <c r="D55" s="23" t="s">
        <v>1080</v>
      </c>
      <c r="E55" s="23" t="s">
        <v>1155</v>
      </c>
      <c r="G55" s="719"/>
      <c r="H55" s="720"/>
      <c r="I55" s="107">
        <v>44573</v>
      </c>
      <c r="J55" s="22"/>
      <c r="K55" s="22">
        <v>40</v>
      </c>
      <c r="L55" s="23" t="s">
        <v>838</v>
      </c>
      <c r="N55" s="719"/>
      <c r="O55" s="720"/>
      <c r="U55" s="719"/>
      <c r="V55" s="720"/>
      <c r="W55" s="82">
        <v>45718</v>
      </c>
      <c r="X55" s="22">
        <v>4970</v>
      </c>
      <c r="Z55" s="23" t="s">
        <v>1070</v>
      </c>
      <c r="AB55" s="719"/>
      <c r="AC55" s="720"/>
    </row>
    <row r="56" spans="1:29" ht="15.75" customHeight="1">
      <c r="A56" s="83" t="s">
        <v>893</v>
      </c>
      <c r="B56" s="22"/>
      <c r="C56" s="22">
        <v>4560</v>
      </c>
      <c r="D56" s="23" t="s">
        <v>961</v>
      </c>
      <c r="G56" s="719"/>
      <c r="H56" s="720"/>
      <c r="I56" s="82">
        <v>44785</v>
      </c>
      <c r="J56" s="22">
        <v>4325</v>
      </c>
      <c r="K56" s="22"/>
      <c r="L56" s="23" t="s">
        <v>1104</v>
      </c>
      <c r="M56" s="23" t="s">
        <v>1156</v>
      </c>
      <c r="N56" s="719"/>
      <c r="O56" s="720"/>
      <c r="U56" s="719"/>
      <c r="V56" s="720"/>
      <c r="W56" s="82">
        <v>45718</v>
      </c>
      <c r="X56" s="22"/>
      <c r="Y56" s="22">
        <v>49.7</v>
      </c>
      <c r="Z56" s="23" t="s">
        <v>1074</v>
      </c>
      <c r="AB56" s="719"/>
      <c r="AC56" s="720"/>
    </row>
    <row r="57" spans="1:29" ht="15.75" customHeight="1">
      <c r="A57" s="83" t="s">
        <v>893</v>
      </c>
      <c r="B57" s="22"/>
      <c r="C57" s="22">
        <v>1.9</v>
      </c>
      <c r="D57" s="23" t="s">
        <v>838</v>
      </c>
      <c r="G57" s="719"/>
      <c r="H57" s="720"/>
      <c r="I57" s="82">
        <v>44816</v>
      </c>
      <c r="J57" s="22"/>
      <c r="K57" s="22">
        <v>25</v>
      </c>
      <c r="L57" s="23" t="s">
        <v>1129</v>
      </c>
      <c r="M57" s="23" t="s">
        <v>1157</v>
      </c>
      <c r="N57" s="719"/>
      <c r="O57" s="720"/>
      <c r="U57" s="719"/>
      <c r="V57" s="720"/>
      <c r="W57" s="82">
        <v>45718</v>
      </c>
      <c r="Y57" s="22">
        <v>1300</v>
      </c>
      <c r="Z57" s="23" t="s">
        <v>1079</v>
      </c>
      <c r="AB57" s="719"/>
      <c r="AC57" s="720"/>
    </row>
    <row r="58" spans="1:29" ht="15.75" customHeight="1">
      <c r="A58" s="83" t="s">
        <v>893</v>
      </c>
      <c r="B58" s="22">
        <v>11730</v>
      </c>
      <c r="C58" s="22"/>
      <c r="D58" s="23" t="s">
        <v>1080</v>
      </c>
      <c r="E58" s="23" t="s">
        <v>1158</v>
      </c>
      <c r="G58" s="719"/>
      <c r="H58" s="720"/>
      <c r="I58" s="82">
        <v>44816</v>
      </c>
      <c r="J58" s="22">
        <v>7450</v>
      </c>
      <c r="K58" s="22"/>
      <c r="L58" s="23" t="s">
        <v>1131</v>
      </c>
      <c r="M58" s="23" t="s">
        <v>1159</v>
      </c>
      <c r="N58" s="719"/>
      <c r="O58" s="720"/>
      <c r="U58" s="719"/>
      <c r="V58" s="720"/>
      <c r="W58" s="82">
        <v>45718</v>
      </c>
      <c r="Y58" s="22">
        <v>900</v>
      </c>
      <c r="Z58" s="23" t="s">
        <v>1128</v>
      </c>
      <c r="AB58" s="719"/>
      <c r="AC58" s="720"/>
    </row>
    <row r="59" spans="1:29" ht="15.75" customHeight="1">
      <c r="A59" s="83" t="s">
        <v>893</v>
      </c>
      <c r="B59" s="22"/>
      <c r="C59" s="22">
        <v>15</v>
      </c>
      <c r="D59" s="23" t="s">
        <v>838</v>
      </c>
      <c r="G59" s="719"/>
      <c r="H59" s="720"/>
      <c r="I59" s="738">
        <v>44907</v>
      </c>
      <c r="J59" s="22"/>
      <c r="K59" s="22">
        <v>3450.19</v>
      </c>
      <c r="L59" s="23" t="s">
        <v>1139</v>
      </c>
      <c r="N59" s="719"/>
      <c r="O59" s="720"/>
      <c r="U59" s="719"/>
      <c r="V59" s="720"/>
      <c r="W59" s="82">
        <v>45718</v>
      </c>
      <c r="Y59" s="22">
        <v>1300</v>
      </c>
      <c r="Z59" s="23" t="s">
        <v>1124</v>
      </c>
      <c r="AB59" s="719"/>
      <c r="AC59" s="720"/>
    </row>
    <row r="60" spans="1:29" ht="15.75" customHeight="1">
      <c r="A60" s="83" t="s">
        <v>893</v>
      </c>
      <c r="B60" s="22"/>
      <c r="C60" s="22">
        <v>21771</v>
      </c>
      <c r="D60" s="23" t="s">
        <v>1016</v>
      </c>
      <c r="G60" s="719"/>
      <c r="H60" s="720"/>
      <c r="I60" s="274" t="s">
        <v>845</v>
      </c>
      <c r="J60" s="22"/>
      <c r="K60" s="22">
        <v>32.799999999999997</v>
      </c>
      <c r="L60" s="23" t="s">
        <v>1077</v>
      </c>
      <c r="N60" s="719"/>
      <c r="O60" s="720"/>
      <c r="U60" s="719"/>
      <c r="V60" s="720"/>
      <c r="W60" s="82">
        <v>45718</v>
      </c>
      <c r="Y60" s="22">
        <v>1330</v>
      </c>
      <c r="Z60" s="23" t="s">
        <v>1160</v>
      </c>
      <c r="AB60" s="719"/>
      <c r="AC60" s="720"/>
    </row>
    <row r="61" spans="1:29" ht="15.75" customHeight="1">
      <c r="A61" s="83" t="s">
        <v>893</v>
      </c>
      <c r="B61" s="22"/>
      <c r="C61" s="22">
        <v>0.86</v>
      </c>
      <c r="D61" s="23" t="s">
        <v>838</v>
      </c>
      <c r="G61" s="719"/>
      <c r="H61" s="720"/>
      <c r="I61" s="274" t="s">
        <v>1161</v>
      </c>
      <c r="J61" s="22">
        <v>7693.5</v>
      </c>
      <c r="K61" s="22"/>
      <c r="L61" s="23" t="s">
        <v>1104</v>
      </c>
      <c r="M61" s="23" t="s">
        <v>1162</v>
      </c>
      <c r="N61" s="719"/>
      <c r="O61" s="720"/>
      <c r="U61" s="719"/>
      <c r="V61" s="720"/>
      <c r="W61" s="83" t="s">
        <v>345</v>
      </c>
      <c r="X61" s="22">
        <v>4750</v>
      </c>
      <c r="Y61" s="22"/>
      <c r="Z61" s="23" t="s">
        <v>1070</v>
      </c>
      <c r="AB61" s="719"/>
      <c r="AC61" s="720"/>
    </row>
    <row r="62" spans="1:29" ht="15.75" customHeight="1">
      <c r="A62" s="83" t="s">
        <v>893</v>
      </c>
      <c r="B62" s="22"/>
      <c r="C62" s="22">
        <v>21771</v>
      </c>
      <c r="D62" s="23" t="s">
        <v>1015</v>
      </c>
      <c r="G62" s="719"/>
      <c r="H62" s="720"/>
      <c r="I62" s="83" t="s">
        <v>1163</v>
      </c>
      <c r="J62" s="22"/>
      <c r="K62" s="22">
        <v>7850</v>
      </c>
      <c r="L62" s="23" t="s">
        <v>961</v>
      </c>
      <c r="N62" s="719"/>
      <c r="O62" s="720"/>
      <c r="U62" s="719"/>
      <c r="V62" s="720"/>
      <c r="W62" s="83" t="s">
        <v>345</v>
      </c>
      <c r="X62" s="22"/>
      <c r="Y62" s="22">
        <v>47.5</v>
      </c>
      <c r="Z62" s="23" t="s">
        <v>1074</v>
      </c>
      <c r="AB62" s="719"/>
      <c r="AC62" s="720"/>
    </row>
    <row r="63" spans="1:29" ht="15.75" customHeight="1">
      <c r="A63" s="83" t="s">
        <v>168</v>
      </c>
      <c r="B63" s="22"/>
      <c r="C63" s="22">
        <v>2492.34</v>
      </c>
      <c r="D63" s="23" t="s">
        <v>1164</v>
      </c>
      <c r="G63" s="719"/>
      <c r="H63" s="720"/>
      <c r="I63" s="83" t="s">
        <v>1163</v>
      </c>
      <c r="J63" s="22"/>
      <c r="K63" s="22">
        <v>1.9</v>
      </c>
      <c r="L63" s="23" t="s">
        <v>838</v>
      </c>
      <c r="N63" s="719"/>
      <c r="O63" s="720"/>
      <c r="U63" s="719"/>
      <c r="V63" s="720"/>
      <c r="W63" s="107">
        <v>45719</v>
      </c>
      <c r="X63" s="22"/>
      <c r="Y63" s="22">
        <v>1300</v>
      </c>
      <c r="Z63" s="23" t="s">
        <v>1079</v>
      </c>
      <c r="AB63" s="719"/>
      <c r="AC63" s="720"/>
    </row>
    <row r="64" spans="1:29" ht="15.75" customHeight="1">
      <c r="A64" s="83" t="s">
        <v>168</v>
      </c>
      <c r="B64" s="22"/>
      <c r="C64" s="22">
        <v>1.9</v>
      </c>
      <c r="D64" s="23" t="s">
        <v>838</v>
      </c>
      <c r="G64" s="719"/>
      <c r="H64" s="720"/>
      <c r="I64" s="83" t="s">
        <v>54</v>
      </c>
      <c r="J64" s="22"/>
      <c r="K64" s="22">
        <v>999</v>
      </c>
      <c r="L64" s="23" t="s">
        <v>1137</v>
      </c>
      <c r="N64" s="719"/>
      <c r="O64" s="720"/>
      <c r="U64" s="719"/>
      <c r="V64" s="720"/>
      <c r="W64" s="107">
        <v>45719</v>
      </c>
      <c r="X64" s="22"/>
      <c r="Y64" s="22">
        <v>900</v>
      </c>
      <c r="Z64" s="23" t="s">
        <v>1128</v>
      </c>
      <c r="AB64" s="719"/>
      <c r="AC64" s="720"/>
    </row>
    <row r="65" spans="1:29" ht="15.75" customHeight="1">
      <c r="A65" s="107">
        <v>44569</v>
      </c>
      <c r="B65" s="22"/>
      <c r="C65" s="22">
        <v>4026</v>
      </c>
      <c r="D65" s="23" t="s">
        <v>834</v>
      </c>
      <c r="G65" s="719"/>
      <c r="H65" s="720"/>
      <c r="I65" s="83" t="s">
        <v>54</v>
      </c>
      <c r="J65" s="22"/>
      <c r="K65" s="22">
        <v>40</v>
      </c>
      <c r="L65" s="23" t="s">
        <v>838</v>
      </c>
      <c r="N65" s="719"/>
      <c r="O65" s="720"/>
      <c r="U65" s="719"/>
      <c r="V65" s="720"/>
      <c r="W65" s="107">
        <v>45719</v>
      </c>
      <c r="X65" s="22"/>
      <c r="Y65" s="22">
        <v>1300</v>
      </c>
      <c r="Z65" s="23" t="s">
        <v>1124</v>
      </c>
      <c r="AB65" s="719"/>
      <c r="AC65" s="720"/>
    </row>
    <row r="66" spans="1:29" ht="15.75" customHeight="1">
      <c r="A66" s="107">
        <v>44569</v>
      </c>
      <c r="B66" s="22"/>
      <c r="C66" s="22">
        <v>3294</v>
      </c>
      <c r="D66" s="23" t="s">
        <v>836</v>
      </c>
      <c r="G66" s="719"/>
      <c r="H66" s="720"/>
      <c r="I66" s="83" t="s">
        <v>54</v>
      </c>
      <c r="J66" s="22"/>
      <c r="K66" s="22">
        <v>675</v>
      </c>
      <c r="L66" s="23" t="s">
        <v>1123</v>
      </c>
      <c r="N66" s="719"/>
      <c r="O66" s="720"/>
      <c r="U66" s="719"/>
      <c r="V66" s="720"/>
      <c r="W66" s="107">
        <v>45719</v>
      </c>
      <c r="X66" s="22"/>
      <c r="Y66" s="22">
        <v>1300</v>
      </c>
      <c r="Z66" s="23" t="s">
        <v>1126</v>
      </c>
      <c r="AB66" s="719"/>
      <c r="AC66" s="720"/>
    </row>
    <row r="67" spans="1:29" ht="15.75" customHeight="1">
      <c r="A67" s="107">
        <v>44569</v>
      </c>
      <c r="B67" s="22"/>
      <c r="C67" s="22">
        <v>0.88</v>
      </c>
      <c r="D67" s="23" t="s">
        <v>838</v>
      </c>
      <c r="G67" s="719"/>
      <c r="H67" s="720"/>
      <c r="I67" s="83" t="s">
        <v>54</v>
      </c>
      <c r="J67" s="22"/>
      <c r="K67" s="22">
        <v>40</v>
      </c>
      <c r="L67" s="23" t="s">
        <v>838</v>
      </c>
      <c r="N67" s="719"/>
      <c r="O67" s="720"/>
      <c r="U67" s="719"/>
      <c r="V67" s="720"/>
      <c r="W67" s="107">
        <v>45661</v>
      </c>
      <c r="X67" s="22">
        <v>4850</v>
      </c>
      <c r="Y67" s="22"/>
      <c r="Z67" s="23" t="s">
        <v>1070</v>
      </c>
      <c r="AB67" s="719"/>
      <c r="AC67" s="720"/>
    </row>
    <row r="68" spans="1:29" ht="15.75" customHeight="1">
      <c r="A68" s="107">
        <v>44569</v>
      </c>
      <c r="B68" s="22"/>
      <c r="C68" s="22">
        <v>1222</v>
      </c>
      <c r="D68" s="23" t="s">
        <v>961</v>
      </c>
      <c r="G68" s="719"/>
      <c r="H68" s="720"/>
      <c r="I68" s="83" t="s">
        <v>54</v>
      </c>
      <c r="J68" s="22"/>
      <c r="K68" s="22">
        <v>675</v>
      </c>
      <c r="L68" s="23" t="s">
        <v>1119</v>
      </c>
      <c r="N68" s="719"/>
      <c r="O68" s="720"/>
      <c r="U68" s="719"/>
      <c r="V68" s="720"/>
      <c r="W68" s="107">
        <v>45661</v>
      </c>
      <c r="X68" s="22"/>
      <c r="Y68" s="22">
        <v>48.5</v>
      </c>
      <c r="Z68" s="23" t="s">
        <v>1074</v>
      </c>
      <c r="AB68" s="719"/>
      <c r="AC68" s="720"/>
    </row>
    <row r="69" spans="1:29" ht="15.75" customHeight="1">
      <c r="A69" s="107">
        <v>44569</v>
      </c>
      <c r="B69" s="22"/>
      <c r="C69" s="22">
        <v>1.9</v>
      </c>
      <c r="D69" s="23" t="s">
        <v>838</v>
      </c>
      <c r="G69" s="719"/>
      <c r="H69" s="720"/>
      <c r="I69" s="83" t="s">
        <v>54</v>
      </c>
      <c r="J69" s="22"/>
      <c r="K69" s="22">
        <v>40</v>
      </c>
      <c r="L69" s="23" t="s">
        <v>838</v>
      </c>
      <c r="N69" s="719"/>
      <c r="O69" s="720"/>
      <c r="U69" s="719"/>
      <c r="V69" s="720"/>
      <c r="W69" s="107">
        <v>45661</v>
      </c>
      <c r="X69" s="22"/>
      <c r="Y69" s="22">
        <v>1300</v>
      </c>
      <c r="Z69" s="23" t="s">
        <v>1079</v>
      </c>
      <c r="AB69" s="719"/>
      <c r="AC69" s="720"/>
    </row>
    <row r="70" spans="1:29" ht="15.75" customHeight="1">
      <c r="A70" s="107">
        <v>44569</v>
      </c>
      <c r="B70" s="22"/>
      <c r="C70" s="22">
        <v>5000</v>
      </c>
      <c r="D70" s="23" t="s">
        <v>1165</v>
      </c>
      <c r="G70" s="719"/>
      <c r="H70" s="720"/>
      <c r="I70" s="83" t="s">
        <v>54</v>
      </c>
      <c r="J70" s="22"/>
      <c r="K70" s="22">
        <v>489</v>
      </c>
      <c r="L70" s="23" t="s">
        <v>1166</v>
      </c>
      <c r="N70" s="719"/>
      <c r="O70" s="720"/>
      <c r="U70" s="719"/>
      <c r="V70" s="720"/>
      <c r="W70" s="107">
        <v>45661</v>
      </c>
      <c r="X70" s="22"/>
      <c r="Y70" s="22">
        <v>13.13</v>
      </c>
      <c r="Z70" s="23" t="s">
        <v>1167</v>
      </c>
      <c r="AB70" s="719"/>
      <c r="AC70" s="720"/>
    </row>
    <row r="71" spans="1:29" ht="15.75" customHeight="1">
      <c r="A71" s="107">
        <v>44569</v>
      </c>
      <c r="B71" s="22"/>
      <c r="C71" s="22">
        <v>1.9</v>
      </c>
      <c r="D71" s="23" t="s">
        <v>838</v>
      </c>
      <c r="G71" s="719"/>
      <c r="H71" s="720"/>
      <c r="I71" s="83" t="s">
        <v>54</v>
      </c>
      <c r="J71" s="22"/>
      <c r="K71" s="22">
        <v>40</v>
      </c>
      <c r="L71" s="23" t="s">
        <v>838</v>
      </c>
      <c r="N71" s="719"/>
      <c r="O71" s="720"/>
      <c r="U71" s="719"/>
      <c r="V71" s="720"/>
      <c r="W71" s="107">
        <v>45661</v>
      </c>
      <c r="X71" s="22"/>
      <c r="Y71" s="22">
        <v>1300</v>
      </c>
      <c r="Z71" s="23" t="s">
        <v>1124</v>
      </c>
      <c r="AB71" s="719"/>
      <c r="AC71" s="720"/>
    </row>
    <row r="72" spans="1:29" ht="13">
      <c r="A72" s="107">
        <v>44812</v>
      </c>
      <c r="B72" s="22">
        <v>3738</v>
      </c>
      <c r="C72" s="22"/>
      <c r="D72" s="23" t="s">
        <v>1080</v>
      </c>
      <c r="E72" s="23" t="s">
        <v>1168</v>
      </c>
      <c r="G72" s="719"/>
      <c r="H72" s="720"/>
      <c r="I72" s="83" t="s">
        <v>54</v>
      </c>
      <c r="J72" s="22"/>
      <c r="K72" s="22">
        <v>29805</v>
      </c>
      <c r="L72" s="23" t="s">
        <v>1016</v>
      </c>
      <c r="N72" s="719"/>
      <c r="O72" s="720"/>
      <c r="U72" s="719"/>
      <c r="V72" s="720"/>
      <c r="W72" s="107">
        <v>45661</v>
      </c>
      <c r="X72" s="22"/>
      <c r="Y72" s="23">
        <v>13.13</v>
      </c>
      <c r="Z72" s="23" t="s">
        <v>1167</v>
      </c>
      <c r="AB72" s="719"/>
      <c r="AC72" s="720"/>
    </row>
    <row r="73" spans="1:29" ht="13">
      <c r="A73" s="83" t="s">
        <v>1169</v>
      </c>
      <c r="B73" s="22"/>
      <c r="C73" s="22">
        <v>1239</v>
      </c>
      <c r="D73" s="23" t="s">
        <v>961</v>
      </c>
      <c r="G73" s="719"/>
      <c r="H73" s="720"/>
      <c r="I73" s="83" t="s">
        <v>54</v>
      </c>
      <c r="J73" s="22"/>
      <c r="K73" s="22">
        <v>26025</v>
      </c>
      <c r="L73" s="23" t="s">
        <v>1015</v>
      </c>
      <c r="N73" s="719"/>
      <c r="O73" s="720"/>
      <c r="U73" s="719"/>
      <c r="V73" s="720"/>
      <c r="W73" s="107">
        <v>45661</v>
      </c>
      <c r="X73" s="22"/>
      <c r="Y73" s="22">
        <v>1300</v>
      </c>
      <c r="Z73" s="23" t="s">
        <v>1126</v>
      </c>
      <c r="AB73" s="719"/>
      <c r="AC73" s="720"/>
    </row>
    <row r="74" spans="1:29" ht="13">
      <c r="A74" s="83" t="s">
        <v>1169</v>
      </c>
      <c r="B74" s="22"/>
      <c r="C74" s="22">
        <v>1.9</v>
      </c>
      <c r="D74" s="23" t="s">
        <v>838</v>
      </c>
      <c r="G74" s="719"/>
      <c r="H74" s="720"/>
      <c r="I74" s="83" t="s">
        <v>54</v>
      </c>
      <c r="J74" s="22"/>
      <c r="K74" s="22">
        <v>10</v>
      </c>
      <c r="L74" s="23" t="s">
        <v>1129</v>
      </c>
      <c r="N74" s="719"/>
      <c r="O74" s="720"/>
      <c r="U74" s="719"/>
      <c r="V74" s="720"/>
      <c r="W74" s="107">
        <v>45661</v>
      </c>
      <c r="X74" s="22"/>
      <c r="Y74" s="22">
        <v>13.13</v>
      </c>
      <c r="Z74" s="23" t="s">
        <v>1167</v>
      </c>
      <c r="AB74" s="719"/>
      <c r="AC74" s="720"/>
    </row>
    <row r="75" spans="1:29" ht="13">
      <c r="A75" s="83" t="s">
        <v>901</v>
      </c>
      <c r="B75" s="22"/>
      <c r="C75" s="22">
        <v>6000</v>
      </c>
      <c r="D75" s="23" t="s">
        <v>961</v>
      </c>
      <c r="G75" s="719"/>
      <c r="H75" s="720"/>
      <c r="I75" s="83" t="s">
        <v>56</v>
      </c>
      <c r="J75" s="22">
        <v>9.9</v>
      </c>
      <c r="K75" s="22"/>
      <c r="L75" s="23" t="s">
        <v>1170</v>
      </c>
      <c r="N75" s="719"/>
      <c r="O75" s="720"/>
      <c r="U75" s="719"/>
      <c r="V75" s="720"/>
      <c r="W75" s="82">
        <v>45693</v>
      </c>
      <c r="X75" s="22">
        <v>3069</v>
      </c>
      <c r="Y75" s="22"/>
      <c r="Z75" s="23" t="s">
        <v>1171</v>
      </c>
      <c r="AB75" s="719"/>
      <c r="AC75" s="720"/>
    </row>
    <row r="76" spans="1:29" ht="13">
      <c r="A76" s="83" t="s">
        <v>901</v>
      </c>
      <c r="B76" s="22"/>
      <c r="C76" s="22">
        <v>1.9</v>
      </c>
      <c r="D76" s="23" t="s">
        <v>838</v>
      </c>
      <c r="G76" s="719"/>
      <c r="H76" s="720"/>
      <c r="I76" s="82">
        <v>45170</v>
      </c>
      <c r="J76" s="22">
        <v>3662.5</v>
      </c>
      <c r="K76" s="22"/>
      <c r="L76" s="23" t="s">
        <v>1104</v>
      </c>
      <c r="M76" s="23" t="s">
        <v>1172</v>
      </c>
      <c r="N76" s="719"/>
      <c r="O76" s="720"/>
      <c r="U76" s="719"/>
      <c r="V76" s="720"/>
      <c r="W76" s="82">
        <v>45693</v>
      </c>
      <c r="X76" s="22"/>
      <c r="Y76" s="22">
        <v>1300</v>
      </c>
      <c r="Z76" s="23" t="s">
        <v>1079</v>
      </c>
      <c r="AB76" s="719"/>
      <c r="AC76" s="720"/>
    </row>
    <row r="77" spans="1:29" ht="13">
      <c r="A77" s="394">
        <v>44570</v>
      </c>
      <c r="B77" s="22"/>
      <c r="C77" s="22">
        <v>4026</v>
      </c>
      <c r="D77" s="23" t="s">
        <v>834</v>
      </c>
      <c r="G77" s="719"/>
      <c r="H77" s="720"/>
      <c r="I77" s="82">
        <v>45170</v>
      </c>
      <c r="J77" s="22"/>
      <c r="K77" s="22">
        <v>25</v>
      </c>
      <c r="L77" s="23" t="s">
        <v>1129</v>
      </c>
      <c r="M77" s="23" t="s">
        <v>1157</v>
      </c>
      <c r="N77" s="719"/>
      <c r="O77" s="720"/>
      <c r="U77" s="719"/>
      <c r="V77" s="720"/>
      <c r="W77" s="82">
        <v>45693</v>
      </c>
      <c r="X77" s="22"/>
      <c r="Y77" s="22">
        <v>13.13</v>
      </c>
      <c r="Z77" s="23" t="s">
        <v>1173</v>
      </c>
      <c r="AB77" s="719"/>
      <c r="AC77" s="720"/>
    </row>
    <row r="78" spans="1:29" ht="13">
      <c r="A78" s="394">
        <v>44570</v>
      </c>
      <c r="B78" s="22"/>
      <c r="C78" s="22">
        <v>3294</v>
      </c>
      <c r="D78" s="23" t="s">
        <v>836</v>
      </c>
      <c r="G78" s="719"/>
      <c r="H78" s="720"/>
      <c r="I78" s="82">
        <v>45170</v>
      </c>
      <c r="J78" s="22">
        <v>7457.5</v>
      </c>
      <c r="K78" s="22"/>
      <c r="L78" s="23" t="s">
        <v>1131</v>
      </c>
      <c r="M78" s="23" t="s">
        <v>1174</v>
      </c>
      <c r="N78" s="719"/>
      <c r="O78" s="720"/>
      <c r="U78" s="719"/>
      <c r="V78" s="720"/>
      <c r="W78" s="82">
        <v>45693</v>
      </c>
      <c r="X78" s="22"/>
      <c r="Y78" s="22">
        <v>1300</v>
      </c>
      <c r="Z78" s="23" t="s">
        <v>1093</v>
      </c>
      <c r="AB78" s="719"/>
      <c r="AC78" s="720"/>
    </row>
    <row r="79" spans="1:29" ht="13">
      <c r="A79" s="394">
        <v>44570</v>
      </c>
      <c r="B79" s="22"/>
      <c r="C79" s="22">
        <v>0.87</v>
      </c>
      <c r="D79" s="23" t="s">
        <v>838</v>
      </c>
      <c r="G79" s="719"/>
      <c r="H79" s="720"/>
      <c r="I79" s="83" t="s">
        <v>849</v>
      </c>
      <c r="J79" s="22"/>
      <c r="K79" s="22">
        <v>32</v>
      </c>
      <c r="L79" s="23" t="s">
        <v>1077</v>
      </c>
      <c r="N79" s="719"/>
      <c r="O79" s="720"/>
      <c r="U79" s="719"/>
      <c r="V79" s="720"/>
      <c r="W79" s="82">
        <v>45693</v>
      </c>
      <c r="X79" s="22"/>
      <c r="Y79" s="22">
        <v>13.13</v>
      </c>
      <c r="Z79" s="23" t="s">
        <v>1175</v>
      </c>
      <c r="AB79" s="719"/>
      <c r="AC79" s="720"/>
    </row>
    <row r="80" spans="1:29" ht="13">
      <c r="A80" s="394">
        <v>44751</v>
      </c>
      <c r="B80" s="22"/>
      <c r="C80" s="22">
        <v>1700</v>
      </c>
      <c r="D80" s="23" t="s">
        <v>961</v>
      </c>
      <c r="G80" s="719"/>
      <c r="H80" s="720"/>
      <c r="I80" s="83" t="s">
        <v>1176</v>
      </c>
      <c r="J80" s="22"/>
      <c r="K80" s="22">
        <v>439</v>
      </c>
      <c r="L80" s="23" t="s">
        <v>1177</v>
      </c>
      <c r="N80" s="719"/>
      <c r="O80" s="720"/>
      <c r="U80" s="719"/>
      <c r="V80" s="720"/>
      <c r="W80" s="82">
        <v>45693</v>
      </c>
      <c r="X80" s="22"/>
      <c r="Y80" s="22">
        <v>1300</v>
      </c>
      <c r="Z80" s="23" t="s">
        <v>1087</v>
      </c>
      <c r="AB80" s="719"/>
      <c r="AC80" s="720"/>
    </row>
    <row r="81" spans="1:29" ht="13">
      <c r="A81" s="394">
        <v>44751</v>
      </c>
      <c r="B81" s="22"/>
      <c r="C81" s="22">
        <v>1.9</v>
      </c>
      <c r="D81" s="23" t="s">
        <v>838</v>
      </c>
      <c r="G81" s="719"/>
      <c r="H81" s="720"/>
      <c r="I81" s="83" t="s">
        <v>1176</v>
      </c>
      <c r="J81" s="22"/>
      <c r="K81" s="22">
        <v>40</v>
      </c>
      <c r="L81" s="23" t="s">
        <v>838</v>
      </c>
      <c r="N81" s="719"/>
      <c r="O81" s="720"/>
      <c r="U81" s="719"/>
      <c r="V81" s="720"/>
      <c r="W81" s="82">
        <v>45693</v>
      </c>
      <c r="X81" s="22"/>
      <c r="Y81" s="22">
        <v>13.13</v>
      </c>
      <c r="Z81" s="23" t="s">
        <v>1178</v>
      </c>
      <c r="AB81" s="719"/>
      <c r="AC81" s="720"/>
    </row>
    <row r="82" spans="1:29" ht="13">
      <c r="A82" s="83" t="s">
        <v>176</v>
      </c>
      <c r="B82" s="22"/>
      <c r="C82" s="22">
        <v>1600</v>
      </c>
      <c r="D82" s="23" t="s">
        <v>961</v>
      </c>
      <c r="G82" s="719"/>
      <c r="H82" s="720"/>
      <c r="I82" s="83" t="s">
        <v>1179</v>
      </c>
      <c r="J82" s="22"/>
      <c r="K82" s="22">
        <v>127.64</v>
      </c>
      <c r="L82" s="23" t="s">
        <v>1180</v>
      </c>
      <c r="N82" s="719"/>
      <c r="O82" s="720"/>
      <c r="U82" s="719"/>
      <c r="V82" s="720"/>
      <c r="W82" s="82">
        <v>45694</v>
      </c>
      <c r="X82" s="22">
        <v>3980</v>
      </c>
      <c r="Y82" s="22"/>
      <c r="Z82" s="23" t="s">
        <v>1070</v>
      </c>
      <c r="AB82" s="719"/>
      <c r="AC82" s="720"/>
    </row>
    <row r="83" spans="1:29" ht="13">
      <c r="A83" s="83" t="s">
        <v>176</v>
      </c>
      <c r="B83" s="22"/>
      <c r="C83" s="22">
        <v>1.9</v>
      </c>
      <c r="D83" s="23" t="s">
        <v>838</v>
      </c>
      <c r="G83" s="719"/>
      <c r="H83" s="720"/>
      <c r="I83" s="83" t="s">
        <v>60</v>
      </c>
      <c r="J83" s="22"/>
      <c r="K83" s="22">
        <v>789</v>
      </c>
      <c r="L83" s="23" t="s">
        <v>1078</v>
      </c>
      <c r="N83" s="719"/>
      <c r="O83" s="720"/>
      <c r="U83" s="719"/>
      <c r="V83" s="720"/>
      <c r="W83" s="82">
        <v>45694</v>
      </c>
      <c r="X83" s="22"/>
      <c r="Y83" s="22">
        <v>39.799999999999997</v>
      </c>
      <c r="Z83" s="23" t="s">
        <v>1074</v>
      </c>
      <c r="AB83" s="719"/>
      <c r="AC83" s="720"/>
    </row>
    <row r="84" spans="1:29" ht="13">
      <c r="A84" s="394">
        <v>44630</v>
      </c>
      <c r="B84" s="22"/>
      <c r="C84" s="22">
        <v>4636</v>
      </c>
      <c r="D84" s="23" t="s">
        <v>834</v>
      </c>
      <c r="G84" s="719"/>
      <c r="H84" s="720"/>
      <c r="I84" s="83" t="s">
        <v>60</v>
      </c>
      <c r="J84" s="22"/>
      <c r="K84" s="22">
        <v>40</v>
      </c>
      <c r="L84" s="23" t="s">
        <v>838</v>
      </c>
      <c r="N84" s="719"/>
      <c r="O84" s="720"/>
      <c r="U84" s="719"/>
      <c r="V84" s="720"/>
      <c r="W84" s="82">
        <v>45694</v>
      </c>
      <c r="X84" s="22"/>
      <c r="Y84" s="22">
        <v>1300</v>
      </c>
      <c r="Z84" s="23" t="s">
        <v>1079</v>
      </c>
      <c r="AB84" s="719"/>
      <c r="AC84" s="720"/>
    </row>
    <row r="85" spans="1:29" ht="13">
      <c r="A85" s="394">
        <v>44630</v>
      </c>
      <c r="B85" s="22"/>
      <c r="C85" s="22">
        <v>3294</v>
      </c>
      <c r="D85" s="23" t="s">
        <v>836</v>
      </c>
      <c r="G85" s="719"/>
      <c r="H85" s="720"/>
      <c r="I85" s="83" t="s">
        <v>60</v>
      </c>
      <c r="J85" s="22"/>
      <c r="K85" s="22">
        <v>693</v>
      </c>
      <c r="L85" s="23" t="s">
        <v>1087</v>
      </c>
      <c r="N85" s="719"/>
      <c r="O85" s="720"/>
      <c r="U85" s="719"/>
      <c r="V85" s="720"/>
      <c r="W85" s="82">
        <v>45694</v>
      </c>
      <c r="X85" s="22"/>
      <c r="Y85" s="22">
        <v>13.13</v>
      </c>
      <c r="Z85" s="23" t="s">
        <v>1173</v>
      </c>
      <c r="AB85" s="719"/>
      <c r="AC85" s="720"/>
    </row>
    <row r="86" spans="1:29" ht="13">
      <c r="A86" s="394">
        <v>44630</v>
      </c>
      <c r="B86" s="22"/>
      <c r="C86" s="22">
        <v>0.87</v>
      </c>
      <c r="D86" s="23" t="s">
        <v>838</v>
      </c>
      <c r="G86" s="719"/>
      <c r="H86" s="720"/>
      <c r="I86" s="83" t="s">
        <v>60</v>
      </c>
      <c r="J86" s="22"/>
      <c r="K86" s="22">
        <v>40</v>
      </c>
      <c r="L86" s="23" t="s">
        <v>838</v>
      </c>
      <c r="N86" s="719"/>
      <c r="O86" s="720"/>
      <c r="U86" s="719"/>
      <c r="V86" s="720"/>
      <c r="W86" s="82">
        <v>45694</v>
      </c>
      <c r="Y86" s="22">
        <v>1300</v>
      </c>
      <c r="Z86" s="23" t="s">
        <v>1093</v>
      </c>
      <c r="AB86" s="719"/>
      <c r="AC86" s="720"/>
    </row>
    <row r="87" spans="1:29" ht="13">
      <c r="A87" s="83" t="s">
        <v>840</v>
      </c>
      <c r="B87" s="22">
        <v>5856</v>
      </c>
      <c r="C87" s="22"/>
      <c r="D87" s="23" t="s">
        <v>1121</v>
      </c>
      <c r="E87" s="23" t="s">
        <v>1181</v>
      </c>
      <c r="G87" s="719"/>
      <c r="H87" s="720"/>
      <c r="I87" s="83" t="s">
        <v>60</v>
      </c>
      <c r="J87" s="22"/>
      <c r="K87" s="22">
        <v>693</v>
      </c>
      <c r="L87" s="23" t="s">
        <v>1119</v>
      </c>
      <c r="N87" s="719"/>
      <c r="O87" s="720"/>
      <c r="U87" s="719"/>
      <c r="V87" s="720"/>
      <c r="W87" s="82">
        <v>45694</v>
      </c>
      <c r="Y87" s="22">
        <v>13.13</v>
      </c>
      <c r="Z87" s="23" t="s">
        <v>1175</v>
      </c>
      <c r="AB87" s="719"/>
      <c r="AC87" s="720"/>
    </row>
    <row r="88" spans="1:29" ht="13">
      <c r="A88" s="83" t="s">
        <v>1182</v>
      </c>
      <c r="B88" s="22">
        <v>5856</v>
      </c>
      <c r="C88" s="22"/>
      <c r="D88" s="23" t="s">
        <v>1121</v>
      </c>
      <c r="E88" s="23" t="s">
        <v>1183</v>
      </c>
      <c r="G88" s="719"/>
      <c r="H88" s="720"/>
      <c r="I88" s="83" t="s">
        <v>60</v>
      </c>
      <c r="J88" s="22"/>
      <c r="K88" s="22">
        <v>40</v>
      </c>
      <c r="L88" s="23" t="s">
        <v>838</v>
      </c>
      <c r="N88" s="719"/>
      <c r="O88" s="720"/>
      <c r="U88" s="719"/>
      <c r="V88" s="720"/>
      <c r="W88" s="82">
        <v>45694</v>
      </c>
      <c r="Y88" s="22">
        <v>1300</v>
      </c>
      <c r="Z88" s="23" t="s">
        <v>1087</v>
      </c>
      <c r="AB88" s="719"/>
      <c r="AC88" s="720"/>
    </row>
    <row r="89" spans="1:29" ht="13">
      <c r="A89" s="83" t="s">
        <v>187</v>
      </c>
      <c r="B89" s="22"/>
      <c r="C89" s="22">
        <v>5200</v>
      </c>
      <c r="D89" s="23" t="s">
        <v>961</v>
      </c>
      <c r="G89" s="719"/>
      <c r="H89" s="720"/>
      <c r="I89" s="83" t="s">
        <v>60</v>
      </c>
      <c r="J89" s="22"/>
      <c r="K89" s="22">
        <v>501</v>
      </c>
      <c r="L89" s="23" t="s">
        <v>1184</v>
      </c>
      <c r="N89" s="719"/>
      <c r="O89" s="720"/>
      <c r="U89" s="719"/>
      <c r="V89" s="720"/>
      <c r="W89" s="82">
        <v>45694</v>
      </c>
      <c r="Y89" s="22">
        <v>13.13</v>
      </c>
      <c r="Z89" s="23" t="s">
        <v>1178</v>
      </c>
      <c r="AB89" s="719"/>
      <c r="AC89" s="720"/>
    </row>
    <row r="90" spans="1:29" ht="13">
      <c r="A90" s="83" t="s">
        <v>187</v>
      </c>
      <c r="B90" s="22"/>
      <c r="C90" s="22">
        <v>1.9</v>
      </c>
      <c r="D90" s="23" t="s">
        <v>838</v>
      </c>
      <c r="G90" s="719"/>
      <c r="H90" s="720"/>
      <c r="I90" s="83" t="s">
        <v>60</v>
      </c>
      <c r="J90" s="22"/>
      <c r="K90" s="22">
        <v>40</v>
      </c>
      <c r="L90" s="23" t="s">
        <v>838</v>
      </c>
      <c r="N90" s="719"/>
      <c r="O90" s="720"/>
      <c r="U90" s="719"/>
      <c r="V90" s="720"/>
      <c r="W90" s="83" t="s">
        <v>373</v>
      </c>
      <c r="X90" s="22">
        <v>8770</v>
      </c>
      <c r="Y90" s="22"/>
      <c r="Z90" s="23" t="s">
        <v>1070</v>
      </c>
      <c r="AB90" s="719"/>
      <c r="AC90" s="720"/>
    </row>
    <row r="91" spans="1:29" ht="13">
      <c r="A91" s="107">
        <v>44572</v>
      </c>
      <c r="B91" s="22"/>
      <c r="C91" s="22">
        <v>4636</v>
      </c>
      <c r="D91" s="23" t="s">
        <v>834</v>
      </c>
      <c r="G91" s="719"/>
      <c r="H91" s="720"/>
      <c r="I91" s="83" t="s">
        <v>60</v>
      </c>
      <c r="J91" s="22"/>
      <c r="K91" s="22">
        <v>275</v>
      </c>
      <c r="L91" s="23" t="s">
        <v>1185</v>
      </c>
      <c r="N91" s="719"/>
      <c r="O91" s="720"/>
      <c r="U91" s="719"/>
      <c r="V91" s="720"/>
      <c r="W91" s="83" t="s">
        <v>373</v>
      </c>
      <c r="X91" s="22"/>
      <c r="Y91" s="22">
        <v>87.7</v>
      </c>
      <c r="Z91" s="23" t="s">
        <v>1074</v>
      </c>
      <c r="AB91" s="719"/>
      <c r="AC91" s="720"/>
    </row>
    <row r="92" spans="1:29" ht="13">
      <c r="A92" s="107">
        <v>44572</v>
      </c>
      <c r="B92" s="22"/>
      <c r="C92" s="22">
        <v>3294</v>
      </c>
      <c r="D92" s="23" t="s">
        <v>836</v>
      </c>
      <c r="G92" s="719"/>
      <c r="H92" s="720"/>
      <c r="I92" s="83" t="s">
        <v>60</v>
      </c>
      <c r="K92" s="22">
        <v>40</v>
      </c>
      <c r="L92" s="23" t="s">
        <v>838</v>
      </c>
      <c r="N92" s="719"/>
      <c r="O92" s="720"/>
      <c r="U92" s="719"/>
      <c r="V92" s="720"/>
      <c r="W92" s="107">
        <v>45664</v>
      </c>
      <c r="X92" s="22"/>
      <c r="Y92" s="22">
        <v>1300</v>
      </c>
      <c r="Z92" s="23" t="s">
        <v>1087</v>
      </c>
      <c r="AB92" s="719"/>
      <c r="AC92" s="720"/>
    </row>
    <row r="93" spans="1:29" ht="13">
      <c r="A93" s="107">
        <v>44572</v>
      </c>
      <c r="B93" s="22"/>
      <c r="C93" s="22">
        <v>0.88</v>
      </c>
      <c r="D93" s="23" t="s">
        <v>838</v>
      </c>
      <c r="G93" s="719"/>
      <c r="H93" s="720"/>
      <c r="I93" s="82">
        <v>45079</v>
      </c>
      <c r="K93" s="22">
        <v>424.77</v>
      </c>
      <c r="L93" s="23" t="s">
        <v>1139</v>
      </c>
      <c r="N93" s="719"/>
      <c r="O93" s="720"/>
      <c r="U93" s="719"/>
      <c r="V93" s="720"/>
      <c r="W93" s="107">
        <v>45664</v>
      </c>
      <c r="X93" s="22"/>
      <c r="Y93" s="22">
        <v>13.13</v>
      </c>
      <c r="Z93" s="23" t="s">
        <v>1178</v>
      </c>
      <c r="AB93" s="719"/>
      <c r="AC93" s="720"/>
    </row>
    <row r="94" spans="1:29" ht="13">
      <c r="A94" s="107">
        <v>44753</v>
      </c>
      <c r="B94" s="22"/>
      <c r="C94" s="22">
        <v>300.22000000000003</v>
      </c>
      <c r="D94" s="23" t="s">
        <v>1186</v>
      </c>
      <c r="G94" s="719"/>
      <c r="H94" s="720"/>
      <c r="I94" s="83" t="s">
        <v>850</v>
      </c>
      <c r="K94" s="22">
        <v>32.200000000000003</v>
      </c>
      <c r="L94" s="23" t="s">
        <v>1077</v>
      </c>
      <c r="N94" s="719"/>
      <c r="O94" s="720"/>
      <c r="U94" s="719"/>
      <c r="V94" s="720"/>
      <c r="W94" s="107">
        <v>45664</v>
      </c>
      <c r="X94" s="22"/>
      <c r="Y94" s="22">
        <v>1300</v>
      </c>
      <c r="Z94" s="23" t="s">
        <v>1093</v>
      </c>
      <c r="AB94" s="719"/>
      <c r="AC94" s="720"/>
    </row>
    <row r="95" spans="1:29" ht="13">
      <c r="A95" s="107">
        <v>44753</v>
      </c>
      <c r="B95" s="22"/>
      <c r="C95" s="22">
        <v>9.01</v>
      </c>
      <c r="D95" s="23" t="s">
        <v>838</v>
      </c>
      <c r="G95" s="719"/>
      <c r="H95" s="720"/>
      <c r="I95" s="83" t="s">
        <v>1111</v>
      </c>
      <c r="K95" s="22">
        <v>25</v>
      </c>
      <c r="L95" s="23" t="s">
        <v>1129</v>
      </c>
      <c r="N95" s="719"/>
      <c r="O95" s="720"/>
      <c r="U95" s="719"/>
      <c r="V95" s="720"/>
      <c r="W95" s="107">
        <v>45664</v>
      </c>
      <c r="X95" s="22"/>
      <c r="Y95" s="22">
        <v>13.13</v>
      </c>
      <c r="Z95" s="23" t="s">
        <v>1175</v>
      </c>
      <c r="AB95" s="719"/>
      <c r="AC95" s="720"/>
    </row>
    <row r="96" spans="1:29" ht="13">
      <c r="A96" s="83" t="s">
        <v>925</v>
      </c>
      <c r="B96" s="22"/>
      <c r="C96" s="22">
        <v>150</v>
      </c>
      <c r="D96" s="23" t="s">
        <v>961</v>
      </c>
      <c r="G96" s="719"/>
      <c r="H96" s="720"/>
      <c r="I96" s="83" t="s">
        <v>1111</v>
      </c>
      <c r="J96" s="22">
        <v>7457.5</v>
      </c>
      <c r="K96" s="22"/>
      <c r="L96" s="23" t="s">
        <v>1131</v>
      </c>
      <c r="M96" s="23" t="s">
        <v>1187</v>
      </c>
      <c r="N96" s="719"/>
      <c r="O96" s="720"/>
      <c r="U96" s="719"/>
      <c r="V96" s="720"/>
      <c r="W96" s="107">
        <v>45664</v>
      </c>
      <c r="X96" s="22"/>
      <c r="Y96" s="22">
        <v>1300</v>
      </c>
      <c r="Z96" s="23" t="s">
        <v>1079</v>
      </c>
      <c r="AB96" s="719"/>
      <c r="AC96" s="720"/>
    </row>
    <row r="97" spans="1:29" ht="13">
      <c r="A97" s="83" t="s">
        <v>925</v>
      </c>
      <c r="B97" s="22"/>
      <c r="C97" s="22">
        <v>1.9</v>
      </c>
      <c r="D97" s="23" t="s">
        <v>838</v>
      </c>
      <c r="G97" s="719"/>
      <c r="H97" s="720"/>
      <c r="I97" s="107">
        <v>44960</v>
      </c>
      <c r="K97" s="22">
        <v>760</v>
      </c>
      <c r="L97" s="23" t="s">
        <v>1078</v>
      </c>
      <c r="N97" s="719"/>
      <c r="O97" s="720"/>
      <c r="U97" s="719"/>
      <c r="V97" s="720"/>
      <c r="W97" s="107">
        <v>45664</v>
      </c>
      <c r="X97" s="22"/>
      <c r="Y97" s="22">
        <v>13.13</v>
      </c>
      <c r="Z97" s="23" t="s">
        <v>1173</v>
      </c>
      <c r="AB97" s="719"/>
      <c r="AC97" s="720"/>
    </row>
    <row r="98" spans="1:29" ht="13">
      <c r="A98" s="83" t="s">
        <v>842</v>
      </c>
      <c r="B98" s="22"/>
      <c r="C98" s="22">
        <v>170.31</v>
      </c>
      <c r="D98" s="23" t="s">
        <v>1186</v>
      </c>
      <c r="G98" s="719"/>
      <c r="H98" s="720"/>
      <c r="I98" s="107">
        <v>44960</v>
      </c>
      <c r="K98" s="22">
        <v>40</v>
      </c>
      <c r="L98" s="23" t="s">
        <v>838</v>
      </c>
      <c r="N98" s="719"/>
      <c r="O98" s="720"/>
      <c r="U98" s="719"/>
      <c r="V98" s="720"/>
      <c r="W98" s="107">
        <v>45664</v>
      </c>
      <c r="X98" s="22"/>
      <c r="Y98" s="22">
        <v>2200</v>
      </c>
      <c r="Z98" s="23" t="s">
        <v>1188</v>
      </c>
      <c r="AB98" s="719"/>
      <c r="AC98" s="720"/>
    </row>
    <row r="99" spans="1:29" ht="13">
      <c r="A99" s="83" t="s">
        <v>842</v>
      </c>
      <c r="B99" s="22"/>
      <c r="C99" s="22">
        <v>5.1100000000000003</v>
      </c>
      <c r="D99" s="23" t="s">
        <v>1189</v>
      </c>
      <c r="G99" s="719"/>
      <c r="H99" s="720"/>
      <c r="I99" s="107">
        <v>44960</v>
      </c>
      <c r="K99" s="22">
        <v>668</v>
      </c>
      <c r="L99" s="23" t="s">
        <v>1123</v>
      </c>
      <c r="N99" s="719"/>
      <c r="O99" s="720"/>
      <c r="U99" s="719"/>
      <c r="V99" s="720"/>
      <c r="W99" s="107">
        <v>45664</v>
      </c>
      <c r="X99" s="22"/>
      <c r="Y99" s="22">
        <v>22.22</v>
      </c>
      <c r="Z99" s="23" t="s">
        <v>1190</v>
      </c>
      <c r="AB99" s="719"/>
      <c r="AC99" s="720"/>
    </row>
    <row r="100" spans="1:29" ht="13">
      <c r="A100" s="83" t="s">
        <v>928</v>
      </c>
      <c r="B100" s="22"/>
      <c r="C100" s="22">
        <v>103.25</v>
      </c>
      <c r="D100" s="23" t="s">
        <v>1186</v>
      </c>
      <c r="G100" s="719"/>
      <c r="H100" s="720"/>
      <c r="I100" s="107">
        <v>44960</v>
      </c>
      <c r="K100" s="22">
        <v>40</v>
      </c>
      <c r="L100" s="23" t="s">
        <v>838</v>
      </c>
      <c r="N100" s="719"/>
      <c r="O100" s="720"/>
      <c r="U100" s="719"/>
      <c r="V100" s="720"/>
      <c r="W100" s="83" t="s">
        <v>67</v>
      </c>
      <c r="X100" s="22">
        <v>7270</v>
      </c>
      <c r="Z100" s="23" t="s">
        <v>1070</v>
      </c>
      <c r="AB100" s="719"/>
      <c r="AC100" s="720"/>
    </row>
    <row r="101" spans="1:29" ht="13">
      <c r="A101" s="83" t="s">
        <v>928</v>
      </c>
      <c r="B101" s="22"/>
      <c r="C101" s="22">
        <v>3.1</v>
      </c>
      <c r="D101" s="23" t="s">
        <v>1189</v>
      </c>
      <c r="G101" s="719"/>
      <c r="H101" s="720"/>
      <c r="I101" s="107">
        <v>44960</v>
      </c>
      <c r="K101" s="22">
        <v>668</v>
      </c>
      <c r="L101" s="23" t="s">
        <v>1119</v>
      </c>
      <c r="N101" s="719"/>
      <c r="O101" s="720"/>
      <c r="U101" s="719"/>
      <c r="V101" s="720"/>
      <c r="W101" s="83" t="s">
        <v>67</v>
      </c>
      <c r="X101" s="22"/>
      <c r="Y101" s="23">
        <v>72.7</v>
      </c>
      <c r="Z101" s="23" t="s">
        <v>1074</v>
      </c>
      <c r="AB101" s="719"/>
      <c r="AC101" s="720"/>
    </row>
    <row r="102" spans="1:29" ht="13">
      <c r="A102" s="83" t="s">
        <v>1191</v>
      </c>
      <c r="B102" s="22">
        <v>0.11</v>
      </c>
      <c r="C102" s="22"/>
      <c r="D102" s="23" t="s">
        <v>1192</v>
      </c>
      <c r="G102" s="719"/>
      <c r="H102" s="720"/>
      <c r="I102" s="107">
        <v>44960</v>
      </c>
      <c r="K102" s="22">
        <v>40</v>
      </c>
      <c r="L102" s="23" t="s">
        <v>838</v>
      </c>
      <c r="N102" s="719"/>
      <c r="O102" s="720"/>
      <c r="U102" s="719"/>
      <c r="V102" s="720"/>
      <c r="W102" s="83" t="s">
        <v>67</v>
      </c>
      <c r="X102" s="22"/>
      <c r="Y102" s="22">
        <v>1300</v>
      </c>
      <c r="Z102" s="23" t="s">
        <v>1087</v>
      </c>
      <c r="AB102" s="719"/>
      <c r="AC102" s="720"/>
    </row>
    <row r="103" spans="1:29" ht="13">
      <c r="A103" s="83" t="s">
        <v>1146</v>
      </c>
      <c r="B103" s="22">
        <v>7800</v>
      </c>
      <c r="C103" s="22"/>
      <c r="D103" s="23" t="s">
        <v>1165</v>
      </c>
      <c r="G103" s="719"/>
      <c r="H103" s="720"/>
      <c r="I103" s="107">
        <v>44960</v>
      </c>
      <c r="K103" s="22">
        <v>483</v>
      </c>
      <c r="L103" s="23" t="s">
        <v>1166</v>
      </c>
      <c r="N103" s="719"/>
      <c r="O103" s="720"/>
      <c r="U103" s="719"/>
      <c r="V103" s="720"/>
      <c r="W103" s="83" t="s">
        <v>67</v>
      </c>
      <c r="X103" s="22"/>
      <c r="Y103" s="22">
        <v>13.13</v>
      </c>
      <c r="Z103" s="23" t="s">
        <v>1178</v>
      </c>
      <c r="AB103" s="719"/>
      <c r="AC103" s="720"/>
    </row>
    <row r="104" spans="1:29" ht="13">
      <c r="A104" s="83" t="s">
        <v>1146</v>
      </c>
      <c r="B104" s="22"/>
      <c r="C104" s="22">
        <v>7800</v>
      </c>
      <c r="D104" s="23" t="s">
        <v>961</v>
      </c>
      <c r="G104" s="719"/>
      <c r="H104" s="720"/>
      <c r="I104" s="107">
        <v>44960</v>
      </c>
      <c r="K104" s="22">
        <v>40</v>
      </c>
      <c r="L104" s="23" t="s">
        <v>838</v>
      </c>
      <c r="N104" s="719"/>
      <c r="O104" s="720"/>
      <c r="U104" s="719"/>
      <c r="V104" s="720"/>
      <c r="W104" s="83" t="s">
        <v>67</v>
      </c>
      <c r="X104" s="22"/>
      <c r="Y104" s="22">
        <v>1300</v>
      </c>
      <c r="Z104" s="23" t="s">
        <v>1093</v>
      </c>
      <c r="AB104" s="719"/>
      <c r="AC104" s="720"/>
    </row>
    <row r="105" spans="1:29" ht="13">
      <c r="A105" s="83" t="s">
        <v>1146</v>
      </c>
      <c r="B105" s="22"/>
      <c r="C105" s="22">
        <v>1.9</v>
      </c>
      <c r="D105" s="23" t="s">
        <v>838</v>
      </c>
      <c r="G105" s="719"/>
      <c r="H105" s="720"/>
      <c r="I105" s="107">
        <v>44960</v>
      </c>
      <c r="K105" s="22">
        <v>760</v>
      </c>
      <c r="L105" s="23" t="s">
        <v>1185</v>
      </c>
      <c r="N105" s="719"/>
      <c r="O105" s="720"/>
      <c r="U105" s="719"/>
      <c r="V105" s="720"/>
      <c r="W105" s="83" t="s">
        <v>67</v>
      </c>
      <c r="X105" s="22"/>
      <c r="Y105" s="22">
        <v>13.13</v>
      </c>
      <c r="Z105" s="23" t="s">
        <v>1175</v>
      </c>
      <c r="AB105" s="719"/>
      <c r="AC105" s="720"/>
    </row>
    <row r="106" spans="1:29" ht="13">
      <c r="A106" s="83" t="s">
        <v>194</v>
      </c>
      <c r="B106" s="22">
        <v>5856</v>
      </c>
      <c r="C106" s="22"/>
      <c r="D106" s="23" t="s">
        <v>1121</v>
      </c>
      <c r="E106" s="23" t="s">
        <v>1193</v>
      </c>
      <c r="G106" s="719"/>
      <c r="H106" s="720"/>
      <c r="I106" s="107">
        <v>44960</v>
      </c>
      <c r="K106" s="22">
        <v>40</v>
      </c>
      <c r="L106" s="23" t="s">
        <v>838</v>
      </c>
      <c r="N106" s="719"/>
      <c r="O106" s="720"/>
      <c r="U106" s="719"/>
      <c r="V106" s="720"/>
      <c r="W106" s="83" t="s">
        <v>67</v>
      </c>
      <c r="X106" s="22"/>
      <c r="Y106" s="22">
        <v>1300</v>
      </c>
      <c r="Z106" s="23" t="s">
        <v>1079</v>
      </c>
      <c r="AB106" s="719"/>
      <c r="AC106" s="720"/>
    </row>
    <row r="107" spans="1:29" ht="13">
      <c r="A107" s="394">
        <v>44573</v>
      </c>
      <c r="B107" s="22"/>
      <c r="C107" s="22">
        <v>584</v>
      </c>
      <c r="D107" s="23" t="s">
        <v>961</v>
      </c>
      <c r="G107" s="719"/>
      <c r="H107" s="720"/>
      <c r="I107" s="82">
        <v>45172</v>
      </c>
      <c r="J107" s="22">
        <v>1200</v>
      </c>
      <c r="L107" s="23" t="s">
        <v>1104</v>
      </c>
      <c r="M107" s="23" t="s">
        <v>1194</v>
      </c>
      <c r="N107" s="719"/>
      <c r="O107" s="720"/>
      <c r="U107" s="719"/>
      <c r="V107" s="720"/>
      <c r="W107" s="83" t="s">
        <v>67</v>
      </c>
      <c r="X107" s="22"/>
      <c r="Y107" s="22">
        <v>13.13</v>
      </c>
      <c r="Z107" s="23" t="s">
        <v>1173</v>
      </c>
      <c r="AB107" s="719"/>
      <c r="AC107" s="720"/>
    </row>
    <row r="108" spans="1:29" ht="13">
      <c r="A108" s="394">
        <v>44573</v>
      </c>
      <c r="B108" s="22"/>
      <c r="C108" s="22">
        <v>1.9</v>
      </c>
      <c r="D108" s="23" t="s">
        <v>838</v>
      </c>
      <c r="G108" s="719"/>
      <c r="H108" s="720"/>
      <c r="I108" s="107" t="s">
        <v>1195</v>
      </c>
      <c r="J108" s="107"/>
      <c r="K108" s="23">
        <v>1322.06</v>
      </c>
      <c r="L108" s="23" t="s">
        <v>1139</v>
      </c>
      <c r="N108" s="719"/>
      <c r="O108" s="720"/>
      <c r="U108" s="719"/>
      <c r="V108" s="720"/>
      <c r="W108" s="83" t="s">
        <v>67</v>
      </c>
      <c r="X108" s="22"/>
      <c r="Y108" s="22">
        <v>3000</v>
      </c>
      <c r="Z108" s="23" t="s">
        <v>1188</v>
      </c>
      <c r="AB108" s="719"/>
      <c r="AC108" s="720"/>
    </row>
    <row r="109" spans="1:29" ht="13">
      <c r="A109" s="394">
        <v>44573</v>
      </c>
      <c r="B109" s="22"/>
      <c r="C109" s="22">
        <v>4636</v>
      </c>
      <c r="D109" s="23" t="s">
        <v>1120</v>
      </c>
      <c r="G109" s="719"/>
      <c r="H109" s="720"/>
      <c r="I109" s="83" t="s">
        <v>854</v>
      </c>
      <c r="J109" s="107"/>
      <c r="K109" s="22">
        <v>32.119999999999997</v>
      </c>
      <c r="L109" s="23" t="s">
        <v>1077</v>
      </c>
      <c r="N109" s="719"/>
      <c r="O109" s="720"/>
      <c r="U109" s="719"/>
      <c r="V109" s="720"/>
      <c r="W109" s="83" t="s">
        <v>67</v>
      </c>
      <c r="X109" s="22"/>
      <c r="Y109" s="22">
        <v>30.3</v>
      </c>
      <c r="Z109" s="23" t="s">
        <v>1190</v>
      </c>
      <c r="AB109" s="719"/>
      <c r="AC109" s="720"/>
    </row>
    <row r="110" spans="1:29" ht="13">
      <c r="A110" s="394">
        <v>44573</v>
      </c>
      <c r="B110" s="22"/>
      <c r="C110" s="22">
        <v>3294</v>
      </c>
      <c r="D110" s="23" t="s">
        <v>836</v>
      </c>
      <c r="G110" s="719"/>
      <c r="H110" s="720"/>
      <c r="I110" s="83" t="s">
        <v>1196</v>
      </c>
      <c r="J110" s="22"/>
      <c r="K110" s="22">
        <v>25</v>
      </c>
      <c r="L110" s="23" t="s">
        <v>1129</v>
      </c>
      <c r="N110" s="719"/>
      <c r="O110" s="720"/>
      <c r="U110" s="719"/>
      <c r="V110" s="720"/>
      <c r="W110" s="83" t="s">
        <v>1048</v>
      </c>
      <c r="X110" s="22">
        <v>4470</v>
      </c>
      <c r="Y110" s="22"/>
      <c r="Z110" s="23" t="s">
        <v>1070</v>
      </c>
      <c r="AB110" s="719"/>
      <c r="AC110" s="720"/>
    </row>
    <row r="111" spans="1:29" ht="13">
      <c r="A111" s="394">
        <v>44573</v>
      </c>
      <c r="B111" s="22"/>
      <c r="C111" s="22">
        <v>0.9</v>
      </c>
      <c r="D111" s="23" t="s">
        <v>838</v>
      </c>
      <c r="G111" s="719"/>
      <c r="H111" s="720"/>
      <c r="I111" s="83" t="s">
        <v>1196</v>
      </c>
      <c r="J111" s="22">
        <v>1759.44</v>
      </c>
      <c r="K111" s="22"/>
      <c r="L111" s="23" t="s">
        <v>1131</v>
      </c>
      <c r="M111" s="23" t="s">
        <v>1197</v>
      </c>
      <c r="N111" s="719"/>
      <c r="O111" s="720"/>
      <c r="U111" s="719"/>
      <c r="V111" s="720"/>
      <c r="W111" s="107">
        <v>45666</v>
      </c>
      <c r="Y111" s="23">
        <v>44.7</v>
      </c>
      <c r="Z111" s="23" t="s">
        <v>1074</v>
      </c>
      <c r="AB111" s="719"/>
      <c r="AC111" s="720"/>
    </row>
    <row r="112" spans="1:29" ht="13">
      <c r="A112" s="83" t="s">
        <v>54</v>
      </c>
      <c r="B112" s="22"/>
      <c r="C112" s="22">
        <v>3780</v>
      </c>
      <c r="D112" s="23" t="s">
        <v>1015</v>
      </c>
      <c r="G112" s="719"/>
      <c r="H112" s="720"/>
      <c r="I112" s="83" t="s">
        <v>939</v>
      </c>
      <c r="J112" s="22"/>
      <c r="K112" s="22">
        <v>116</v>
      </c>
      <c r="L112" s="23" t="s">
        <v>1198</v>
      </c>
      <c r="N112" s="719"/>
      <c r="O112" s="720"/>
      <c r="U112" s="719"/>
      <c r="V112" s="720"/>
      <c r="W112" s="107">
        <v>45666</v>
      </c>
      <c r="Y112" s="22">
        <v>1320</v>
      </c>
      <c r="Z112" s="23" t="s">
        <v>1087</v>
      </c>
      <c r="AB112" s="719"/>
      <c r="AC112" s="720"/>
    </row>
    <row r="113" spans="1:29" ht="13">
      <c r="A113" s="83" t="s">
        <v>56</v>
      </c>
      <c r="B113" s="22">
        <v>5856</v>
      </c>
      <c r="C113" s="22"/>
      <c r="D113" s="23" t="s">
        <v>1121</v>
      </c>
      <c r="E113" s="23" t="s">
        <v>1199</v>
      </c>
      <c r="G113" s="719"/>
      <c r="H113" s="720"/>
      <c r="I113" s="83" t="s">
        <v>939</v>
      </c>
      <c r="J113" s="22"/>
      <c r="K113" s="22">
        <v>40</v>
      </c>
      <c r="L113" s="23" t="s">
        <v>838</v>
      </c>
      <c r="N113" s="719"/>
      <c r="O113" s="720"/>
      <c r="U113" s="719"/>
      <c r="V113" s="720"/>
      <c r="W113" s="107">
        <v>45666</v>
      </c>
      <c r="Y113" s="22">
        <v>13.33</v>
      </c>
      <c r="Z113" s="23" t="s">
        <v>1178</v>
      </c>
      <c r="AB113" s="719"/>
      <c r="AC113" s="720"/>
    </row>
    <row r="114" spans="1:29" ht="13">
      <c r="A114" s="83" t="s">
        <v>56</v>
      </c>
      <c r="B114" s="22"/>
      <c r="C114" s="22">
        <v>2923</v>
      </c>
      <c r="D114" s="23" t="s">
        <v>1015</v>
      </c>
      <c r="G114" s="719"/>
      <c r="H114" s="720"/>
      <c r="I114" s="83" t="s">
        <v>226</v>
      </c>
      <c r="J114" s="22"/>
      <c r="K114" s="22">
        <v>850</v>
      </c>
      <c r="L114" s="23" t="s">
        <v>1200</v>
      </c>
      <c r="N114" s="719"/>
      <c r="O114" s="720"/>
      <c r="U114" s="719"/>
      <c r="V114" s="720"/>
      <c r="W114" s="107">
        <v>45666</v>
      </c>
      <c r="Y114" s="22">
        <v>1320</v>
      </c>
      <c r="Z114" s="23" t="s">
        <v>1093</v>
      </c>
      <c r="AB114" s="719"/>
      <c r="AC114" s="720"/>
    </row>
    <row r="115" spans="1:29" ht="13">
      <c r="A115" s="83" t="s">
        <v>56</v>
      </c>
      <c r="B115" s="22"/>
      <c r="C115" s="22">
        <v>2923</v>
      </c>
      <c r="D115" s="23" t="s">
        <v>1016</v>
      </c>
      <c r="G115" s="719"/>
      <c r="H115" s="720"/>
      <c r="I115" s="83" t="s">
        <v>226</v>
      </c>
      <c r="J115" s="22"/>
      <c r="K115" s="22">
        <v>40</v>
      </c>
      <c r="L115" s="23" t="s">
        <v>838</v>
      </c>
      <c r="N115" s="719"/>
      <c r="O115" s="720"/>
      <c r="U115" s="719"/>
      <c r="V115" s="720"/>
      <c r="W115" s="107">
        <v>45666</v>
      </c>
      <c r="Y115" s="22">
        <v>13.33</v>
      </c>
      <c r="Z115" s="23" t="s">
        <v>1175</v>
      </c>
      <c r="AB115" s="719"/>
      <c r="AC115" s="720"/>
    </row>
    <row r="116" spans="1:29" ht="13">
      <c r="A116" s="83" t="s">
        <v>56</v>
      </c>
      <c r="B116" s="22"/>
      <c r="C116" s="22">
        <v>1.9</v>
      </c>
      <c r="D116" s="23" t="s">
        <v>838</v>
      </c>
      <c r="G116" s="719"/>
      <c r="H116" s="720"/>
      <c r="I116" s="82">
        <v>44989</v>
      </c>
      <c r="J116" s="22"/>
      <c r="K116" s="22">
        <v>794</v>
      </c>
      <c r="L116" s="23" t="s">
        <v>1078</v>
      </c>
      <c r="N116" s="719"/>
      <c r="O116" s="720"/>
      <c r="U116" s="719"/>
      <c r="V116" s="720"/>
      <c r="W116" s="107">
        <v>45666</v>
      </c>
      <c r="Y116" s="22">
        <v>1300</v>
      </c>
      <c r="Z116" s="23" t="s">
        <v>1079</v>
      </c>
      <c r="AB116" s="719"/>
      <c r="AC116" s="720"/>
    </row>
    <row r="117" spans="1:29" ht="13">
      <c r="A117" s="83" t="s">
        <v>60</v>
      </c>
      <c r="B117" s="22">
        <v>5856</v>
      </c>
      <c r="C117" s="22"/>
      <c r="D117" s="23" t="s">
        <v>1121</v>
      </c>
      <c r="E117" s="23" t="s">
        <v>1201</v>
      </c>
      <c r="G117" s="719"/>
      <c r="H117" s="720"/>
      <c r="I117" s="82">
        <v>44989</v>
      </c>
      <c r="J117" s="22"/>
      <c r="K117" s="22">
        <v>40</v>
      </c>
      <c r="L117" s="23" t="s">
        <v>838</v>
      </c>
      <c r="N117" s="719"/>
      <c r="O117" s="720"/>
      <c r="U117" s="719"/>
      <c r="V117" s="720"/>
      <c r="W117" s="107">
        <v>45666</v>
      </c>
      <c r="Y117" s="22">
        <v>13.13</v>
      </c>
      <c r="Z117" s="23" t="s">
        <v>1173</v>
      </c>
      <c r="AB117" s="719"/>
      <c r="AC117" s="720"/>
    </row>
    <row r="118" spans="1:29" ht="13">
      <c r="A118" s="83" t="s">
        <v>936</v>
      </c>
      <c r="B118" s="22"/>
      <c r="C118" s="22">
        <v>984</v>
      </c>
      <c r="D118" s="23" t="s">
        <v>961</v>
      </c>
      <c r="G118" s="719"/>
      <c r="H118" s="720"/>
      <c r="I118" s="82">
        <v>44989</v>
      </c>
      <c r="K118" s="22">
        <v>700</v>
      </c>
      <c r="L118" s="23" t="s">
        <v>1087</v>
      </c>
      <c r="N118" s="719"/>
      <c r="O118" s="720"/>
      <c r="U118" s="719"/>
      <c r="V118" s="720"/>
      <c r="W118" s="107">
        <v>45666</v>
      </c>
      <c r="Y118" s="22">
        <v>3000</v>
      </c>
      <c r="Z118" s="23" t="s">
        <v>1188</v>
      </c>
      <c r="AB118" s="719"/>
      <c r="AC118" s="720"/>
    </row>
    <row r="119" spans="1:29" ht="13">
      <c r="A119" s="83" t="s">
        <v>936</v>
      </c>
      <c r="B119" s="22"/>
      <c r="C119" s="22">
        <v>1.9</v>
      </c>
      <c r="D119" s="23" t="s">
        <v>838</v>
      </c>
      <c r="G119" s="719"/>
      <c r="H119" s="720"/>
      <c r="I119" s="82">
        <v>44989</v>
      </c>
      <c r="K119" s="22">
        <v>40</v>
      </c>
      <c r="L119" s="23" t="s">
        <v>838</v>
      </c>
      <c r="N119" s="719"/>
      <c r="O119" s="720"/>
      <c r="U119" s="719"/>
      <c r="V119" s="720"/>
      <c r="W119" s="107">
        <v>45666</v>
      </c>
      <c r="Y119" s="22">
        <v>30.3</v>
      </c>
      <c r="Z119" s="23" t="s">
        <v>1190</v>
      </c>
      <c r="AB119" s="719"/>
      <c r="AC119" s="720"/>
    </row>
    <row r="120" spans="1:29" ht="13">
      <c r="A120" s="83" t="s">
        <v>1202</v>
      </c>
      <c r="B120" s="22">
        <v>12270</v>
      </c>
      <c r="C120" s="22"/>
      <c r="D120" s="23" t="s">
        <v>1080</v>
      </c>
      <c r="E120" s="23" t="s">
        <v>1203</v>
      </c>
      <c r="G120" s="719"/>
      <c r="H120" s="720"/>
      <c r="I120" s="82">
        <v>44989</v>
      </c>
      <c r="K120" s="22">
        <v>607</v>
      </c>
      <c r="L120" s="23" t="s">
        <v>1119</v>
      </c>
      <c r="N120" s="719"/>
      <c r="O120" s="720"/>
      <c r="U120" s="719"/>
      <c r="V120" s="720"/>
      <c r="W120" s="83" t="s">
        <v>401</v>
      </c>
      <c r="X120" s="22">
        <v>10770</v>
      </c>
      <c r="Y120" s="22"/>
      <c r="Z120" s="23" t="s">
        <v>1070</v>
      </c>
      <c r="AB120" s="719"/>
      <c r="AC120" s="720"/>
    </row>
    <row r="121" spans="1:29" ht="13">
      <c r="A121" s="83" t="s">
        <v>1202</v>
      </c>
      <c r="B121" s="22"/>
      <c r="C121" s="22">
        <v>15</v>
      </c>
      <c r="D121" s="23" t="s">
        <v>838</v>
      </c>
      <c r="G121" s="719"/>
      <c r="H121" s="720"/>
      <c r="I121" s="82">
        <v>44989</v>
      </c>
      <c r="K121" s="22">
        <v>40</v>
      </c>
      <c r="L121" s="23" t="s">
        <v>838</v>
      </c>
      <c r="N121" s="719"/>
      <c r="O121" s="720"/>
      <c r="U121" s="719"/>
      <c r="V121" s="720"/>
      <c r="W121" s="83" t="s">
        <v>401</v>
      </c>
      <c r="Y121" s="22">
        <v>107.7</v>
      </c>
      <c r="Z121" s="23" t="s">
        <v>1074</v>
      </c>
      <c r="AB121" s="719"/>
      <c r="AC121" s="720"/>
    </row>
    <row r="122" spans="1:29" ht="13">
      <c r="A122" s="83" t="s">
        <v>1204</v>
      </c>
      <c r="B122" s="22"/>
      <c r="C122" s="22">
        <v>572</v>
      </c>
      <c r="D122" s="23" t="s">
        <v>1205</v>
      </c>
      <c r="G122" s="719"/>
      <c r="H122" s="720"/>
      <c r="I122" s="82">
        <v>44989</v>
      </c>
      <c r="K122" s="22">
        <v>502</v>
      </c>
      <c r="L122" s="23" t="s">
        <v>1153</v>
      </c>
      <c r="N122" s="719"/>
      <c r="O122" s="720"/>
      <c r="U122" s="719"/>
      <c r="V122" s="720"/>
      <c r="W122" s="82">
        <v>45667</v>
      </c>
      <c r="Y122" s="22">
        <v>1320</v>
      </c>
      <c r="Z122" s="23" t="s">
        <v>1087</v>
      </c>
      <c r="AB122" s="719"/>
      <c r="AC122" s="720"/>
    </row>
    <row r="123" spans="1:29" ht="13">
      <c r="A123" s="83" t="s">
        <v>1204</v>
      </c>
      <c r="B123" s="22"/>
      <c r="C123" s="22">
        <v>1.9</v>
      </c>
      <c r="D123" s="23" t="s">
        <v>838</v>
      </c>
      <c r="G123" s="719"/>
      <c r="H123" s="720"/>
      <c r="I123" s="82">
        <v>44989</v>
      </c>
      <c r="K123" s="22">
        <v>40</v>
      </c>
      <c r="L123" s="23" t="s">
        <v>838</v>
      </c>
      <c r="N123" s="719"/>
      <c r="O123" s="720"/>
      <c r="U123" s="719"/>
      <c r="V123" s="720"/>
      <c r="W123" s="82">
        <v>45667</v>
      </c>
      <c r="Y123" s="22">
        <v>13.33</v>
      </c>
      <c r="Z123" s="23" t="s">
        <v>1178</v>
      </c>
      <c r="AB123" s="719"/>
      <c r="AC123" s="720"/>
    </row>
    <row r="124" spans="1:29" ht="13">
      <c r="A124" s="83" t="s">
        <v>217</v>
      </c>
      <c r="B124" s="22"/>
      <c r="C124" s="22">
        <v>6000</v>
      </c>
      <c r="D124" s="23" t="s">
        <v>961</v>
      </c>
      <c r="G124" s="719"/>
      <c r="H124" s="720"/>
      <c r="I124" s="82">
        <v>44989</v>
      </c>
      <c r="K124" s="22">
        <v>790</v>
      </c>
      <c r="L124" s="23" t="s">
        <v>1206</v>
      </c>
      <c r="N124" s="719"/>
      <c r="O124" s="720"/>
      <c r="U124" s="719"/>
      <c r="V124" s="720"/>
      <c r="W124" s="82">
        <v>45667</v>
      </c>
      <c r="Y124" s="22">
        <v>1320</v>
      </c>
      <c r="Z124" s="23" t="s">
        <v>1093</v>
      </c>
      <c r="AB124" s="719"/>
      <c r="AC124" s="720"/>
    </row>
    <row r="125" spans="1:29" ht="13">
      <c r="A125" s="83" t="s">
        <v>217</v>
      </c>
      <c r="B125" s="22"/>
      <c r="C125" s="22">
        <v>1.9</v>
      </c>
      <c r="D125" s="23" t="s">
        <v>838</v>
      </c>
      <c r="G125" s="719"/>
      <c r="H125" s="720"/>
      <c r="I125" s="82">
        <v>44989</v>
      </c>
      <c r="K125" s="22">
        <v>40</v>
      </c>
      <c r="L125" s="23" t="s">
        <v>838</v>
      </c>
      <c r="N125" s="719"/>
      <c r="O125" s="720"/>
      <c r="U125" s="719"/>
      <c r="V125" s="720"/>
      <c r="W125" s="82">
        <v>45667</v>
      </c>
      <c r="Y125" s="22">
        <v>13.33</v>
      </c>
      <c r="Z125" s="23" t="s">
        <v>1175</v>
      </c>
      <c r="AB125" s="719"/>
      <c r="AC125" s="720"/>
    </row>
    <row r="126" spans="1:29" ht="13">
      <c r="A126" s="107">
        <v>45080</v>
      </c>
      <c r="B126" s="22">
        <v>5856</v>
      </c>
      <c r="C126" s="22"/>
      <c r="D126" s="23" t="s">
        <v>1121</v>
      </c>
      <c r="E126" s="23" t="s">
        <v>1207</v>
      </c>
      <c r="G126" s="719"/>
      <c r="H126" s="720"/>
      <c r="I126" s="82">
        <v>44989</v>
      </c>
      <c r="K126" s="22">
        <v>69</v>
      </c>
      <c r="L126" s="23" t="s">
        <v>1119</v>
      </c>
      <c r="N126" s="719"/>
      <c r="O126" s="720"/>
      <c r="U126" s="719"/>
      <c r="V126" s="720"/>
      <c r="W126" s="82">
        <v>45667</v>
      </c>
      <c r="Y126" s="22">
        <v>3000</v>
      </c>
      <c r="Z126" s="23" t="s">
        <v>1188</v>
      </c>
      <c r="AB126" s="719"/>
      <c r="AC126" s="720"/>
    </row>
    <row r="127" spans="1:29" ht="13">
      <c r="A127" s="107">
        <v>45172</v>
      </c>
      <c r="B127" s="22"/>
      <c r="C127" s="22">
        <v>814</v>
      </c>
      <c r="D127" s="23" t="s">
        <v>961</v>
      </c>
      <c r="E127" s="23" t="s">
        <v>971</v>
      </c>
      <c r="G127" s="719"/>
      <c r="H127" s="720"/>
      <c r="I127" s="82">
        <v>44989</v>
      </c>
      <c r="K127" s="22">
        <v>40</v>
      </c>
      <c r="L127" s="23" t="s">
        <v>838</v>
      </c>
      <c r="N127" s="719"/>
      <c r="O127" s="720"/>
      <c r="U127" s="719"/>
      <c r="V127" s="720"/>
      <c r="W127" s="82">
        <v>45667</v>
      </c>
      <c r="Y127" s="22">
        <v>30.3</v>
      </c>
      <c r="Z127" s="23" t="s">
        <v>1190</v>
      </c>
      <c r="AB127" s="719"/>
      <c r="AC127" s="720"/>
    </row>
    <row r="128" spans="1:29" ht="13">
      <c r="A128" s="107">
        <v>45172</v>
      </c>
      <c r="B128" s="22"/>
      <c r="C128" s="22">
        <v>1.9</v>
      </c>
      <c r="D128" s="23" t="s">
        <v>838</v>
      </c>
      <c r="G128" s="719"/>
      <c r="H128" s="720"/>
      <c r="I128" s="82">
        <v>45203</v>
      </c>
      <c r="K128" s="22">
        <v>854.59</v>
      </c>
      <c r="L128" s="23" t="s">
        <v>1139</v>
      </c>
      <c r="N128" s="719"/>
      <c r="O128" s="720"/>
      <c r="U128" s="719"/>
      <c r="V128" s="720"/>
      <c r="W128" s="82">
        <v>45667</v>
      </c>
      <c r="Y128" s="22">
        <v>810</v>
      </c>
      <c r="Z128" s="23" t="s">
        <v>1208</v>
      </c>
      <c r="AB128" s="719"/>
      <c r="AC128" s="720"/>
    </row>
    <row r="129" spans="1:29" ht="13">
      <c r="A129" s="83" t="s">
        <v>226</v>
      </c>
      <c r="B129" s="22"/>
      <c r="C129" s="22">
        <v>6100</v>
      </c>
      <c r="D129" s="23" t="s">
        <v>961</v>
      </c>
      <c r="G129" s="719"/>
      <c r="H129" s="720"/>
      <c r="I129" s="82">
        <v>45234</v>
      </c>
      <c r="K129" s="22">
        <v>215</v>
      </c>
      <c r="L129" s="23" t="s">
        <v>1198</v>
      </c>
      <c r="N129" s="719"/>
      <c r="O129" s="720"/>
      <c r="U129" s="719"/>
      <c r="V129" s="720"/>
      <c r="W129" s="82">
        <v>45667</v>
      </c>
      <c r="Y129" s="22">
        <v>8.18</v>
      </c>
      <c r="Z129" s="23" t="s">
        <v>1209</v>
      </c>
      <c r="AB129" s="719"/>
      <c r="AC129" s="720"/>
    </row>
    <row r="130" spans="1:29" ht="13">
      <c r="A130" s="83" t="s">
        <v>226</v>
      </c>
      <c r="B130" s="22"/>
      <c r="C130" s="22">
        <v>1.9</v>
      </c>
      <c r="D130" s="23" t="s">
        <v>838</v>
      </c>
      <c r="G130" s="719"/>
      <c r="H130" s="720"/>
      <c r="I130" s="82">
        <v>45234</v>
      </c>
      <c r="K130" s="22">
        <v>40</v>
      </c>
      <c r="L130" s="23" t="s">
        <v>838</v>
      </c>
      <c r="N130" s="719"/>
      <c r="O130" s="720"/>
      <c r="U130" s="719"/>
      <c r="V130" s="720"/>
      <c r="W130" s="82">
        <v>45667</v>
      </c>
      <c r="Y130" s="22">
        <v>1900</v>
      </c>
      <c r="Z130" s="23" t="s">
        <v>1210</v>
      </c>
      <c r="AB130" s="719"/>
      <c r="AC130" s="720"/>
    </row>
    <row r="131" spans="1:29" ht="13">
      <c r="A131" s="83" t="s">
        <v>226</v>
      </c>
      <c r="B131" s="22">
        <v>5856</v>
      </c>
      <c r="C131" s="22"/>
      <c r="D131" s="23" t="s">
        <v>1121</v>
      </c>
      <c r="E131" s="23" t="s">
        <v>1211</v>
      </c>
      <c r="G131" s="719"/>
      <c r="H131" s="720"/>
      <c r="I131" s="82">
        <v>45264</v>
      </c>
      <c r="K131" s="22">
        <v>155.04</v>
      </c>
      <c r="L131" s="23" t="s">
        <v>1139</v>
      </c>
      <c r="N131" s="719"/>
      <c r="O131" s="720"/>
      <c r="U131" s="719"/>
      <c r="V131" s="720"/>
      <c r="W131" s="82">
        <v>45667</v>
      </c>
      <c r="Y131" s="22">
        <v>19.190000000000001</v>
      </c>
      <c r="Z131" s="23" t="s">
        <v>1212</v>
      </c>
      <c r="AB131" s="719"/>
      <c r="AC131" s="720"/>
    </row>
    <row r="132" spans="1:29" ht="13">
      <c r="A132" s="107">
        <v>44989</v>
      </c>
      <c r="B132" s="22"/>
      <c r="C132" s="22">
        <v>4636</v>
      </c>
      <c r="D132" s="23" t="s">
        <v>1213</v>
      </c>
      <c r="G132" s="719"/>
      <c r="H132" s="720"/>
      <c r="I132" s="107" t="s">
        <v>857</v>
      </c>
      <c r="J132" s="22">
        <v>3550</v>
      </c>
      <c r="K132" s="22"/>
      <c r="L132" s="23" t="s">
        <v>1104</v>
      </c>
      <c r="M132" s="23" t="s">
        <v>1214</v>
      </c>
      <c r="N132" s="719"/>
      <c r="O132" s="720"/>
      <c r="U132" s="719"/>
      <c r="V132" s="720"/>
      <c r="W132" s="82">
        <v>45667</v>
      </c>
      <c r="Y132" s="22">
        <v>900</v>
      </c>
      <c r="Z132" s="23" t="s">
        <v>1215</v>
      </c>
      <c r="AB132" s="719"/>
      <c r="AC132" s="720"/>
    </row>
    <row r="133" spans="1:29" ht="13">
      <c r="A133" s="107">
        <v>44989</v>
      </c>
      <c r="B133" s="22"/>
      <c r="C133" s="22">
        <v>3660</v>
      </c>
      <c r="D133" s="23" t="s">
        <v>836</v>
      </c>
      <c r="G133" s="719"/>
      <c r="H133" s="720"/>
      <c r="I133" s="107" t="s">
        <v>857</v>
      </c>
      <c r="J133" s="22"/>
      <c r="K133" s="22">
        <v>32.630000000000003</v>
      </c>
      <c r="L133" s="23" t="s">
        <v>1077</v>
      </c>
      <c r="N133" s="719"/>
      <c r="O133" s="720"/>
      <c r="U133" s="719"/>
      <c r="V133" s="720"/>
      <c r="W133" s="82">
        <v>45667</v>
      </c>
      <c r="Y133" s="22">
        <v>9.09</v>
      </c>
      <c r="Z133" s="23" t="s">
        <v>1216</v>
      </c>
      <c r="AB133" s="719"/>
      <c r="AC133" s="720"/>
    </row>
    <row r="134" spans="1:29" ht="13">
      <c r="A134" s="107">
        <v>44989</v>
      </c>
      <c r="B134" s="22"/>
      <c r="C134" s="22">
        <v>1</v>
      </c>
      <c r="D134" s="23" t="s">
        <v>838</v>
      </c>
      <c r="G134" s="719"/>
      <c r="H134" s="720"/>
      <c r="I134" s="83" t="s">
        <v>1217</v>
      </c>
      <c r="J134" s="22"/>
      <c r="K134" s="22">
        <v>306</v>
      </c>
      <c r="L134" s="23" t="s">
        <v>1218</v>
      </c>
      <c r="M134" s="23" t="s">
        <v>1219</v>
      </c>
      <c r="N134" s="719"/>
      <c r="O134" s="720"/>
      <c r="U134" s="719"/>
      <c r="V134" s="720"/>
      <c r="W134" s="82">
        <v>45667</v>
      </c>
      <c r="Y134" s="22">
        <v>840</v>
      </c>
      <c r="Z134" s="23" t="s">
        <v>1220</v>
      </c>
      <c r="AB134" s="719"/>
      <c r="AC134" s="720"/>
    </row>
    <row r="135" spans="1:29" ht="13">
      <c r="A135" s="107">
        <v>44989</v>
      </c>
      <c r="B135" s="22"/>
      <c r="C135" s="22">
        <v>4636</v>
      </c>
      <c r="D135" s="23" t="s">
        <v>834</v>
      </c>
      <c r="G135" s="719"/>
      <c r="H135" s="720"/>
      <c r="I135" s="83" t="s">
        <v>1217</v>
      </c>
      <c r="J135" s="22"/>
      <c r="K135" s="22">
        <v>40</v>
      </c>
      <c r="L135" s="23" t="s">
        <v>838</v>
      </c>
      <c r="N135" s="719"/>
      <c r="O135" s="720"/>
      <c r="U135" s="719"/>
      <c r="V135" s="720"/>
      <c r="W135" s="82">
        <v>45667</v>
      </c>
      <c r="Y135" s="22">
        <v>8.48</v>
      </c>
      <c r="Z135" s="23" t="s">
        <v>1221</v>
      </c>
      <c r="AB135" s="719"/>
      <c r="AC135" s="720"/>
    </row>
    <row r="136" spans="1:29" ht="13">
      <c r="A136" s="83" t="s">
        <v>941</v>
      </c>
      <c r="B136" s="22"/>
      <c r="C136" s="22">
        <v>300</v>
      </c>
      <c r="D136" s="23" t="s">
        <v>1222</v>
      </c>
      <c r="G136" s="719"/>
      <c r="H136" s="720"/>
      <c r="I136" s="83" t="s">
        <v>861</v>
      </c>
      <c r="J136" s="22"/>
      <c r="K136" s="22">
        <v>2591</v>
      </c>
      <c r="L136" s="23" t="s">
        <v>1223</v>
      </c>
      <c r="M136" s="23" t="s">
        <v>1224</v>
      </c>
      <c r="N136" s="719"/>
      <c r="O136" s="720"/>
      <c r="U136" s="719"/>
      <c r="V136" s="720"/>
      <c r="W136" s="82">
        <v>45667</v>
      </c>
      <c r="X136" s="22">
        <v>2727.78</v>
      </c>
      <c r="Y136" s="22"/>
      <c r="Z136" s="23" t="s">
        <v>1225</v>
      </c>
      <c r="AA136" s="23" t="s">
        <v>1226</v>
      </c>
      <c r="AB136" s="719"/>
      <c r="AC136" s="720"/>
    </row>
    <row r="137" spans="1:29" ht="13">
      <c r="A137" s="83" t="s">
        <v>941</v>
      </c>
      <c r="B137" s="22"/>
      <c r="C137" s="22">
        <v>1295</v>
      </c>
      <c r="D137" s="23" t="s">
        <v>961</v>
      </c>
      <c r="G137" s="719"/>
      <c r="H137" s="720"/>
      <c r="I137" s="83" t="s">
        <v>861</v>
      </c>
      <c r="J137" s="22"/>
      <c r="K137" s="22">
        <v>40</v>
      </c>
      <c r="L137" s="23" t="s">
        <v>838</v>
      </c>
      <c r="N137" s="719"/>
      <c r="O137" s="720"/>
      <c r="U137" s="719"/>
      <c r="V137" s="720"/>
      <c r="W137" s="82">
        <v>45667</v>
      </c>
      <c r="X137" s="22"/>
      <c r="Y137" s="22">
        <v>27.28</v>
      </c>
      <c r="Z137" s="23" t="s">
        <v>1227</v>
      </c>
      <c r="AB137" s="719"/>
      <c r="AC137" s="720"/>
    </row>
    <row r="138" spans="1:29" ht="13">
      <c r="A138" s="83" t="s">
        <v>941</v>
      </c>
      <c r="B138" s="22"/>
      <c r="C138" s="22">
        <v>1.9</v>
      </c>
      <c r="D138" s="23" t="s">
        <v>838</v>
      </c>
      <c r="G138" s="719"/>
      <c r="H138" s="720"/>
      <c r="I138" s="107">
        <v>44962</v>
      </c>
      <c r="J138" s="22"/>
      <c r="K138" s="22">
        <v>800</v>
      </c>
      <c r="L138" s="23" t="s">
        <v>1137</v>
      </c>
      <c r="N138" s="719"/>
      <c r="O138" s="720"/>
      <c r="U138" s="719"/>
      <c r="V138" s="720"/>
      <c r="W138" s="82">
        <v>45667</v>
      </c>
      <c r="X138" s="22"/>
      <c r="Y138" s="22">
        <v>764</v>
      </c>
      <c r="Z138" s="23" t="s">
        <v>1079</v>
      </c>
      <c r="AB138" s="719"/>
      <c r="AC138" s="720"/>
    </row>
    <row r="139" spans="1:29" ht="13">
      <c r="A139" s="83" t="s">
        <v>941</v>
      </c>
      <c r="B139" s="22"/>
      <c r="C139" s="22">
        <v>300</v>
      </c>
      <c r="D139" s="23" t="s">
        <v>1228</v>
      </c>
      <c r="G139" s="719"/>
      <c r="H139" s="720"/>
      <c r="I139" s="107">
        <v>44962</v>
      </c>
      <c r="J139" s="22"/>
      <c r="K139" s="22">
        <v>40</v>
      </c>
      <c r="L139" s="23" t="s">
        <v>838</v>
      </c>
      <c r="N139" s="719"/>
      <c r="O139" s="720"/>
      <c r="U139" s="719"/>
      <c r="V139" s="720"/>
      <c r="W139" s="82">
        <v>45667</v>
      </c>
      <c r="X139" s="22"/>
      <c r="Y139" s="22">
        <v>7.72</v>
      </c>
      <c r="Z139" s="23" t="s">
        <v>1173</v>
      </c>
      <c r="AB139" s="719"/>
      <c r="AC139" s="720"/>
    </row>
    <row r="140" spans="1:29" ht="13">
      <c r="A140" s="83" t="s">
        <v>941</v>
      </c>
      <c r="B140" s="22"/>
      <c r="C140" s="22">
        <v>1.9</v>
      </c>
      <c r="D140" s="23" t="s">
        <v>838</v>
      </c>
      <c r="G140" s="719"/>
      <c r="H140" s="720"/>
      <c r="I140" s="107">
        <v>44962</v>
      </c>
      <c r="J140" s="22"/>
      <c r="K140" s="22">
        <v>703</v>
      </c>
      <c r="L140" s="23" t="s">
        <v>1087</v>
      </c>
      <c r="N140" s="719"/>
      <c r="O140" s="720"/>
      <c r="U140" s="719"/>
      <c r="V140" s="720"/>
      <c r="W140" s="83" t="s">
        <v>929</v>
      </c>
      <c r="X140" s="22">
        <v>176.1</v>
      </c>
      <c r="Y140" s="22"/>
      <c r="Z140" s="23" t="s">
        <v>1225</v>
      </c>
      <c r="AA140" s="23" t="s">
        <v>1229</v>
      </c>
      <c r="AB140" s="719"/>
      <c r="AC140" s="720"/>
    </row>
    <row r="141" spans="1:29" ht="13">
      <c r="A141" s="83" t="s">
        <v>941</v>
      </c>
      <c r="B141" s="22">
        <v>5856</v>
      </c>
      <c r="C141" s="22"/>
      <c r="D141" s="23" t="s">
        <v>1121</v>
      </c>
      <c r="E141" s="23" t="s">
        <v>1230</v>
      </c>
      <c r="G141" s="719"/>
      <c r="H141" s="720"/>
      <c r="I141" s="107">
        <v>44962</v>
      </c>
      <c r="J141" s="22"/>
      <c r="K141" s="22">
        <v>40</v>
      </c>
      <c r="L141" s="23" t="s">
        <v>838</v>
      </c>
      <c r="N141" s="719"/>
      <c r="O141" s="720"/>
      <c r="U141" s="719"/>
      <c r="V141" s="720"/>
      <c r="W141" s="83" t="s">
        <v>929</v>
      </c>
      <c r="X141" s="22"/>
      <c r="Y141" s="22">
        <v>1.76</v>
      </c>
      <c r="Z141" s="23" t="s">
        <v>1167</v>
      </c>
      <c r="AB141" s="719"/>
      <c r="AC141" s="720"/>
    </row>
    <row r="142" spans="1:29" ht="13">
      <c r="A142" s="107">
        <v>45143</v>
      </c>
      <c r="B142" s="22"/>
      <c r="C142" s="22">
        <v>2195</v>
      </c>
      <c r="D142" s="23" t="s">
        <v>1231</v>
      </c>
      <c r="G142" s="719"/>
      <c r="H142" s="720"/>
      <c r="I142" s="107">
        <v>44962</v>
      </c>
      <c r="J142" s="22"/>
      <c r="K142" s="22">
        <v>723</v>
      </c>
      <c r="L142" s="23" t="s">
        <v>1119</v>
      </c>
      <c r="N142" s="719"/>
      <c r="O142" s="720"/>
      <c r="U142" s="719"/>
      <c r="V142" s="720"/>
      <c r="W142" s="83" t="s">
        <v>1232</v>
      </c>
      <c r="Y142" s="22">
        <v>2700</v>
      </c>
      <c r="Z142" s="23" t="s">
        <v>1233</v>
      </c>
      <c r="AA142" s="23" t="s">
        <v>1234</v>
      </c>
      <c r="AB142" s="719"/>
      <c r="AC142" s="720"/>
    </row>
    <row r="143" spans="1:29" ht="13">
      <c r="A143" s="107">
        <v>45143</v>
      </c>
      <c r="B143" s="22"/>
      <c r="C143" s="22">
        <v>1.9</v>
      </c>
      <c r="D143" s="23" t="s">
        <v>838</v>
      </c>
      <c r="G143" s="719"/>
      <c r="H143" s="720"/>
      <c r="I143" s="107">
        <v>44962</v>
      </c>
      <c r="J143" s="22"/>
      <c r="K143" s="22">
        <v>40</v>
      </c>
      <c r="L143" s="23" t="s">
        <v>838</v>
      </c>
      <c r="N143" s="719"/>
      <c r="O143" s="720"/>
      <c r="U143" s="719"/>
      <c r="V143" s="720"/>
      <c r="W143" s="83"/>
      <c r="X143" s="22"/>
      <c r="Y143" s="22"/>
      <c r="AB143" s="719"/>
      <c r="AC143" s="720"/>
    </row>
    <row r="144" spans="1:29" ht="13">
      <c r="A144" s="107">
        <v>45266</v>
      </c>
      <c r="B144" s="22">
        <v>3750</v>
      </c>
      <c r="C144" s="22"/>
      <c r="D144" s="23" t="s">
        <v>1080</v>
      </c>
      <c r="E144" s="23" t="s">
        <v>1235</v>
      </c>
      <c r="G144" s="719"/>
      <c r="H144" s="720"/>
      <c r="I144" s="107">
        <v>44962</v>
      </c>
      <c r="J144" s="22"/>
      <c r="K144" s="22">
        <v>497</v>
      </c>
      <c r="L144" s="23" t="s">
        <v>1184</v>
      </c>
      <c r="N144" s="719"/>
      <c r="O144" s="720"/>
      <c r="U144" s="719"/>
      <c r="V144" s="720"/>
      <c r="W144" s="83"/>
      <c r="X144" s="22"/>
      <c r="Y144" s="22"/>
      <c r="AB144" s="719"/>
      <c r="AC144" s="720"/>
    </row>
    <row r="145" spans="1:29" ht="13">
      <c r="A145" s="83" t="s">
        <v>947</v>
      </c>
      <c r="B145" s="22">
        <v>17019</v>
      </c>
      <c r="C145" s="22"/>
      <c r="D145" s="23" t="s">
        <v>1121</v>
      </c>
      <c r="E145" s="23" t="s">
        <v>1236</v>
      </c>
      <c r="G145" s="719"/>
      <c r="H145" s="720"/>
      <c r="I145" s="107">
        <v>44962</v>
      </c>
      <c r="J145" s="22"/>
      <c r="K145" s="22">
        <v>40</v>
      </c>
      <c r="L145" s="23" t="s">
        <v>838</v>
      </c>
      <c r="N145" s="719"/>
      <c r="O145" s="720"/>
      <c r="U145" s="719"/>
      <c r="V145" s="720"/>
      <c r="W145" s="83"/>
      <c r="X145" s="22"/>
      <c r="Y145" s="22"/>
      <c r="AB145" s="719"/>
      <c r="AC145" s="720"/>
    </row>
    <row r="146" spans="1:29" ht="13">
      <c r="A146" s="107">
        <v>44992</v>
      </c>
      <c r="B146" s="22"/>
      <c r="C146" s="22">
        <v>923</v>
      </c>
      <c r="D146" s="23" t="s">
        <v>961</v>
      </c>
      <c r="G146" s="719"/>
      <c r="H146" s="720"/>
      <c r="I146" s="107">
        <v>44962</v>
      </c>
      <c r="J146" s="22"/>
      <c r="K146" s="22">
        <v>947</v>
      </c>
      <c r="L146" s="23" t="s">
        <v>1206</v>
      </c>
      <c r="N146" s="719"/>
      <c r="O146" s="720"/>
      <c r="U146" s="719"/>
      <c r="V146" s="720"/>
      <c r="W146" s="83"/>
      <c r="X146" s="22"/>
      <c r="Y146" s="22"/>
      <c r="AB146" s="719"/>
      <c r="AC146" s="720"/>
    </row>
    <row r="147" spans="1:29" ht="13">
      <c r="A147" s="107">
        <v>44992</v>
      </c>
      <c r="B147" s="22"/>
      <c r="C147" s="22">
        <v>1.9</v>
      </c>
      <c r="D147" s="23" t="s">
        <v>838</v>
      </c>
      <c r="G147" s="719"/>
      <c r="H147" s="720"/>
      <c r="I147" s="107">
        <v>44962</v>
      </c>
      <c r="J147" s="22"/>
      <c r="K147" s="22">
        <v>40</v>
      </c>
      <c r="L147" s="23" t="s">
        <v>838</v>
      </c>
      <c r="N147" s="719"/>
      <c r="O147" s="720"/>
      <c r="U147" s="719"/>
      <c r="V147" s="720"/>
      <c r="W147" s="83"/>
      <c r="X147" s="22"/>
      <c r="Y147" s="22"/>
      <c r="AB147" s="719"/>
      <c r="AC147" s="720"/>
    </row>
    <row r="148" spans="1:29" ht="13">
      <c r="A148" s="107">
        <v>44992</v>
      </c>
      <c r="B148" s="22"/>
      <c r="C148" s="22">
        <v>4855.6000000000004</v>
      </c>
      <c r="D148" s="23" t="s">
        <v>1213</v>
      </c>
      <c r="G148" s="719"/>
      <c r="H148" s="720"/>
      <c r="I148" s="107">
        <v>44962</v>
      </c>
      <c r="J148" s="22"/>
      <c r="K148" s="22">
        <v>513</v>
      </c>
      <c r="L148" s="23" t="s">
        <v>1237</v>
      </c>
      <c r="M148" s="23" t="s">
        <v>1238</v>
      </c>
      <c r="N148" s="719"/>
      <c r="O148" s="720"/>
      <c r="U148" s="719"/>
      <c r="V148" s="720"/>
      <c r="W148" s="83"/>
      <c r="X148" s="22"/>
      <c r="Y148" s="22"/>
      <c r="AB148" s="719"/>
      <c r="AC148" s="720"/>
    </row>
    <row r="149" spans="1:29" ht="13">
      <c r="A149" s="107">
        <v>44992</v>
      </c>
      <c r="B149" s="22"/>
      <c r="C149" s="22">
        <v>4636</v>
      </c>
      <c r="D149" s="23" t="s">
        <v>834</v>
      </c>
      <c r="G149" s="719"/>
      <c r="H149" s="720"/>
      <c r="I149" s="107">
        <v>44962</v>
      </c>
      <c r="J149" s="22"/>
      <c r="K149" s="22">
        <v>143.66999999999999</v>
      </c>
      <c r="L149" s="23" t="s">
        <v>1239</v>
      </c>
      <c r="M149" s="23" t="s">
        <v>1240</v>
      </c>
      <c r="N149" s="719"/>
      <c r="O149" s="720"/>
      <c r="U149" s="719"/>
      <c r="V149" s="720"/>
      <c r="W149" s="83"/>
      <c r="X149" s="22"/>
      <c r="Y149" s="22"/>
      <c r="AB149" s="719"/>
      <c r="AC149" s="720"/>
    </row>
    <row r="150" spans="1:29" ht="13">
      <c r="A150" s="107">
        <v>44992</v>
      </c>
      <c r="B150" s="22"/>
      <c r="C150" s="22">
        <v>3660</v>
      </c>
      <c r="D150" s="23" t="s">
        <v>836</v>
      </c>
      <c r="G150" s="719"/>
      <c r="H150" s="720"/>
      <c r="I150" s="107">
        <v>44962</v>
      </c>
      <c r="J150" s="22"/>
      <c r="K150" s="22">
        <v>3</v>
      </c>
      <c r="L150" s="23" t="s">
        <v>1241</v>
      </c>
      <c r="M150" s="23" t="s">
        <v>1240</v>
      </c>
      <c r="N150" s="719"/>
      <c r="O150" s="720"/>
      <c r="U150" s="719"/>
      <c r="V150" s="720"/>
      <c r="W150" s="83"/>
      <c r="X150" s="22"/>
      <c r="Y150" s="22"/>
      <c r="AB150" s="719"/>
      <c r="AC150" s="720"/>
    </row>
    <row r="151" spans="1:29" ht="13">
      <c r="A151" s="107">
        <v>44992</v>
      </c>
      <c r="B151" s="22"/>
      <c r="C151" s="22">
        <v>1.03</v>
      </c>
      <c r="D151" s="23" t="s">
        <v>838</v>
      </c>
      <c r="G151" s="719"/>
      <c r="H151" s="720"/>
      <c r="I151" s="107">
        <v>45051</v>
      </c>
      <c r="K151" s="22">
        <v>944</v>
      </c>
      <c r="L151" s="23" t="s">
        <v>1242</v>
      </c>
      <c r="N151" s="719"/>
      <c r="O151" s="720"/>
      <c r="U151" s="719"/>
      <c r="V151" s="720"/>
      <c r="W151" s="83"/>
      <c r="X151" s="22"/>
      <c r="Y151" s="22"/>
      <c r="AB151" s="719"/>
      <c r="AC151" s="720"/>
    </row>
    <row r="152" spans="1:29" ht="13">
      <c r="A152" s="83" t="s">
        <v>1243</v>
      </c>
      <c r="B152" s="22">
        <v>4150</v>
      </c>
      <c r="C152" s="22"/>
      <c r="D152" s="23" t="s">
        <v>1080</v>
      </c>
      <c r="E152" s="23" t="s">
        <v>1244</v>
      </c>
      <c r="G152" s="719"/>
      <c r="H152" s="720"/>
      <c r="I152" s="107">
        <v>45051</v>
      </c>
      <c r="K152" s="22">
        <v>40</v>
      </c>
      <c r="L152" s="23" t="s">
        <v>838</v>
      </c>
      <c r="M152" s="23" t="s">
        <v>599</v>
      </c>
      <c r="N152" s="719"/>
      <c r="O152" s="720"/>
      <c r="U152" s="719"/>
      <c r="V152" s="720"/>
      <c r="X152" s="22"/>
      <c r="Y152" s="22"/>
      <c r="AB152" s="719"/>
      <c r="AC152" s="720"/>
    </row>
    <row r="153" spans="1:29" ht="13">
      <c r="A153" s="83" t="s">
        <v>240</v>
      </c>
      <c r="B153" s="22"/>
      <c r="C153" s="22">
        <v>3611</v>
      </c>
      <c r="D153" s="23" t="s">
        <v>961</v>
      </c>
      <c r="G153" s="719"/>
      <c r="H153" s="720"/>
      <c r="I153" s="107">
        <v>45051</v>
      </c>
      <c r="K153" s="22">
        <v>141.01</v>
      </c>
      <c r="L153" s="23" t="s">
        <v>1239</v>
      </c>
      <c r="M153" s="23" t="s">
        <v>1245</v>
      </c>
      <c r="N153" s="719"/>
      <c r="O153" s="720"/>
      <c r="U153" s="719"/>
      <c r="V153" s="720"/>
      <c r="X153" s="22"/>
      <c r="Y153" s="22"/>
      <c r="AB153" s="719"/>
      <c r="AC153" s="720"/>
    </row>
    <row r="154" spans="1:29" ht="13">
      <c r="A154" s="83" t="s">
        <v>240</v>
      </c>
      <c r="B154" s="22"/>
      <c r="C154" s="22">
        <v>1.9</v>
      </c>
      <c r="D154" s="23" t="s">
        <v>838</v>
      </c>
      <c r="G154" s="719"/>
      <c r="H154" s="720"/>
      <c r="I154" s="107">
        <v>45051</v>
      </c>
      <c r="K154" s="22">
        <v>50.17</v>
      </c>
      <c r="L154" s="23" t="s">
        <v>1239</v>
      </c>
      <c r="M154" s="23" t="s">
        <v>1245</v>
      </c>
      <c r="N154" s="719"/>
      <c r="O154" s="720"/>
      <c r="U154" s="719"/>
      <c r="V154" s="720"/>
      <c r="X154" s="22"/>
      <c r="Y154" s="22"/>
      <c r="AB154" s="719"/>
      <c r="AC154" s="720"/>
    </row>
    <row r="155" spans="1:29" ht="13">
      <c r="A155" s="394">
        <v>44934</v>
      </c>
      <c r="B155" s="22"/>
      <c r="C155" s="22">
        <v>4636</v>
      </c>
      <c r="D155" s="23" t="s">
        <v>834</v>
      </c>
      <c r="G155" s="719"/>
      <c r="H155" s="720"/>
      <c r="I155" s="107">
        <v>45051</v>
      </c>
      <c r="K155" s="22">
        <v>3</v>
      </c>
      <c r="L155" s="23" t="s">
        <v>1239</v>
      </c>
      <c r="M155" s="23" t="s">
        <v>1245</v>
      </c>
      <c r="N155" s="719"/>
      <c r="O155" s="720"/>
      <c r="U155" s="719"/>
      <c r="V155" s="720"/>
      <c r="X155" s="22"/>
      <c r="Y155" s="22"/>
      <c r="AB155" s="719"/>
      <c r="AC155" s="720"/>
    </row>
    <row r="156" spans="1:29" ht="13">
      <c r="A156" s="83" t="s">
        <v>1246</v>
      </c>
      <c r="B156" s="22"/>
      <c r="C156" s="22">
        <v>4273</v>
      </c>
      <c r="D156" s="23" t="s">
        <v>1247</v>
      </c>
      <c r="E156" s="23" t="s">
        <v>1248</v>
      </c>
      <c r="G156" s="719"/>
      <c r="H156" s="720"/>
      <c r="I156" s="107">
        <v>45051</v>
      </c>
      <c r="K156" s="22">
        <v>3</v>
      </c>
      <c r="L156" s="23" t="s">
        <v>1239</v>
      </c>
      <c r="M156" s="23" t="s">
        <v>1245</v>
      </c>
      <c r="N156" s="719"/>
      <c r="O156" s="720"/>
      <c r="U156" s="719"/>
      <c r="V156" s="720"/>
      <c r="X156" s="22"/>
      <c r="Y156" s="22"/>
      <c r="AB156" s="719"/>
      <c r="AC156" s="720"/>
    </row>
    <row r="157" spans="1:29" ht="13">
      <c r="A157" s="83" t="s">
        <v>1246</v>
      </c>
      <c r="B157" s="22"/>
      <c r="C157" s="22">
        <v>1.9</v>
      </c>
      <c r="D157" s="23" t="s">
        <v>838</v>
      </c>
      <c r="G157" s="719"/>
      <c r="H157" s="720"/>
      <c r="I157" s="82">
        <v>45143</v>
      </c>
      <c r="J157" s="22">
        <v>2195</v>
      </c>
      <c r="K157" s="22"/>
      <c r="L157" s="23" t="s">
        <v>1249</v>
      </c>
      <c r="N157" s="719"/>
      <c r="O157" s="720"/>
      <c r="U157" s="719"/>
      <c r="V157" s="720"/>
      <c r="X157" s="22"/>
      <c r="Y157" s="22"/>
      <c r="AB157" s="719"/>
      <c r="AC157" s="720"/>
    </row>
    <row r="158" spans="1:29" ht="13">
      <c r="A158" s="83" t="s">
        <v>952</v>
      </c>
      <c r="B158" s="22"/>
      <c r="C158" s="22">
        <v>1385.49</v>
      </c>
      <c r="D158" s="23" t="s">
        <v>1250</v>
      </c>
      <c r="E158" s="23" t="s">
        <v>1251</v>
      </c>
      <c r="G158" s="719"/>
      <c r="H158" s="720"/>
      <c r="I158" s="82">
        <v>45143</v>
      </c>
      <c r="J158" s="22"/>
      <c r="K158" s="22">
        <v>3329.45</v>
      </c>
      <c r="L158" s="23" t="s">
        <v>1252</v>
      </c>
      <c r="N158" s="719"/>
      <c r="O158" s="720"/>
      <c r="U158" s="719"/>
      <c r="V158" s="720"/>
      <c r="X158" s="22"/>
      <c r="Y158" s="22"/>
      <c r="AB158" s="719"/>
      <c r="AC158" s="720"/>
    </row>
    <row r="159" spans="1:29" ht="13">
      <c r="A159" s="83" t="s">
        <v>952</v>
      </c>
      <c r="B159" s="22"/>
      <c r="C159" s="22">
        <v>1.9</v>
      </c>
      <c r="D159" s="23" t="s">
        <v>838</v>
      </c>
      <c r="G159" s="719"/>
      <c r="H159" s="720"/>
      <c r="I159" s="82">
        <v>45143</v>
      </c>
      <c r="J159" s="22">
        <v>3575</v>
      </c>
      <c r="K159" s="22"/>
      <c r="L159" s="23" t="s">
        <v>1104</v>
      </c>
      <c r="M159" s="23" t="s">
        <v>1253</v>
      </c>
      <c r="N159" s="719"/>
      <c r="O159" s="720"/>
      <c r="U159" s="719"/>
      <c r="V159" s="720"/>
      <c r="X159" s="22"/>
      <c r="Y159" s="22"/>
      <c r="AB159" s="719"/>
      <c r="AC159" s="720"/>
    </row>
    <row r="160" spans="1:29" ht="13">
      <c r="A160" s="83" t="s">
        <v>243</v>
      </c>
      <c r="B160" s="22">
        <v>30198</v>
      </c>
      <c r="C160" s="22"/>
      <c r="D160" s="23" t="s">
        <v>1254</v>
      </c>
      <c r="G160" s="719"/>
      <c r="H160" s="720"/>
      <c r="I160" s="82">
        <v>45265</v>
      </c>
      <c r="J160" s="22"/>
      <c r="K160" s="22">
        <v>25</v>
      </c>
      <c r="L160" s="23" t="s">
        <v>1129</v>
      </c>
      <c r="N160" s="719"/>
      <c r="O160" s="720"/>
      <c r="U160" s="719"/>
      <c r="V160" s="720"/>
      <c r="X160" s="22"/>
      <c r="Y160" s="22"/>
      <c r="AB160" s="719"/>
      <c r="AC160" s="720"/>
    </row>
    <row r="161" spans="1:29" ht="13">
      <c r="A161" s="83" t="s">
        <v>243</v>
      </c>
      <c r="B161" s="22"/>
      <c r="C161" s="22">
        <v>2793</v>
      </c>
      <c r="D161" s="23" t="s">
        <v>961</v>
      </c>
      <c r="G161" s="719"/>
      <c r="H161" s="720"/>
      <c r="I161" s="82">
        <v>45265</v>
      </c>
      <c r="J161" s="22">
        <v>7457.5</v>
      </c>
      <c r="K161" s="22"/>
      <c r="L161" s="23" t="s">
        <v>1131</v>
      </c>
      <c r="M161" s="23" t="s">
        <v>1255</v>
      </c>
      <c r="N161" s="719"/>
      <c r="O161" s="720"/>
      <c r="U161" s="719"/>
      <c r="V161" s="720"/>
      <c r="X161" s="22"/>
      <c r="Y161" s="22"/>
      <c r="AB161" s="719"/>
      <c r="AC161" s="720"/>
    </row>
    <row r="162" spans="1:29" ht="13">
      <c r="A162" s="83" t="s">
        <v>243</v>
      </c>
      <c r="B162" s="22"/>
      <c r="C162" s="22">
        <v>1.9</v>
      </c>
      <c r="D162" s="23" t="s">
        <v>838</v>
      </c>
      <c r="G162" s="719"/>
      <c r="H162" s="720"/>
      <c r="I162" s="107" t="s">
        <v>943</v>
      </c>
      <c r="J162" s="22"/>
      <c r="K162" s="22">
        <v>27.24</v>
      </c>
      <c r="L162" s="23" t="s">
        <v>1077</v>
      </c>
      <c r="N162" s="719"/>
      <c r="O162" s="720"/>
      <c r="U162" s="719"/>
      <c r="V162" s="720"/>
      <c r="AB162" s="719"/>
      <c r="AC162" s="720"/>
    </row>
    <row r="163" spans="1:29" ht="13">
      <c r="A163" s="107">
        <v>44935</v>
      </c>
      <c r="B163" s="22"/>
      <c r="C163" s="22">
        <v>4636</v>
      </c>
      <c r="D163" s="23" t="s">
        <v>834</v>
      </c>
      <c r="G163" s="719"/>
      <c r="H163" s="720"/>
      <c r="I163" s="83" t="s">
        <v>1256</v>
      </c>
      <c r="J163" s="22"/>
      <c r="K163" s="22">
        <v>25</v>
      </c>
      <c r="L163" s="23" t="s">
        <v>1129</v>
      </c>
      <c r="N163" s="719"/>
      <c r="O163" s="720"/>
      <c r="U163" s="719"/>
      <c r="V163" s="720"/>
      <c r="AB163" s="719"/>
      <c r="AC163" s="720"/>
    </row>
    <row r="164" spans="1:29" ht="13">
      <c r="A164" s="107">
        <v>44935</v>
      </c>
      <c r="B164" s="22"/>
      <c r="C164" s="22">
        <v>3660</v>
      </c>
      <c r="D164" s="23" t="s">
        <v>836</v>
      </c>
      <c r="G164" s="719"/>
      <c r="H164" s="720"/>
      <c r="I164" s="83" t="s">
        <v>1256</v>
      </c>
      <c r="J164" s="22">
        <v>7457.5</v>
      </c>
      <c r="K164" s="22"/>
      <c r="L164" s="23" t="s">
        <v>1131</v>
      </c>
      <c r="M164" s="23" t="s">
        <v>1257</v>
      </c>
      <c r="N164" s="719"/>
      <c r="O164" s="720"/>
      <c r="U164" s="719"/>
      <c r="V164" s="720"/>
      <c r="AB164" s="719"/>
      <c r="AC164" s="720"/>
    </row>
    <row r="165" spans="1:29" ht="13">
      <c r="A165" s="107">
        <v>44935</v>
      </c>
      <c r="B165" s="22"/>
      <c r="C165" s="22">
        <v>1.03</v>
      </c>
      <c r="D165" s="23" t="s">
        <v>838</v>
      </c>
      <c r="G165" s="719"/>
      <c r="H165" s="720"/>
      <c r="I165" s="83" t="s">
        <v>235</v>
      </c>
      <c r="J165" s="22"/>
      <c r="K165" s="22">
        <v>230</v>
      </c>
      <c r="L165" s="23" t="s">
        <v>1258</v>
      </c>
      <c r="N165" s="719"/>
      <c r="O165" s="720"/>
      <c r="U165" s="719"/>
      <c r="V165" s="720"/>
      <c r="AB165" s="719"/>
      <c r="AC165" s="720"/>
    </row>
    <row r="166" spans="1:29" ht="13">
      <c r="A166" s="107">
        <v>44935</v>
      </c>
      <c r="B166" s="22"/>
      <c r="C166" s="22">
        <v>6031.68</v>
      </c>
      <c r="D166" s="23" t="s">
        <v>1259</v>
      </c>
      <c r="G166" s="719"/>
      <c r="H166" s="720"/>
      <c r="I166" s="83" t="s">
        <v>235</v>
      </c>
      <c r="J166" s="22"/>
      <c r="K166" s="22">
        <v>40</v>
      </c>
      <c r="L166" s="23" t="s">
        <v>838</v>
      </c>
      <c r="N166" s="719"/>
      <c r="O166" s="720"/>
      <c r="U166" s="719"/>
      <c r="V166" s="720"/>
      <c r="AB166" s="719"/>
      <c r="AC166" s="720"/>
    </row>
    <row r="167" spans="1:29" ht="13">
      <c r="A167" s="83" t="s">
        <v>881</v>
      </c>
      <c r="B167" s="22"/>
      <c r="C167" s="22">
        <v>9000</v>
      </c>
      <c r="D167" s="23" t="s">
        <v>961</v>
      </c>
      <c r="E167" s="23" t="s">
        <v>1260</v>
      </c>
      <c r="G167" s="719"/>
      <c r="H167" s="720"/>
      <c r="I167" s="82">
        <v>44932</v>
      </c>
      <c r="J167" s="22"/>
      <c r="K167" s="22">
        <v>837</v>
      </c>
      <c r="L167" s="23" t="s">
        <v>1137</v>
      </c>
      <c r="N167" s="719"/>
      <c r="O167" s="720"/>
      <c r="U167" s="719"/>
      <c r="V167" s="720"/>
      <c r="AB167" s="719"/>
      <c r="AC167" s="720"/>
    </row>
    <row r="168" spans="1:29" ht="13">
      <c r="A168" s="83" t="s">
        <v>881</v>
      </c>
      <c r="B168" s="22"/>
      <c r="C168" s="22">
        <v>1.9</v>
      </c>
      <c r="D168" s="23" t="s">
        <v>838</v>
      </c>
      <c r="G168" s="719"/>
      <c r="H168" s="720"/>
      <c r="I168" s="82">
        <v>44932</v>
      </c>
      <c r="K168" s="22">
        <v>40</v>
      </c>
      <c r="L168" s="23" t="s">
        <v>838</v>
      </c>
      <c r="N168" s="719"/>
      <c r="O168" s="720"/>
      <c r="U168" s="719"/>
      <c r="V168" s="720"/>
      <c r="AB168" s="719"/>
      <c r="AC168" s="720"/>
    </row>
    <row r="169" spans="1:29" ht="13">
      <c r="A169" s="83" t="s">
        <v>1261</v>
      </c>
      <c r="B169" s="22"/>
      <c r="C169" s="22">
        <v>1593</v>
      </c>
      <c r="D169" s="23" t="s">
        <v>961</v>
      </c>
      <c r="G169" s="719"/>
      <c r="H169" s="720"/>
      <c r="I169" s="82">
        <v>44932</v>
      </c>
      <c r="K169" s="22">
        <v>735</v>
      </c>
      <c r="L169" s="23" t="s">
        <v>1123</v>
      </c>
      <c r="N169" s="719"/>
      <c r="O169" s="720"/>
      <c r="U169" s="719"/>
      <c r="V169" s="720"/>
      <c r="AB169" s="719"/>
      <c r="AC169" s="720"/>
    </row>
    <row r="170" spans="1:29" ht="13">
      <c r="A170" s="83" t="s">
        <v>1261</v>
      </c>
      <c r="B170" s="22"/>
      <c r="C170" s="22">
        <v>1.9</v>
      </c>
      <c r="D170" s="23" t="s">
        <v>838</v>
      </c>
      <c r="G170" s="719"/>
      <c r="H170" s="720"/>
      <c r="I170" s="82">
        <v>44932</v>
      </c>
      <c r="K170" s="22">
        <v>40</v>
      </c>
      <c r="L170" s="23" t="s">
        <v>838</v>
      </c>
      <c r="N170" s="719"/>
      <c r="O170" s="720"/>
      <c r="U170" s="719"/>
      <c r="V170" s="720"/>
      <c r="AB170" s="719"/>
      <c r="AC170" s="720"/>
    </row>
    <row r="171" spans="1:29" ht="13">
      <c r="A171" s="83" t="s">
        <v>1261</v>
      </c>
      <c r="B171" s="22"/>
      <c r="C171" s="22">
        <v>2499.7800000000002</v>
      </c>
      <c r="D171" s="23" t="s">
        <v>1262</v>
      </c>
      <c r="G171" s="719"/>
      <c r="H171" s="720"/>
      <c r="I171" s="82">
        <v>44932</v>
      </c>
      <c r="K171" s="22">
        <v>736</v>
      </c>
      <c r="L171" s="23" t="s">
        <v>1119</v>
      </c>
      <c r="N171" s="719"/>
      <c r="O171" s="720"/>
      <c r="U171" s="719"/>
      <c r="V171" s="720"/>
      <c r="AB171" s="719"/>
      <c r="AC171" s="720"/>
    </row>
    <row r="172" spans="1:29" ht="13">
      <c r="A172" s="107">
        <v>44967</v>
      </c>
      <c r="B172" s="22">
        <v>9500</v>
      </c>
      <c r="C172" s="22"/>
      <c r="D172" s="23" t="s">
        <v>1263</v>
      </c>
      <c r="G172" s="719"/>
      <c r="H172" s="729"/>
      <c r="I172" s="82">
        <v>44932</v>
      </c>
      <c r="K172" s="22">
        <v>40</v>
      </c>
      <c r="L172" s="23" t="s">
        <v>838</v>
      </c>
      <c r="N172" s="719"/>
      <c r="O172" s="729"/>
      <c r="U172" s="719"/>
      <c r="V172" s="729"/>
      <c r="AB172" s="719"/>
      <c r="AC172" s="729"/>
    </row>
    <row r="173" spans="1:29" ht="13">
      <c r="A173" s="107">
        <v>44967</v>
      </c>
      <c r="B173" s="22"/>
      <c r="C173" s="22">
        <v>5904.8</v>
      </c>
      <c r="D173" s="23" t="s">
        <v>1259</v>
      </c>
      <c r="G173" s="719"/>
      <c r="H173" s="720"/>
      <c r="I173" s="82">
        <v>44932</v>
      </c>
      <c r="K173" s="22">
        <v>528</v>
      </c>
      <c r="L173" s="23" t="s">
        <v>1166</v>
      </c>
      <c r="N173" s="719"/>
      <c r="O173" s="720"/>
      <c r="U173" s="719"/>
      <c r="V173" s="720"/>
      <c r="AB173" s="719"/>
      <c r="AC173" s="720"/>
    </row>
    <row r="174" spans="1:29" ht="13">
      <c r="A174" s="107">
        <v>44967</v>
      </c>
      <c r="B174" s="22"/>
      <c r="C174" s="22">
        <v>4636</v>
      </c>
      <c r="D174" s="23" t="s">
        <v>834</v>
      </c>
      <c r="G174" s="719"/>
      <c r="H174" s="720"/>
      <c r="I174" s="82">
        <v>44932</v>
      </c>
      <c r="K174" s="22">
        <v>40</v>
      </c>
      <c r="L174" s="23" t="s">
        <v>838</v>
      </c>
      <c r="N174" s="719"/>
      <c r="O174" s="720"/>
      <c r="U174" s="719"/>
      <c r="V174" s="720"/>
      <c r="AB174" s="719"/>
      <c r="AC174" s="720"/>
    </row>
    <row r="175" spans="1:29" ht="13">
      <c r="A175" s="107">
        <v>44937</v>
      </c>
      <c r="B175" s="22">
        <v>15000</v>
      </c>
      <c r="C175" s="22"/>
      <c r="D175" s="23" t="s">
        <v>1264</v>
      </c>
      <c r="G175" s="719"/>
      <c r="H175" s="720"/>
      <c r="I175" s="82">
        <v>44932</v>
      </c>
      <c r="K175" s="22">
        <v>830</v>
      </c>
      <c r="L175" s="23" t="s">
        <v>1206</v>
      </c>
      <c r="N175" s="719"/>
      <c r="O175" s="720"/>
      <c r="U175" s="719"/>
      <c r="V175" s="720"/>
      <c r="AB175" s="719"/>
      <c r="AC175" s="720"/>
    </row>
    <row r="176" spans="1:29" ht="13">
      <c r="A176" s="107">
        <v>44937</v>
      </c>
      <c r="B176" s="22"/>
      <c r="C176" s="22">
        <v>4405</v>
      </c>
      <c r="D176" s="23" t="s">
        <v>961</v>
      </c>
      <c r="G176" s="719"/>
      <c r="H176" s="720"/>
      <c r="I176" s="82">
        <v>44932</v>
      </c>
      <c r="K176" s="22">
        <v>40</v>
      </c>
      <c r="L176" s="23" t="s">
        <v>838</v>
      </c>
      <c r="N176" s="719"/>
      <c r="O176" s="720"/>
      <c r="U176" s="719"/>
      <c r="V176" s="720"/>
      <c r="AB176" s="719"/>
      <c r="AC176" s="720"/>
    </row>
    <row r="177" spans="1:29" ht="13">
      <c r="A177" s="107">
        <v>44937</v>
      </c>
      <c r="B177" s="22"/>
      <c r="C177" s="22">
        <v>1.9</v>
      </c>
      <c r="D177" s="23" t="s">
        <v>838</v>
      </c>
      <c r="G177" s="719"/>
      <c r="H177" s="720"/>
      <c r="I177" s="82">
        <v>45083</v>
      </c>
      <c r="K177" s="22">
        <v>6.32</v>
      </c>
      <c r="L177" s="23" t="s">
        <v>1252</v>
      </c>
      <c r="N177" s="719"/>
      <c r="O177" s="720"/>
      <c r="U177" s="719"/>
      <c r="V177" s="720"/>
      <c r="AB177" s="719"/>
      <c r="AC177" s="720"/>
    </row>
    <row r="178" spans="1:29" ht="13">
      <c r="A178" s="107">
        <v>44937</v>
      </c>
      <c r="B178" s="22"/>
      <c r="C178" s="22">
        <v>4636</v>
      </c>
      <c r="D178" s="23" t="s">
        <v>834</v>
      </c>
      <c r="G178" s="719"/>
      <c r="H178" s="720"/>
      <c r="I178" s="82">
        <v>45083</v>
      </c>
      <c r="K178" s="22">
        <v>1583.12</v>
      </c>
      <c r="L178" s="23" t="s">
        <v>1252</v>
      </c>
      <c r="N178" s="719"/>
      <c r="O178" s="720"/>
      <c r="U178" s="719"/>
      <c r="V178" s="720"/>
      <c r="AB178" s="719"/>
      <c r="AC178" s="720"/>
    </row>
    <row r="179" spans="1:29" ht="13">
      <c r="A179" s="107">
        <v>44937</v>
      </c>
      <c r="B179" s="22"/>
      <c r="C179" s="22">
        <v>5957.14</v>
      </c>
      <c r="D179" s="23" t="s">
        <v>1259</v>
      </c>
      <c r="G179" s="719"/>
      <c r="H179" s="720"/>
      <c r="I179" s="83" t="s">
        <v>868</v>
      </c>
      <c r="K179" s="23">
        <v>33.29</v>
      </c>
      <c r="L179" s="23" t="s">
        <v>1077</v>
      </c>
      <c r="N179" s="719"/>
      <c r="O179" s="720"/>
      <c r="U179" s="719"/>
      <c r="V179" s="720"/>
      <c r="AB179" s="719"/>
      <c r="AC179" s="720"/>
    </row>
    <row r="180" spans="1:29" ht="13">
      <c r="A180" s="107">
        <v>45118</v>
      </c>
      <c r="B180" s="22">
        <v>11712</v>
      </c>
      <c r="C180" s="22"/>
      <c r="D180" s="23" t="s">
        <v>1121</v>
      </c>
      <c r="E180" s="23" t="s">
        <v>1265</v>
      </c>
      <c r="G180" s="719"/>
      <c r="H180" s="720"/>
      <c r="I180" s="82">
        <v>45023</v>
      </c>
      <c r="K180" s="22">
        <v>897</v>
      </c>
      <c r="L180" s="23" t="s">
        <v>1266</v>
      </c>
      <c r="N180" s="719"/>
      <c r="O180" s="720"/>
      <c r="U180" s="719"/>
      <c r="V180" s="720"/>
      <c r="AB180" s="719"/>
      <c r="AC180" s="720"/>
    </row>
    <row r="181" spans="1:29" ht="13">
      <c r="A181" s="107">
        <v>45118</v>
      </c>
      <c r="B181" s="22"/>
      <c r="C181" s="22">
        <v>1500</v>
      </c>
      <c r="D181" s="23" t="s">
        <v>1267</v>
      </c>
      <c r="G181" s="719"/>
      <c r="H181" s="720"/>
      <c r="I181" s="82">
        <v>45023</v>
      </c>
      <c r="K181" s="22">
        <v>40</v>
      </c>
      <c r="L181" s="23" t="s">
        <v>838</v>
      </c>
      <c r="N181" s="719"/>
      <c r="O181" s="720"/>
      <c r="U181" s="719"/>
      <c r="V181" s="720"/>
      <c r="AB181" s="719"/>
      <c r="AC181" s="720"/>
    </row>
    <row r="182" spans="1:29" ht="13">
      <c r="A182" s="107">
        <v>45118</v>
      </c>
      <c r="B182" s="22"/>
      <c r="C182" s="22">
        <v>1.9</v>
      </c>
      <c r="D182" s="23" t="s">
        <v>838</v>
      </c>
      <c r="G182" s="719"/>
      <c r="H182" s="720"/>
      <c r="I182" s="82">
        <v>45023</v>
      </c>
      <c r="K182" s="22">
        <v>789</v>
      </c>
      <c r="L182" s="23" t="s">
        <v>1123</v>
      </c>
      <c r="N182" s="719"/>
      <c r="O182" s="720"/>
      <c r="U182" s="719"/>
      <c r="V182" s="720"/>
      <c r="AB182" s="719"/>
      <c r="AC182" s="720"/>
    </row>
    <row r="183" spans="1:29" ht="13">
      <c r="A183" s="83" t="s">
        <v>1268</v>
      </c>
      <c r="B183" s="22"/>
      <c r="C183" s="22">
        <v>717</v>
      </c>
      <c r="D183" s="23" t="s">
        <v>971</v>
      </c>
      <c r="E183" s="23" t="s">
        <v>1269</v>
      </c>
      <c r="G183" s="719"/>
      <c r="H183" s="720"/>
      <c r="I183" s="82">
        <v>45023</v>
      </c>
      <c r="K183" s="22">
        <v>40</v>
      </c>
      <c r="L183" s="23" t="s">
        <v>838</v>
      </c>
      <c r="N183" s="719"/>
      <c r="O183" s="720"/>
      <c r="U183" s="719"/>
      <c r="V183" s="720"/>
      <c r="AB183" s="719"/>
      <c r="AC183" s="720"/>
    </row>
    <row r="184" spans="1:29" ht="13">
      <c r="A184" s="83" t="s">
        <v>1268</v>
      </c>
      <c r="B184" s="22"/>
      <c r="C184" s="22">
        <v>1.9</v>
      </c>
      <c r="D184" s="23" t="s">
        <v>838</v>
      </c>
      <c r="G184" s="719"/>
      <c r="H184" s="720"/>
      <c r="I184" s="82">
        <v>45023</v>
      </c>
      <c r="K184" s="22">
        <v>788</v>
      </c>
      <c r="L184" s="23" t="s">
        <v>1119</v>
      </c>
      <c r="N184" s="719"/>
      <c r="O184" s="720"/>
      <c r="U184" s="719"/>
      <c r="V184" s="720"/>
      <c r="AB184" s="719"/>
      <c r="AC184" s="720"/>
    </row>
    <row r="185" spans="1:29" ht="13">
      <c r="A185" s="83" t="s">
        <v>959</v>
      </c>
      <c r="B185" s="22"/>
      <c r="C185" s="22">
        <v>4272</v>
      </c>
      <c r="D185" s="23" t="s">
        <v>961</v>
      </c>
      <c r="G185" s="719"/>
      <c r="H185" s="720"/>
      <c r="I185" s="82">
        <v>45023</v>
      </c>
      <c r="K185" s="22">
        <v>40</v>
      </c>
      <c r="L185" s="23" t="s">
        <v>838</v>
      </c>
      <c r="N185" s="719"/>
      <c r="O185" s="720"/>
      <c r="U185" s="719"/>
      <c r="V185" s="720"/>
      <c r="AB185" s="719"/>
      <c r="AC185" s="720"/>
    </row>
    <row r="186" spans="1:29" ht="13">
      <c r="A186" s="83" t="s">
        <v>959</v>
      </c>
      <c r="B186" s="22"/>
      <c r="C186" s="22">
        <v>1.9</v>
      </c>
      <c r="D186" s="23" t="s">
        <v>838</v>
      </c>
      <c r="G186" s="719"/>
      <c r="H186" s="720"/>
      <c r="I186" s="82">
        <v>45023</v>
      </c>
      <c r="K186" s="22">
        <v>575</v>
      </c>
      <c r="L186" s="23" t="s">
        <v>1270</v>
      </c>
      <c r="N186" s="719"/>
      <c r="O186" s="720"/>
      <c r="U186" s="719"/>
      <c r="V186" s="720"/>
      <c r="AB186" s="719"/>
      <c r="AC186" s="720"/>
    </row>
    <row r="187" spans="1:29" ht="13">
      <c r="A187" s="107">
        <v>45089</v>
      </c>
      <c r="B187" s="22"/>
      <c r="C187" s="22">
        <v>25.97</v>
      </c>
      <c r="D187" s="23" t="s">
        <v>961</v>
      </c>
      <c r="G187" s="719"/>
      <c r="H187" s="720"/>
      <c r="I187" s="82">
        <v>45023</v>
      </c>
      <c r="K187" s="22">
        <v>40</v>
      </c>
      <c r="L187" s="23" t="s">
        <v>838</v>
      </c>
      <c r="N187" s="719"/>
      <c r="O187" s="720"/>
      <c r="U187" s="719"/>
      <c r="V187" s="720"/>
      <c r="AB187" s="719"/>
      <c r="AC187" s="720"/>
    </row>
    <row r="188" spans="1:29" ht="13">
      <c r="A188" s="107">
        <v>45150</v>
      </c>
      <c r="B188" s="22"/>
      <c r="C188" s="22">
        <v>1000</v>
      </c>
      <c r="D188" s="23" t="s">
        <v>961</v>
      </c>
      <c r="G188" s="719"/>
      <c r="H188" s="720"/>
      <c r="I188" s="82">
        <v>45023</v>
      </c>
      <c r="K188" s="22">
        <v>863</v>
      </c>
      <c r="L188" s="23" t="s">
        <v>1206</v>
      </c>
      <c r="N188" s="719"/>
      <c r="O188" s="720"/>
      <c r="U188" s="719"/>
      <c r="V188" s="720"/>
      <c r="AB188" s="719"/>
      <c r="AC188" s="720"/>
    </row>
    <row r="189" spans="1:29" ht="13">
      <c r="A189" s="107">
        <v>45150</v>
      </c>
      <c r="B189" s="22"/>
      <c r="C189" s="22">
        <v>1.9</v>
      </c>
      <c r="D189" s="23" t="s">
        <v>838</v>
      </c>
      <c r="G189" s="719"/>
      <c r="H189" s="720"/>
      <c r="I189" s="82">
        <v>45023</v>
      </c>
      <c r="K189" s="22">
        <v>40</v>
      </c>
      <c r="L189" s="23" t="s">
        <v>838</v>
      </c>
      <c r="N189" s="719"/>
      <c r="O189" s="720"/>
      <c r="U189" s="719"/>
      <c r="V189" s="720"/>
      <c r="AB189" s="719"/>
      <c r="AC189" s="720"/>
    </row>
    <row r="190" spans="1:29" ht="13">
      <c r="A190" s="83" t="s">
        <v>888</v>
      </c>
      <c r="B190" s="22"/>
      <c r="C190" s="22">
        <v>2265</v>
      </c>
      <c r="D190" s="23" t="s">
        <v>971</v>
      </c>
      <c r="E190" s="23" t="s">
        <v>1271</v>
      </c>
      <c r="G190" s="719"/>
      <c r="H190" s="720"/>
      <c r="I190" s="82">
        <v>45053</v>
      </c>
      <c r="J190" s="22"/>
      <c r="K190" s="22">
        <v>25</v>
      </c>
      <c r="L190" s="23" t="s">
        <v>1129</v>
      </c>
      <c r="N190" s="719"/>
      <c r="O190" s="720"/>
      <c r="U190" s="719"/>
      <c r="V190" s="720"/>
      <c r="AB190" s="719"/>
      <c r="AC190" s="720"/>
    </row>
    <row r="191" spans="1:29" ht="13">
      <c r="A191" s="83" t="s">
        <v>888</v>
      </c>
      <c r="C191" s="23">
        <v>1.9</v>
      </c>
      <c r="D191" s="23" t="s">
        <v>838</v>
      </c>
      <c r="G191" s="719"/>
      <c r="H191" s="720"/>
      <c r="I191" s="82">
        <v>45053</v>
      </c>
      <c r="J191" s="22">
        <v>6044.4</v>
      </c>
      <c r="K191" s="22"/>
      <c r="L191" s="23" t="s">
        <v>1131</v>
      </c>
      <c r="M191" s="23" t="s">
        <v>1272</v>
      </c>
      <c r="N191" s="719"/>
      <c r="O191" s="720"/>
      <c r="U191" s="719"/>
      <c r="V191" s="720"/>
      <c r="AB191" s="719"/>
      <c r="AC191" s="720"/>
    </row>
    <row r="192" spans="1:29" ht="13">
      <c r="A192" s="83" t="s">
        <v>965</v>
      </c>
      <c r="B192" s="22"/>
      <c r="C192" s="22">
        <v>1810</v>
      </c>
      <c r="D192" s="23" t="s">
        <v>961</v>
      </c>
      <c r="G192" s="719"/>
      <c r="H192" s="720"/>
      <c r="I192" s="82">
        <v>45206</v>
      </c>
      <c r="J192" s="22"/>
      <c r="K192" s="22">
        <v>220.9</v>
      </c>
      <c r="L192" s="23" t="s">
        <v>1252</v>
      </c>
      <c r="N192" s="719"/>
      <c r="O192" s="720"/>
      <c r="U192" s="719"/>
      <c r="V192" s="720"/>
      <c r="AB192" s="719"/>
      <c r="AC192" s="720"/>
    </row>
    <row r="193" spans="1:29" ht="13">
      <c r="A193" s="83" t="s">
        <v>965</v>
      </c>
      <c r="B193" s="22"/>
      <c r="C193" s="22">
        <v>1.9</v>
      </c>
      <c r="D193" s="23" t="s">
        <v>838</v>
      </c>
      <c r="G193" s="719"/>
      <c r="H193" s="720"/>
      <c r="I193" s="82">
        <v>45237</v>
      </c>
      <c r="J193" s="22"/>
      <c r="K193" s="22">
        <v>316</v>
      </c>
      <c r="L193" s="23" t="s">
        <v>1198</v>
      </c>
      <c r="N193" s="719"/>
      <c r="O193" s="720"/>
      <c r="U193" s="719"/>
      <c r="V193" s="720"/>
      <c r="AB193" s="719"/>
      <c r="AC193" s="720"/>
    </row>
    <row r="194" spans="1:29" ht="13">
      <c r="A194" s="83" t="s">
        <v>1273</v>
      </c>
      <c r="B194" s="22">
        <v>11712</v>
      </c>
      <c r="C194" s="22"/>
      <c r="D194" s="23" t="s">
        <v>1121</v>
      </c>
      <c r="E194" s="23" t="s">
        <v>1274</v>
      </c>
      <c r="G194" s="719"/>
      <c r="H194" s="720"/>
      <c r="I194" s="82">
        <v>45237</v>
      </c>
      <c r="J194" s="22"/>
      <c r="K194" s="22">
        <v>40</v>
      </c>
      <c r="L194" s="23" t="s">
        <v>838</v>
      </c>
      <c r="N194" s="719"/>
      <c r="O194" s="720"/>
      <c r="U194" s="719"/>
      <c r="V194" s="720"/>
      <c r="AB194" s="719"/>
      <c r="AC194" s="720"/>
    </row>
    <row r="195" spans="1:29" ht="13">
      <c r="A195" s="83" t="s">
        <v>822</v>
      </c>
      <c r="B195" s="22"/>
      <c r="C195" s="22">
        <v>5937</v>
      </c>
      <c r="D195" s="23" t="s">
        <v>1275</v>
      </c>
      <c r="G195" s="719"/>
      <c r="H195" s="720"/>
      <c r="I195" s="83" t="s">
        <v>1276</v>
      </c>
      <c r="J195" s="22"/>
      <c r="K195" s="22">
        <v>25</v>
      </c>
      <c r="L195" s="23" t="s">
        <v>1129</v>
      </c>
      <c r="N195" s="719"/>
      <c r="O195" s="720"/>
      <c r="U195" s="719"/>
      <c r="V195" s="720"/>
      <c r="AB195" s="719"/>
      <c r="AC195" s="720"/>
    </row>
    <row r="196" spans="1:29" ht="13">
      <c r="A196" s="83" t="s">
        <v>822</v>
      </c>
      <c r="B196" s="22"/>
      <c r="C196" s="22">
        <v>5937.5</v>
      </c>
      <c r="D196" s="23" t="s">
        <v>1277</v>
      </c>
      <c r="G196" s="719"/>
      <c r="H196" s="720"/>
      <c r="I196" s="83" t="s">
        <v>1276</v>
      </c>
      <c r="J196" s="22">
        <v>6794.48</v>
      </c>
      <c r="K196" s="22"/>
      <c r="L196" s="23" t="s">
        <v>1131</v>
      </c>
      <c r="M196" s="23" t="s">
        <v>1278</v>
      </c>
      <c r="N196" s="719"/>
      <c r="O196" s="720"/>
      <c r="U196" s="719"/>
      <c r="V196" s="720"/>
      <c r="AB196" s="719"/>
      <c r="AC196" s="720"/>
    </row>
    <row r="197" spans="1:29" ht="13">
      <c r="A197" s="83" t="s">
        <v>1279</v>
      </c>
      <c r="B197" s="22">
        <v>43026</v>
      </c>
      <c r="C197" s="22"/>
      <c r="D197" s="23" t="s">
        <v>1280</v>
      </c>
      <c r="G197" s="719"/>
      <c r="H197" s="720"/>
      <c r="I197" s="82">
        <v>44934</v>
      </c>
      <c r="J197" s="22"/>
      <c r="K197" s="22">
        <v>3660</v>
      </c>
      <c r="L197" s="23" t="s">
        <v>1281</v>
      </c>
      <c r="N197" s="719"/>
      <c r="O197" s="720"/>
      <c r="U197" s="719"/>
      <c r="V197" s="720"/>
      <c r="AB197" s="719"/>
      <c r="AC197" s="720"/>
    </row>
    <row r="198" spans="1:29" ht="13">
      <c r="A198" s="83" t="s">
        <v>1279</v>
      </c>
      <c r="B198" s="22"/>
      <c r="C198" s="22">
        <v>2000</v>
      </c>
      <c r="D198" s="23" t="s">
        <v>1282</v>
      </c>
      <c r="G198" s="719"/>
      <c r="H198" s="720"/>
      <c r="I198" s="82">
        <v>44934</v>
      </c>
      <c r="J198" s="22"/>
      <c r="K198" s="22">
        <v>6761.24</v>
      </c>
      <c r="L198" s="23" t="s">
        <v>1283</v>
      </c>
      <c r="N198" s="719"/>
      <c r="O198" s="720"/>
      <c r="U198" s="719"/>
      <c r="V198" s="720"/>
      <c r="AB198" s="719"/>
      <c r="AC198" s="720"/>
    </row>
    <row r="199" spans="1:29" ht="13">
      <c r="A199" s="83" t="s">
        <v>1284</v>
      </c>
      <c r="C199" s="22">
        <v>41026</v>
      </c>
      <c r="D199" s="23" t="s">
        <v>675</v>
      </c>
      <c r="G199" s="719"/>
      <c r="H199" s="720"/>
      <c r="I199" s="82">
        <v>44934</v>
      </c>
      <c r="J199" s="22"/>
      <c r="K199" s="22">
        <v>996</v>
      </c>
      <c r="L199" s="23" t="s">
        <v>1072</v>
      </c>
      <c r="N199" s="719"/>
      <c r="O199" s="720"/>
      <c r="U199" s="719"/>
      <c r="V199" s="720"/>
      <c r="AB199" s="719"/>
      <c r="AC199" s="720"/>
    </row>
    <row r="200" spans="1:29" ht="13">
      <c r="A200" s="107">
        <v>45293</v>
      </c>
      <c r="B200" s="22">
        <v>9760</v>
      </c>
      <c r="C200" s="22"/>
      <c r="D200" s="23" t="s">
        <v>1121</v>
      </c>
      <c r="E200" s="23" t="s">
        <v>1285</v>
      </c>
      <c r="G200" s="719"/>
      <c r="H200" s="720"/>
      <c r="I200" s="82">
        <v>44934</v>
      </c>
      <c r="J200" s="22"/>
      <c r="K200" s="22">
        <v>40</v>
      </c>
      <c r="L200" s="23" t="s">
        <v>838</v>
      </c>
      <c r="N200" s="719"/>
      <c r="O200" s="720"/>
      <c r="U200" s="719"/>
      <c r="V200" s="720"/>
      <c r="AB200" s="719"/>
      <c r="AC200" s="720"/>
    </row>
    <row r="201" spans="1:29" ht="13">
      <c r="A201" s="107">
        <v>45293</v>
      </c>
      <c r="B201" s="22"/>
      <c r="C201" s="22">
        <v>1102</v>
      </c>
      <c r="D201" s="23" t="s">
        <v>1286</v>
      </c>
      <c r="E201" s="23" t="s">
        <v>438</v>
      </c>
      <c r="G201" s="719"/>
      <c r="H201" s="720"/>
      <c r="I201" s="82">
        <v>44934</v>
      </c>
      <c r="J201" s="22"/>
      <c r="K201" s="22">
        <v>874</v>
      </c>
      <c r="L201" s="23" t="s">
        <v>1123</v>
      </c>
      <c r="N201" s="719"/>
      <c r="O201" s="720"/>
      <c r="U201" s="719"/>
      <c r="V201" s="720"/>
      <c r="AB201" s="719"/>
      <c r="AC201" s="720"/>
    </row>
    <row r="202" spans="1:29" ht="13">
      <c r="A202" s="107">
        <v>45294</v>
      </c>
      <c r="B202" s="22"/>
      <c r="C202" s="22">
        <v>1102</v>
      </c>
      <c r="D202" s="23" t="s">
        <v>1286</v>
      </c>
      <c r="E202" s="23" t="s">
        <v>81</v>
      </c>
      <c r="G202" s="719"/>
      <c r="H202" s="720"/>
      <c r="I202" s="82">
        <v>44934</v>
      </c>
      <c r="J202" s="22"/>
      <c r="K202" s="22">
        <v>40</v>
      </c>
      <c r="L202" s="23" t="s">
        <v>838</v>
      </c>
      <c r="N202" s="719"/>
      <c r="O202" s="720"/>
      <c r="U202" s="719"/>
      <c r="V202" s="720"/>
      <c r="AB202" s="719"/>
      <c r="AC202" s="720"/>
    </row>
    <row r="203" spans="1:29" ht="13">
      <c r="A203" s="107">
        <v>45295</v>
      </c>
      <c r="B203" s="22"/>
      <c r="C203" s="22">
        <v>1102</v>
      </c>
      <c r="D203" s="23" t="s">
        <v>1286</v>
      </c>
      <c r="E203" s="23" t="s">
        <v>82</v>
      </c>
      <c r="G203" s="719"/>
      <c r="H203" s="720"/>
      <c r="I203" s="82">
        <v>44934</v>
      </c>
      <c r="J203" s="22"/>
      <c r="K203" s="22">
        <v>874</v>
      </c>
      <c r="L203" s="23" t="s">
        <v>1119</v>
      </c>
      <c r="N203" s="719"/>
      <c r="O203" s="720"/>
      <c r="U203" s="719"/>
      <c r="V203" s="720"/>
      <c r="AB203" s="719"/>
      <c r="AC203" s="720"/>
    </row>
    <row r="204" spans="1:29" ht="13">
      <c r="A204" s="107">
        <v>45356</v>
      </c>
      <c r="B204" s="22"/>
      <c r="C204" s="22">
        <v>1102</v>
      </c>
      <c r="D204" s="23" t="s">
        <v>1286</v>
      </c>
      <c r="E204" s="23" t="s">
        <v>84</v>
      </c>
      <c r="G204" s="719"/>
      <c r="H204" s="720"/>
      <c r="I204" s="82">
        <v>44934</v>
      </c>
      <c r="J204" s="22"/>
      <c r="K204" s="22">
        <v>40</v>
      </c>
      <c r="L204" s="23" t="s">
        <v>838</v>
      </c>
      <c r="N204" s="719"/>
      <c r="O204" s="720"/>
      <c r="U204" s="719"/>
      <c r="V204" s="720"/>
      <c r="AB204" s="719"/>
      <c r="AC204" s="720"/>
    </row>
    <row r="205" spans="1:29" ht="13">
      <c r="A205" s="83" t="s">
        <v>1287</v>
      </c>
      <c r="B205" s="22"/>
      <c r="C205" s="22">
        <v>2206</v>
      </c>
      <c r="D205" s="23" t="s">
        <v>1288</v>
      </c>
      <c r="G205" s="719"/>
      <c r="H205" s="720"/>
      <c r="I205" s="82">
        <v>44934</v>
      </c>
      <c r="J205" s="22"/>
      <c r="K205" s="22">
        <v>632</v>
      </c>
      <c r="L205" s="23" t="s">
        <v>1153</v>
      </c>
      <c r="N205" s="719"/>
      <c r="O205" s="720"/>
      <c r="U205" s="719"/>
      <c r="V205" s="720"/>
      <c r="AB205" s="719"/>
      <c r="AC205" s="720"/>
    </row>
    <row r="206" spans="1:29" ht="13">
      <c r="A206" s="83" t="s">
        <v>1287</v>
      </c>
      <c r="B206" s="22"/>
      <c r="C206" s="22">
        <v>1.9</v>
      </c>
      <c r="D206" s="23" t="s">
        <v>838</v>
      </c>
      <c r="G206" s="719"/>
      <c r="H206" s="720"/>
      <c r="I206" s="82">
        <v>44934</v>
      </c>
      <c r="J206" s="22"/>
      <c r="K206" s="22">
        <v>40</v>
      </c>
      <c r="L206" s="23" t="s">
        <v>838</v>
      </c>
      <c r="N206" s="719"/>
      <c r="O206" s="720"/>
      <c r="U206" s="719"/>
      <c r="V206" s="720"/>
      <c r="AB206" s="719"/>
      <c r="AC206" s="720"/>
    </row>
    <row r="207" spans="1:29" ht="13">
      <c r="A207" s="83" t="s">
        <v>1084</v>
      </c>
      <c r="B207" s="22">
        <v>11712</v>
      </c>
      <c r="C207" s="22"/>
      <c r="D207" s="23" t="s">
        <v>1121</v>
      </c>
      <c r="E207" s="23" t="s">
        <v>1289</v>
      </c>
      <c r="G207" s="719"/>
      <c r="H207" s="720"/>
      <c r="I207" s="82">
        <v>44934</v>
      </c>
      <c r="J207" s="22"/>
      <c r="K207" s="22">
        <v>996</v>
      </c>
      <c r="L207" s="23" t="s">
        <v>1206</v>
      </c>
      <c r="N207" s="719"/>
      <c r="O207" s="720"/>
      <c r="U207" s="719"/>
      <c r="V207" s="720"/>
      <c r="AB207" s="719"/>
      <c r="AC207" s="720"/>
    </row>
    <row r="208" spans="1:29" ht="13">
      <c r="A208" s="83" t="s">
        <v>903</v>
      </c>
      <c r="B208" s="22"/>
      <c r="C208" s="22">
        <v>2193</v>
      </c>
      <c r="D208" s="23" t="s">
        <v>502</v>
      </c>
      <c r="E208" s="23" t="s">
        <v>1290</v>
      </c>
      <c r="G208" s="719"/>
      <c r="H208" s="720"/>
      <c r="I208" s="82">
        <v>44934</v>
      </c>
      <c r="J208" s="22"/>
      <c r="K208" s="22">
        <v>40</v>
      </c>
      <c r="L208" s="23" t="s">
        <v>838</v>
      </c>
      <c r="N208" s="719"/>
      <c r="O208" s="720"/>
      <c r="U208" s="719"/>
      <c r="V208" s="720"/>
      <c r="AB208" s="719"/>
      <c r="AC208" s="720"/>
    </row>
    <row r="209" spans="1:29" ht="13">
      <c r="A209" s="739" t="s">
        <v>58</v>
      </c>
      <c r="B209" s="68"/>
      <c r="C209" s="55">
        <v>10000</v>
      </c>
      <c r="D209" s="45" t="s">
        <v>869</v>
      </c>
      <c r="G209" s="719"/>
      <c r="H209" s="720"/>
      <c r="I209" s="82">
        <v>45115</v>
      </c>
      <c r="K209" s="23">
        <v>143.66</v>
      </c>
      <c r="L209" s="23" t="s">
        <v>1252</v>
      </c>
      <c r="N209" s="719"/>
      <c r="O209" s="720"/>
      <c r="U209" s="719"/>
      <c r="V209" s="720"/>
      <c r="AB209" s="719"/>
      <c r="AC209" s="720"/>
    </row>
    <row r="210" spans="1:29" ht="13">
      <c r="A210" s="83" t="s">
        <v>1291</v>
      </c>
      <c r="B210" s="22">
        <v>1952</v>
      </c>
      <c r="C210" s="22"/>
      <c r="D210" s="23" t="s">
        <v>1121</v>
      </c>
      <c r="E210" s="23" t="s">
        <v>1292</v>
      </c>
      <c r="G210" s="719"/>
      <c r="H210" s="720"/>
      <c r="I210" s="82">
        <v>45177</v>
      </c>
      <c r="J210" s="22">
        <v>3400</v>
      </c>
      <c r="K210" s="22"/>
      <c r="L210" s="23" t="s">
        <v>1104</v>
      </c>
      <c r="M210" s="23" t="s">
        <v>1293</v>
      </c>
      <c r="N210" s="719"/>
      <c r="O210" s="720"/>
      <c r="U210" s="719"/>
      <c r="V210" s="720"/>
      <c r="AB210" s="719"/>
      <c r="AC210" s="720"/>
    </row>
    <row r="211" spans="1:29" ht="13">
      <c r="A211" s="107">
        <v>45299</v>
      </c>
      <c r="B211" s="22">
        <v>1464</v>
      </c>
      <c r="C211" s="22"/>
      <c r="D211" s="23" t="s">
        <v>1121</v>
      </c>
      <c r="E211" s="23" t="s">
        <v>1294</v>
      </c>
      <c r="G211" s="719"/>
      <c r="H211" s="720"/>
      <c r="I211" s="82">
        <v>45207</v>
      </c>
      <c r="J211" s="22">
        <v>7457.5</v>
      </c>
      <c r="K211" s="22"/>
      <c r="L211" s="23" t="s">
        <v>1131</v>
      </c>
      <c r="M211" s="23" t="s">
        <v>1295</v>
      </c>
      <c r="N211" s="719"/>
      <c r="O211" s="720"/>
      <c r="U211" s="719"/>
      <c r="V211" s="720"/>
      <c r="AB211" s="719"/>
      <c r="AC211" s="720"/>
    </row>
    <row r="212" spans="1:29" ht="13">
      <c r="A212" s="83" t="s">
        <v>1296</v>
      </c>
      <c r="B212" s="22">
        <v>3075.62</v>
      </c>
      <c r="C212" s="22"/>
      <c r="D212" s="23" t="s">
        <v>1121</v>
      </c>
      <c r="E212" s="23" t="s">
        <v>1297</v>
      </c>
      <c r="G212" s="719"/>
      <c r="H212" s="720"/>
      <c r="I212" s="82">
        <v>45207</v>
      </c>
      <c r="J212" s="22"/>
      <c r="K212" s="22">
        <v>25</v>
      </c>
      <c r="L212" s="23" t="s">
        <v>1129</v>
      </c>
      <c r="N212" s="719"/>
      <c r="O212" s="720"/>
      <c r="U212" s="719"/>
      <c r="V212" s="720"/>
      <c r="AB212" s="719"/>
      <c r="AC212" s="720"/>
    </row>
    <row r="213" spans="1:29" ht="13">
      <c r="A213" s="83" t="s">
        <v>999</v>
      </c>
      <c r="B213" s="22"/>
      <c r="C213" s="22">
        <v>1700</v>
      </c>
      <c r="D213" s="23" t="s">
        <v>961</v>
      </c>
      <c r="G213" s="719"/>
      <c r="H213" s="720"/>
      <c r="I213" s="83" t="s">
        <v>879</v>
      </c>
      <c r="J213" s="22"/>
      <c r="K213" s="22">
        <v>21.73</v>
      </c>
      <c r="L213" s="23" t="s">
        <v>1298</v>
      </c>
      <c r="N213" s="719"/>
      <c r="O213" s="720"/>
      <c r="U213" s="719"/>
      <c r="V213" s="720"/>
      <c r="AB213" s="719"/>
      <c r="AC213" s="720"/>
    </row>
    <row r="214" spans="1:29" ht="13">
      <c r="A214" s="83" t="s">
        <v>999</v>
      </c>
      <c r="B214" s="22"/>
      <c r="C214" s="22">
        <v>1.9</v>
      </c>
      <c r="D214" s="23" t="s">
        <v>838</v>
      </c>
      <c r="G214" s="719"/>
      <c r="H214" s="720"/>
      <c r="I214" s="107">
        <v>44935</v>
      </c>
      <c r="J214" s="22"/>
      <c r="K214" s="22">
        <v>1076</v>
      </c>
      <c r="L214" s="23" t="s">
        <v>1072</v>
      </c>
      <c r="N214" s="719"/>
      <c r="O214" s="720"/>
      <c r="U214" s="719"/>
      <c r="V214" s="720"/>
      <c r="AB214" s="719"/>
      <c r="AC214" s="720"/>
    </row>
    <row r="215" spans="1:29" ht="13">
      <c r="A215" s="107">
        <v>45605</v>
      </c>
      <c r="B215" s="22">
        <v>2877.24</v>
      </c>
      <c r="C215" s="22"/>
      <c r="D215" s="23" t="s">
        <v>1121</v>
      </c>
      <c r="E215" s="23" t="s">
        <v>1299</v>
      </c>
      <c r="G215" s="719"/>
      <c r="H215" s="720"/>
      <c r="I215" s="107">
        <v>44935</v>
      </c>
      <c r="J215" s="22"/>
      <c r="K215" s="22">
        <v>40</v>
      </c>
      <c r="L215" s="23" t="s">
        <v>838</v>
      </c>
      <c r="N215" s="719"/>
      <c r="O215" s="720"/>
      <c r="U215" s="719"/>
      <c r="V215" s="720"/>
      <c r="AB215" s="719"/>
      <c r="AC215" s="720"/>
    </row>
    <row r="216" spans="1:29" ht="13">
      <c r="A216" s="107">
        <v>45605</v>
      </c>
      <c r="B216" s="22"/>
      <c r="C216" s="22">
        <v>2100</v>
      </c>
      <c r="D216" s="23" t="s">
        <v>961</v>
      </c>
      <c r="G216" s="719"/>
      <c r="H216" s="720"/>
      <c r="I216" s="107">
        <v>44935</v>
      </c>
      <c r="J216" s="22"/>
      <c r="K216" s="22">
        <v>1076</v>
      </c>
      <c r="L216" s="23" t="s">
        <v>1123</v>
      </c>
      <c r="N216" s="719"/>
      <c r="O216" s="720"/>
      <c r="U216" s="719"/>
      <c r="V216" s="720"/>
      <c r="AB216" s="719"/>
      <c r="AC216" s="720"/>
    </row>
    <row r="217" spans="1:29" ht="13">
      <c r="A217" s="107">
        <v>45605</v>
      </c>
      <c r="B217" s="22"/>
      <c r="C217" s="22">
        <v>1.9</v>
      </c>
      <c r="D217" s="23" t="s">
        <v>838</v>
      </c>
      <c r="G217" s="719"/>
      <c r="H217" s="720"/>
      <c r="I217" s="107">
        <v>44935</v>
      </c>
      <c r="J217" s="22"/>
      <c r="K217" s="22">
        <v>40</v>
      </c>
      <c r="L217" s="23" t="s">
        <v>838</v>
      </c>
      <c r="N217" s="719"/>
      <c r="O217" s="720"/>
      <c r="U217" s="719"/>
      <c r="V217" s="720"/>
      <c r="AB217" s="719"/>
      <c r="AC217" s="720"/>
    </row>
    <row r="218" spans="1:29" ht="13">
      <c r="A218" s="83" t="s">
        <v>1002</v>
      </c>
      <c r="B218" s="22"/>
      <c r="C218" s="22">
        <v>1121</v>
      </c>
      <c r="D218" s="23" t="s">
        <v>961</v>
      </c>
      <c r="G218" s="719"/>
      <c r="H218" s="720"/>
      <c r="I218" s="107">
        <v>44935</v>
      </c>
      <c r="J218" s="22"/>
      <c r="K218" s="22">
        <v>1162</v>
      </c>
      <c r="L218" s="23" t="s">
        <v>1119</v>
      </c>
      <c r="N218" s="719"/>
      <c r="O218" s="720"/>
      <c r="U218" s="719"/>
      <c r="V218" s="720"/>
      <c r="AB218" s="719"/>
      <c r="AC218" s="720"/>
    </row>
    <row r="219" spans="1:29" ht="13">
      <c r="A219" s="83" t="s">
        <v>1002</v>
      </c>
      <c r="B219" s="22"/>
      <c r="C219" s="22">
        <v>1.9</v>
      </c>
      <c r="D219" s="23" t="s">
        <v>838</v>
      </c>
      <c r="G219" s="719"/>
      <c r="H219" s="720"/>
      <c r="I219" s="107">
        <v>44935</v>
      </c>
      <c r="J219" s="22"/>
      <c r="K219" s="22">
        <v>40</v>
      </c>
      <c r="L219" s="23" t="s">
        <v>838</v>
      </c>
      <c r="N219" s="719"/>
      <c r="O219" s="720"/>
      <c r="U219" s="719"/>
      <c r="V219" s="720"/>
      <c r="AB219" s="719"/>
      <c r="AC219" s="720"/>
    </row>
    <row r="220" spans="1:29" ht="13">
      <c r="A220" s="83" t="s">
        <v>1300</v>
      </c>
      <c r="B220" s="22"/>
      <c r="C220" s="22">
        <v>197.59</v>
      </c>
      <c r="D220" s="23" t="s">
        <v>1301</v>
      </c>
      <c r="G220" s="719"/>
      <c r="H220" s="720"/>
      <c r="I220" s="107">
        <v>44935</v>
      </c>
      <c r="J220" s="22"/>
      <c r="K220" s="22">
        <v>812</v>
      </c>
      <c r="L220" s="23" t="s">
        <v>1166</v>
      </c>
      <c r="N220" s="719"/>
      <c r="O220" s="720"/>
      <c r="U220" s="719"/>
      <c r="V220" s="720"/>
      <c r="AB220" s="719"/>
      <c r="AC220" s="720"/>
    </row>
    <row r="221" spans="1:29" ht="13">
      <c r="A221" s="83" t="s">
        <v>1008</v>
      </c>
      <c r="B221" s="22">
        <v>2348.5</v>
      </c>
      <c r="C221" s="22"/>
      <c r="D221" s="23" t="s">
        <v>1121</v>
      </c>
      <c r="E221" s="23" t="s">
        <v>1302</v>
      </c>
      <c r="G221" s="719"/>
      <c r="H221" s="720"/>
      <c r="I221" s="107">
        <v>44935</v>
      </c>
      <c r="J221" s="22"/>
      <c r="K221" s="22">
        <v>40</v>
      </c>
      <c r="L221" s="23" t="s">
        <v>838</v>
      </c>
      <c r="N221" s="719"/>
      <c r="O221" s="720"/>
      <c r="U221" s="719"/>
      <c r="V221" s="720"/>
      <c r="AB221" s="719"/>
      <c r="AC221" s="720"/>
    </row>
    <row r="222" spans="1:29" ht="13">
      <c r="A222" s="83" t="s">
        <v>1008</v>
      </c>
      <c r="B222" s="22"/>
      <c r="C222" s="22">
        <v>5000</v>
      </c>
      <c r="D222" s="23" t="s">
        <v>961</v>
      </c>
      <c r="E222" s="23" t="s">
        <v>1303</v>
      </c>
      <c r="G222" s="719"/>
      <c r="H222" s="720"/>
      <c r="I222" s="107">
        <v>44935</v>
      </c>
      <c r="J222" s="22"/>
      <c r="K222" s="22">
        <v>931</v>
      </c>
      <c r="L222" s="23" t="s">
        <v>1206</v>
      </c>
      <c r="N222" s="719"/>
      <c r="O222" s="720"/>
      <c r="U222" s="719"/>
      <c r="V222" s="720"/>
      <c r="AB222" s="719"/>
      <c r="AC222" s="720"/>
    </row>
    <row r="223" spans="1:29" ht="13">
      <c r="A223" s="83" t="s">
        <v>318</v>
      </c>
      <c r="B223" s="22"/>
      <c r="C223" s="22">
        <v>1857</v>
      </c>
      <c r="D223" s="23" t="s">
        <v>961</v>
      </c>
      <c r="E223" s="23" t="s">
        <v>1269</v>
      </c>
      <c r="G223" s="719"/>
      <c r="H223" s="720"/>
      <c r="I223" s="107">
        <v>44935</v>
      </c>
      <c r="J223" s="22"/>
      <c r="K223" s="22">
        <v>40</v>
      </c>
      <c r="L223" s="23" t="s">
        <v>838</v>
      </c>
      <c r="N223" s="719"/>
      <c r="O223" s="720"/>
      <c r="U223" s="719"/>
      <c r="V223" s="720"/>
      <c r="AB223" s="719"/>
      <c r="AC223" s="720"/>
    </row>
    <row r="224" spans="1:29" ht="13">
      <c r="A224" s="83" t="s">
        <v>318</v>
      </c>
      <c r="B224" s="22"/>
      <c r="C224" s="22">
        <v>1.9</v>
      </c>
      <c r="D224" s="23" t="s">
        <v>838</v>
      </c>
      <c r="G224" s="719"/>
      <c r="H224" s="720"/>
      <c r="I224" s="107">
        <v>45116</v>
      </c>
      <c r="J224" s="22">
        <v>7450</v>
      </c>
      <c r="K224" s="22"/>
      <c r="L224" s="23" t="s">
        <v>1131</v>
      </c>
      <c r="M224" s="23" t="s">
        <v>1304</v>
      </c>
      <c r="N224" s="719"/>
      <c r="O224" s="720"/>
      <c r="U224" s="719"/>
      <c r="V224" s="720"/>
      <c r="AB224" s="719"/>
      <c r="AC224" s="720"/>
    </row>
    <row r="225" spans="1:29" ht="13">
      <c r="A225" s="83" t="s">
        <v>318</v>
      </c>
      <c r="B225" s="22">
        <v>6539.2</v>
      </c>
      <c r="C225" s="22"/>
      <c r="D225" s="23" t="s">
        <v>1121</v>
      </c>
      <c r="E225" s="23" t="s">
        <v>1305</v>
      </c>
      <c r="G225" s="719"/>
      <c r="H225" s="720"/>
      <c r="I225" s="107">
        <v>45116</v>
      </c>
      <c r="J225" s="22"/>
      <c r="K225" s="22">
        <v>25</v>
      </c>
      <c r="L225" s="23" t="s">
        <v>838</v>
      </c>
      <c r="N225" s="719"/>
      <c r="O225" s="720"/>
      <c r="U225" s="719"/>
      <c r="V225" s="720"/>
      <c r="AB225" s="719"/>
      <c r="AC225" s="720"/>
    </row>
    <row r="226" spans="1:29" ht="13">
      <c r="A226" s="83" t="s">
        <v>1306</v>
      </c>
      <c r="B226" s="22"/>
      <c r="C226" s="22">
        <v>3617</v>
      </c>
      <c r="D226" s="23" t="s">
        <v>1307</v>
      </c>
      <c r="E226" s="23" t="s">
        <v>1308</v>
      </c>
      <c r="G226" s="719"/>
      <c r="H226" s="720"/>
      <c r="I226" s="107">
        <v>45239</v>
      </c>
      <c r="J226" s="22"/>
      <c r="K226" s="22">
        <v>262.42</v>
      </c>
      <c r="L226" s="23" t="s">
        <v>1252</v>
      </c>
      <c r="N226" s="719"/>
      <c r="O226" s="720"/>
      <c r="U226" s="719"/>
      <c r="V226" s="720"/>
      <c r="AB226" s="719"/>
      <c r="AC226" s="720"/>
    </row>
    <row r="227" spans="1:29" ht="13">
      <c r="A227" s="83" t="s">
        <v>1306</v>
      </c>
      <c r="B227" s="22"/>
      <c r="C227" s="22">
        <v>1.9</v>
      </c>
      <c r="D227" s="23" t="s">
        <v>838</v>
      </c>
      <c r="G227" s="719"/>
      <c r="H227" s="720"/>
      <c r="I227" s="83" t="s">
        <v>1309</v>
      </c>
      <c r="J227" s="22">
        <v>4050</v>
      </c>
      <c r="K227" s="22"/>
      <c r="L227" s="23" t="s">
        <v>1104</v>
      </c>
      <c r="N227" s="719"/>
      <c r="O227" s="720"/>
      <c r="U227" s="719"/>
      <c r="V227" s="720"/>
      <c r="AB227" s="719"/>
      <c r="AC227" s="720"/>
    </row>
    <row r="228" spans="1:29" ht="13">
      <c r="A228" s="83" t="s">
        <v>1009</v>
      </c>
      <c r="B228" s="22">
        <v>2455.25</v>
      </c>
      <c r="C228" s="22"/>
      <c r="D228" s="23" t="s">
        <v>1121</v>
      </c>
      <c r="E228" s="23" t="s">
        <v>1310</v>
      </c>
      <c r="G228" s="719"/>
      <c r="H228" s="720"/>
      <c r="I228" s="83" t="s">
        <v>881</v>
      </c>
      <c r="J228" s="22"/>
      <c r="K228" s="22">
        <v>34.340000000000003</v>
      </c>
      <c r="L228" s="23" t="s">
        <v>1298</v>
      </c>
      <c r="N228" s="719"/>
      <c r="O228" s="720"/>
      <c r="U228" s="719"/>
      <c r="V228" s="720"/>
      <c r="AB228" s="719"/>
      <c r="AC228" s="720"/>
    </row>
    <row r="229" spans="1:29" ht="13">
      <c r="A229" s="83" t="s">
        <v>1311</v>
      </c>
      <c r="B229" s="22"/>
      <c r="C229" s="22">
        <v>6910</v>
      </c>
      <c r="D229" s="23" t="s">
        <v>961</v>
      </c>
      <c r="G229" s="719"/>
      <c r="H229" s="720"/>
      <c r="I229" s="83" t="s">
        <v>1312</v>
      </c>
      <c r="J229" s="22"/>
      <c r="K229" s="22">
        <v>203.75</v>
      </c>
      <c r="L229" s="23" t="s">
        <v>1252</v>
      </c>
      <c r="M229" s="23" t="s">
        <v>1313</v>
      </c>
      <c r="N229" s="719"/>
      <c r="O229" s="720"/>
      <c r="U229" s="719"/>
      <c r="V229" s="720"/>
      <c r="AB229" s="719"/>
      <c r="AC229" s="720"/>
    </row>
    <row r="230" spans="1:29" ht="13">
      <c r="A230" s="83" t="s">
        <v>1311</v>
      </c>
      <c r="B230" s="22"/>
      <c r="C230" s="22">
        <v>1.9</v>
      </c>
      <c r="D230" s="23" t="s">
        <v>838</v>
      </c>
      <c r="G230" s="719"/>
      <c r="H230" s="720"/>
      <c r="I230" s="107">
        <v>44967</v>
      </c>
      <c r="J230" s="22"/>
      <c r="K230" s="22">
        <v>1076</v>
      </c>
      <c r="L230" s="23" t="s">
        <v>1072</v>
      </c>
      <c r="N230" s="719"/>
      <c r="O230" s="720"/>
      <c r="U230" s="719"/>
      <c r="V230" s="720"/>
      <c r="AB230" s="719"/>
      <c r="AC230" s="720"/>
    </row>
    <row r="231" spans="1:29" ht="13">
      <c r="A231" s="83" t="s">
        <v>62</v>
      </c>
      <c r="B231" s="22">
        <v>6252.5</v>
      </c>
      <c r="C231" s="22"/>
      <c r="D231" s="23" t="s">
        <v>1314</v>
      </c>
      <c r="E231" s="23" t="s">
        <v>1315</v>
      </c>
      <c r="G231" s="719"/>
      <c r="H231" s="720"/>
      <c r="I231" s="107">
        <v>44967</v>
      </c>
      <c r="J231" s="22"/>
      <c r="K231" s="22">
        <v>40</v>
      </c>
      <c r="L231" s="23" t="s">
        <v>838</v>
      </c>
      <c r="N231" s="719"/>
      <c r="O231" s="720"/>
      <c r="U231" s="719"/>
      <c r="V231" s="720"/>
      <c r="AB231" s="719"/>
      <c r="AC231" s="720"/>
    </row>
    <row r="232" spans="1:29" ht="13">
      <c r="A232" s="83" t="s">
        <v>62</v>
      </c>
      <c r="B232" s="22"/>
      <c r="C232" s="22">
        <v>400</v>
      </c>
      <c r="D232" s="23" t="s">
        <v>1316</v>
      </c>
      <c r="G232" s="719"/>
      <c r="H232" s="720"/>
      <c r="I232" s="107">
        <v>44967</v>
      </c>
      <c r="J232" s="22"/>
      <c r="K232" s="22">
        <v>1076</v>
      </c>
      <c r="L232" s="23" t="s">
        <v>1123</v>
      </c>
      <c r="N232" s="719"/>
      <c r="O232" s="720"/>
      <c r="U232" s="719"/>
      <c r="V232" s="720"/>
      <c r="AB232" s="719"/>
      <c r="AC232" s="720"/>
    </row>
    <row r="233" spans="1:29" ht="13">
      <c r="A233" s="83" t="s">
        <v>328</v>
      </c>
      <c r="B233" s="22"/>
      <c r="C233" s="22">
        <v>400</v>
      </c>
      <c r="D233" s="23" t="s">
        <v>1016</v>
      </c>
      <c r="G233" s="719"/>
      <c r="H233" s="720"/>
      <c r="I233" s="107">
        <v>44967</v>
      </c>
      <c r="J233" s="22"/>
      <c r="K233" s="22">
        <v>40</v>
      </c>
      <c r="L233" s="23" t="s">
        <v>838</v>
      </c>
      <c r="N233" s="719"/>
      <c r="O233" s="720"/>
      <c r="U233" s="719"/>
      <c r="V233" s="720"/>
      <c r="AB233" s="719"/>
      <c r="AC233" s="720"/>
    </row>
    <row r="234" spans="1:29" ht="13">
      <c r="A234" s="83" t="s">
        <v>328</v>
      </c>
      <c r="B234" s="22"/>
      <c r="C234" s="22">
        <v>0.93</v>
      </c>
      <c r="D234" s="23" t="s">
        <v>838</v>
      </c>
      <c r="G234" s="719"/>
      <c r="H234" s="720"/>
      <c r="I234" s="107">
        <v>44967</v>
      </c>
      <c r="J234" s="22"/>
      <c r="K234" s="22">
        <v>1076</v>
      </c>
      <c r="L234" s="23" t="s">
        <v>1119</v>
      </c>
      <c r="N234" s="719"/>
      <c r="O234" s="720"/>
      <c r="U234" s="719"/>
      <c r="V234" s="720"/>
      <c r="AB234" s="719"/>
      <c r="AC234" s="720"/>
    </row>
    <row r="235" spans="1:29" ht="13">
      <c r="A235" s="83" t="s">
        <v>1317</v>
      </c>
      <c r="B235" s="22"/>
      <c r="C235" s="22">
        <v>945.5</v>
      </c>
      <c r="D235" s="23" t="s">
        <v>1318</v>
      </c>
      <c r="G235" s="719"/>
      <c r="H235" s="720"/>
      <c r="I235" s="107">
        <v>44967</v>
      </c>
      <c r="J235" s="22"/>
      <c r="K235" s="22">
        <v>40</v>
      </c>
      <c r="L235" s="23" t="s">
        <v>838</v>
      </c>
      <c r="N235" s="719"/>
      <c r="O235" s="720"/>
      <c r="U235" s="719"/>
      <c r="V235" s="720"/>
      <c r="AB235" s="719"/>
      <c r="AC235" s="720"/>
    </row>
    <row r="236" spans="1:29" ht="13">
      <c r="A236" s="83" t="s">
        <v>1317</v>
      </c>
      <c r="B236" s="22"/>
      <c r="C236" s="22">
        <v>1.9</v>
      </c>
      <c r="D236" s="23" t="s">
        <v>838</v>
      </c>
      <c r="G236" s="719"/>
      <c r="H236" s="720"/>
      <c r="I236" s="107">
        <v>44967</v>
      </c>
      <c r="J236" s="22"/>
      <c r="K236" s="22">
        <v>812</v>
      </c>
      <c r="L236" s="23" t="s">
        <v>1166</v>
      </c>
      <c r="N236" s="719"/>
      <c r="O236" s="720"/>
      <c r="U236" s="719"/>
      <c r="V236" s="720"/>
      <c r="AB236" s="719"/>
      <c r="AC236" s="720"/>
    </row>
    <row r="237" spans="1:29" ht="13">
      <c r="A237" s="83" t="s">
        <v>1319</v>
      </c>
      <c r="B237" s="22"/>
      <c r="C237" s="22">
        <v>2480</v>
      </c>
      <c r="D237" s="23" t="s">
        <v>961</v>
      </c>
      <c r="E237" s="23" t="s">
        <v>997</v>
      </c>
      <c r="G237" s="719"/>
      <c r="H237" s="720"/>
      <c r="I237" s="107">
        <v>44967</v>
      </c>
      <c r="J237" s="22"/>
      <c r="K237" s="22">
        <v>40</v>
      </c>
      <c r="L237" s="23" t="s">
        <v>838</v>
      </c>
      <c r="N237" s="719"/>
      <c r="O237" s="720"/>
      <c r="U237" s="719"/>
      <c r="V237" s="720"/>
      <c r="AB237" s="719"/>
      <c r="AC237" s="720"/>
    </row>
    <row r="238" spans="1:29" ht="13">
      <c r="A238" s="83" t="s">
        <v>1319</v>
      </c>
      <c r="B238" s="22"/>
      <c r="C238" s="22">
        <v>1.9</v>
      </c>
      <c r="D238" s="23" t="s">
        <v>838</v>
      </c>
      <c r="G238" s="719"/>
      <c r="H238" s="720"/>
      <c r="I238" s="107">
        <v>44967</v>
      </c>
      <c r="J238" s="22"/>
      <c r="K238" s="22">
        <v>958</v>
      </c>
      <c r="L238" s="23" t="s">
        <v>1320</v>
      </c>
      <c r="N238" s="719"/>
      <c r="O238" s="720"/>
      <c r="U238" s="719"/>
      <c r="V238" s="720"/>
      <c r="AB238" s="719"/>
      <c r="AC238" s="720"/>
    </row>
    <row r="239" spans="1:29" ht="13">
      <c r="A239" s="83" t="s">
        <v>335</v>
      </c>
      <c r="B239" s="22">
        <v>3599</v>
      </c>
      <c r="C239" s="22"/>
      <c r="D239" s="23" t="s">
        <v>1314</v>
      </c>
      <c r="E239" s="23" t="s">
        <v>1321</v>
      </c>
      <c r="G239" s="719"/>
      <c r="H239" s="720"/>
      <c r="I239" s="107">
        <v>44967</v>
      </c>
      <c r="J239" s="22"/>
      <c r="K239" s="22">
        <v>40</v>
      </c>
      <c r="L239" s="23" t="s">
        <v>838</v>
      </c>
      <c r="N239" s="719"/>
      <c r="O239" s="720"/>
      <c r="U239" s="719"/>
      <c r="V239" s="720"/>
      <c r="AB239" s="719"/>
      <c r="AC239" s="720"/>
    </row>
    <row r="240" spans="1:29" ht="13">
      <c r="A240" s="107">
        <v>45718</v>
      </c>
      <c r="B240" s="22"/>
      <c r="C240" s="22">
        <v>1996</v>
      </c>
      <c r="D240" s="23" t="s">
        <v>961</v>
      </c>
      <c r="E240" s="23" t="s">
        <v>1322</v>
      </c>
      <c r="G240" s="719"/>
      <c r="H240" s="720"/>
      <c r="I240" s="107">
        <v>44967</v>
      </c>
      <c r="K240" s="22">
        <v>9500</v>
      </c>
      <c r="L240" s="23" t="s">
        <v>1323</v>
      </c>
      <c r="N240" s="719"/>
      <c r="O240" s="720"/>
      <c r="U240" s="719"/>
      <c r="V240" s="720"/>
      <c r="AB240" s="719"/>
      <c r="AC240" s="720"/>
    </row>
    <row r="241" spans="1:29" ht="13">
      <c r="A241" s="107">
        <v>45718</v>
      </c>
      <c r="B241" s="22"/>
      <c r="C241" s="22">
        <v>1.9</v>
      </c>
      <c r="D241" s="23" t="s">
        <v>838</v>
      </c>
      <c r="G241" s="719"/>
      <c r="H241" s="720"/>
      <c r="I241" s="107">
        <v>44967</v>
      </c>
      <c r="K241" s="22">
        <v>1.9</v>
      </c>
      <c r="L241" s="23" t="s">
        <v>838</v>
      </c>
      <c r="N241" s="719"/>
      <c r="O241" s="720"/>
      <c r="U241" s="719"/>
      <c r="V241" s="720"/>
      <c r="AB241" s="719"/>
      <c r="AC241" s="720"/>
    </row>
    <row r="242" spans="1:29" ht="13">
      <c r="A242" s="83" t="s">
        <v>1324</v>
      </c>
      <c r="B242" s="22">
        <v>28929.25</v>
      </c>
      <c r="C242" s="22"/>
      <c r="D242" s="23" t="s">
        <v>1314</v>
      </c>
      <c r="E242" s="23" t="s">
        <v>1325</v>
      </c>
      <c r="G242" s="719"/>
      <c r="H242" s="720"/>
      <c r="I242" s="82">
        <v>44995</v>
      </c>
      <c r="J242" s="22"/>
      <c r="K242" s="22">
        <v>4565</v>
      </c>
      <c r="L242" s="23" t="s">
        <v>961</v>
      </c>
      <c r="N242" s="719"/>
      <c r="O242" s="720"/>
      <c r="U242" s="719"/>
      <c r="V242" s="720"/>
      <c r="AB242" s="719"/>
      <c r="AC242" s="720"/>
    </row>
    <row r="243" spans="1:29" ht="13">
      <c r="A243" s="107">
        <v>45780</v>
      </c>
      <c r="B243" s="22"/>
      <c r="C243" s="22">
        <v>4636</v>
      </c>
      <c r="D243" s="23" t="s">
        <v>1326</v>
      </c>
      <c r="G243" s="719"/>
      <c r="H243" s="720"/>
      <c r="I243" s="82">
        <v>44995</v>
      </c>
      <c r="J243" s="22"/>
      <c r="K243" s="22">
        <v>1.9</v>
      </c>
      <c r="L243" s="23" t="s">
        <v>838</v>
      </c>
      <c r="N243" s="719"/>
      <c r="O243" s="720"/>
      <c r="U243" s="719"/>
      <c r="V243" s="720"/>
      <c r="AB243" s="719"/>
      <c r="AC243" s="720"/>
    </row>
    <row r="244" spans="1:29" ht="13">
      <c r="A244" s="107">
        <v>45780</v>
      </c>
      <c r="B244" s="22"/>
      <c r="C244" s="22">
        <v>8270</v>
      </c>
      <c r="D244" s="23" t="s">
        <v>961</v>
      </c>
      <c r="E244" s="23" t="s">
        <v>1322</v>
      </c>
      <c r="G244" s="719"/>
      <c r="H244" s="720"/>
      <c r="I244" s="82">
        <v>45087</v>
      </c>
      <c r="J244" s="22">
        <v>4150</v>
      </c>
      <c r="K244" s="22"/>
      <c r="L244" s="23" t="s">
        <v>1104</v>
      </c>
      <c r="M244" s="23" t="s">
        <v>1327</v>
      </c>
      <c r="N244" s="719"/>
      <c r="O244" s="720"/>
      <c r="U244" s="719"/>
      <c r="V244" s="720"/>
      <c r="AB244" s="719"/>
      <c r="AC244" s="720"/>
    </row>
    <row r="245" spans="1:29" ht="13">
      <c r="A245" s="107">
        <v>45780</v>
      </c>
      <c r="B245" s="22"/>
      <c r="C245" s="22">
        <v>1.9</v>
      </c>
      <c r="D245" s="23" t="s">
        <v>838</v>
      </c>
      <c r="G245" s="719"/>
      <c r="H245" s="720"/>
      <c r="I245" s="82">
        <v>45179</v>
      </c>
      <c r="J245" s="22"/>
      <c r="K245" s="22">
        <v>121.25</v>
      </c>
      <c r="L245" s="23" t="s">
        <v>1252</v>
      </c>
      <c r="N245" s="719"/>
      <c r="O245" s="720"/>
      <c r="U245" s="719"/>
      <c r="V245" s="720"/>
      <c r="AB245" s="719"/>
      <c r="AC245" s="720"/>
    </row>
    <row r="246" spans="1:29" ht="13">
      <c r="A246" s="107">
        <v>45780</v>
      </c>
      <c r="B246" s="22"/>
      <c r="C246" s="22">
        <v>4200</v>
      </c>
      <c r="D246" s="23" t="s">
        <v>1165</v>
      </c>
      <c r="G246" s="719"/>
      <c r="H246" s="720"/>
      <c r="I246" s="82">
        <v>45179</v>
      </c>
      <c r="J246" s="22"/>
      <c r="K246" s="22">
        <v>981.78</v>
      </c>
      <c r="L246" s="23" t="s">
        <v>1328</v>
      </c>
      <c r="N246" s="719"/>
      <c r="O246" s="720"/>
      <c r="U246" s="719"/>
      <c r="V246" s="720"/>
      <c r="AB246" s="719"/>
      <c r="AC246" s="720"/>
    </row>
    <row r="247" spans="1:29" ht="13">
      <c r="A247" s="107">
        <v>45780</v>
      </c>
      <c r="B247" s="22"/>
      <c r="C247" s="22">
        <v>1.9</v>
      </c>
      <c r="D247" s="23" t="s">
        <v>838</v>
      </c>
      <c r="G247" s="719"/>
      <c r="H247" s="720"/>
      <c r="I247" s="738">
        <v>45270</v>
      </c>
      <c r="J247" s="22"/>
      <c r="K247" s="22">
        <v>77.510000000000005</v>
      </c>
      <c r="L247" s="23" t="s">
        <v>1239</v>
      </c>
      <c r="M247" s="23" t="s">
        <v>1329</v>
      </c>
      <c r="N247" s="719"/>
      <c r="O247" s="720"/>
      <c r="U247" s="719"/>
      <c r="V247" s="720"/>
      <c r="AB247" s="719"/>
      <c r="AC247" s="720"/>
    </row>
    <row r="248" spans="1:29" ht="13">
      <c r="A248" s="107">
        <v>45841</v>
      </c>
      <c r="B248" s="22"/>
      <c r="C248" s="22">
        <v>200</v>
      </c>
      <c r="D248" s="23" t="s">
        <v>1330</v>
      </c>
      <c r="G248" s="719"/>
      <c r="H248" s="720"/>
      <c r="I248" s="83" t="s">
        <v>883</v>
      </c>
      <c r="J248" s="22"/>
      <c r="K248" s="22">
        <v>32.659999999999997</v>
      </c>
      <c r="L248" s="23" t="s">
        <v>1298</v>
      </c>
      <c r="N248" s="719"/>
      <c r="O248" s="720"/>
      <c r="U248" s="719"/>
      <c r="V248" s="720"/>
      <c r="AB248" s="719"/>
      <c r="AC248" s="720"/>
    </row>
    <row r="249" spans="1:29" ht="13">
      <c r="A249" s="107">
        <v>45994</v>
      </c>
      <c r="B249" s="22"/>
      <c r="C249" s="22">
        <v>1916.45</v>
      </c>
      <c r="D249" s="23" t="s">
        <v>1331</v>
      </c>
      <c r="E249" s="23" t="s">
        <v>1332</v>
      </c>
      <c r="G249" s="719"/>
      <c r="H249" s="720"/>
      <c r="I249" s="83" t="s">
        <v>1333</v>
      </c>
      <c r="J249" s="22"/>
      <c r="K249" s="22">
        <v>4791</v>
      </c>
      <c r="L249" s="23" t="s">
        <v>971</v>
      </c>
      <c r="N249" s="719"/>
      <c r="O249" s="720"/>
      <c r="U249" s="719"/>
      <c r="V249" s="720"/>
      <c r="AB249" s="719"/>
      <c r="AC249" s="720"/>
    </row>
    <row r="250" spans="1:29" ht="13">
      <c r="A250" s="83" t="s">
        <v>1024</v>
      </c>
      <c r="B250" s="22"/>
      <c r="C250" s="22">
        <v>945.5</v>
      </c>
      <c r="D250" s="23" t="s">
        <v>1334</v>
      </c>
      <c r="G250" s="719"/>
      <c r="H250" s="720"/>
      <c r="I250" s="83" t="s">
        <v>1333</v>
      </c>
      <c r="J250" s="22"/>
      <c r="K250" s="22">
        <v>1.9</v>
      </c>
      <c r="L250" s="23" t="s">
        <v>838</v>
      </c>
      <c r="N250" s="719"/>
      <c r="O250" s="720"/>
      <c r="U250" s="719"/>
      <c r="V250" s="720"/>
      <c r="AB250" s="719"/>
      <c r="AC250" s="720"/>
    </row>
    <row r="251" spans="1:29" ht="13">
      <c r="A251" s="83" t="s">
        <v>1024</v>
      </c>
      <c r="B251" s="22"/>
      <c r="C251" s="22">
        <v>1.9</v>
      </c>
      <c r="D251" s="23" t="s">
        <v>838</v>
      </c>
      <c r="G251" s="719"/>
      <c r="H251" s="720"/>
      <c r="I251" s="83" t="s">
        <v>1335</v>
      </c>
      <c r="J251" s="22"/>
      <c r="K251" s="22">
        <v>25</v>
      </c>
      <c r="L251" s="23" t="s">
        <v>838</v>
      </c>
      <c r="N251" s="719"/>
      <c r="O251" s="720"/>
      <c r="U251" s="719"/>
      <c r="V251" s="720"/>
      <c r="AB251" s="719"/>
      <c r="AC251" s="720"/>
    </row>
    <row r="252" spans="1:29" ht="13">
      <c r="A252" s="83" t="s">
        <v>1336</v>
      </c>
      <c r="B252" s="22">
        <v>2745</v>
      </c>
      <c r="C252" s="22"/>
      <c r="D252" s="23" t="s">
        <v>1314</v>
      </c>
      <c r="E252" s="23" t="s">
        <v>1337</v>
      </c>
      <c r="G252" s="719"/>
      <c r="H252" s="720"/>
      <c r="I252" s="83" t="s">
        <v>1335</v>
      </c>
      <c r="J252" s="22">
        <v>10668.08</v>
      </c>
      <c r="K252" s="22"/>
      <c r="L252" s="23" t="s">
        <v>1131</v>
      </c>
      <c r="M252" s="23" t="s">
        <v>1338</v>
      </c>
      <c r="N252" s="719"/>
      <c r="O252" s="720"/>
      <c r="U252" s="719"/>
      <c r="V252" s="720"/>
      <c r="AB252" s="719"/>
      <c r="AC252" s="720"/>
    </row>
    <row r="253" spans="1:29" ht="13">
      <c r="A253" s="83" t="s">
        <v>351</v>
      </c>
      <c r="B253" s="22"/>
      <c r="C253" s="22">
        <v>9924</v>
      </c>
      <c r="D253" s="23" t="s">
        <v>961</v>
      </c>
      <c r="E253" s="23" t="s">
        <v>488</v>
      </c>
      <c r="G253" s="719"/>
      <c r="H253" s="720"/>
      <c r="I253" s="82">
        <v>44937</v>
      </c>
      <c r="J253" s="22"/>
      <c r="K253" s="22">
        <v>3660</v>
      </c>
      <c r="L253" s="23" t="s">
        <v>1339</v>
      </c>
      <c r="N253" s="719"/>
      <c r="O253" s="720"/>
      <c r="U253" s="719"/>
      <c r="V253" s="720"/>
      <c r="AB253" s="719"/>
      <c r="AC253" s="720"/>
    </row>
    <row r="254" spans="1:29" ht="13">
      <c r="A254" s="83" t="s">
        <v>351</v>
      </c>
      <c r="B254" s="22"/>
      <c r="C254" s="22">
        <v>1.9</v>
      </c>
      <c r="D254" s="23" t="s">
        <v>838</v>
      </c>
      <c r="G254" s="719"/>
      <c r="H254" s="720"/>
      <c r="I254" s="82">
        <v>44937</v>
      </c>
      <c r="J254" s="22"/>
      <c r="K254" s="22">
        <v>1076</v>
      </c>
      <c r="L254" s="23" t="s">
        <v>1078</v>
      </c>
      <c r="N254" s="719"/>
      <c r="O254" s="720"/>
      <c r="U254" s="719"/>
      <c r="V254" s="720"/>
      <c r="AB254" s="719"/>
      <c r="AC254" s="720"/>
    </row>
    <row r="255" spans="1:29" ht="13">
      <c r="A255" s="107">
        <v>45661</v>
      </c>
      <c r="B255" s="22"/>
      <c r="C255" s="22">
        <v>4911</v>
      </c>
      <c r="D255" s="23" t="s">
        <v>1165</v>
      </c>
      <c r="G255" s="719"/>
      <c r="H255" s="720"/>
      <c r="I255" s="82">
        <v>44937</v>
      </c>
      <c r="J255" s="22"/>
      <c r="K255" s="22">
        <v>40</v>
      </c>
      <c r="L255" s="23" t="s">
        <v>1340</v>
      </c>
      <c r="N255" s="719"/>
      <c r="O255" s="720"/>
      <c r="U255" s="719"/>
      <c r="V255" s="720"/>
      <c r="AB255" s="719"/>
      <c r="AC255" s="720"/>
    </row>
    <row r="256" spans="1:29" ht="13">
      <c r="A256" s="107">
        <v>45661</v>
      </c>
      <c r="B256" s="22"/>
      <c r="C256" s="22">
        <v>1.9</v>
      </c>
      <c r="D256" s="23" t="s">
        <v>838</v>
      </c>
      <c r="G256" s="719"/>
      <c r="H256" s="720"/>
      <c r="I256" s="82">
        <v>44937</v>
      </c>
      <c r="J256" s="22"/>
      <c r="K256" s="22">
        <v>1076</v>
      </c>
      <c r="L256" s="23" t="s">
        <v>1087</v>
      </c>
      <c r="N256" s="719"/>
      <c r="O256" s="720"/>
      <c r="U256" s="719"/>
      <c r="V256" s="720"/>
      <c r="AB256" s="719"/>
      <c r="AC256" s="720"/>
    </row>
    <row r="257" spans="1:29" ht="13">
      <c r="A257" s="107">
        <v>45661</v>
      </c>
      <c r="B257" s="22"/>
      <c r="C257" s="22">
        <v>1000</v>
      </c>
      <c r="D257" s="23" t="s">
        <v>961</v>
      </c>
      <c r="E257" s="23" t="s">
        <v>488</v>
      </c>
      <c r="G257" s="719"/>
      <c r="H257" s="720"/>
      <c r="I257" s="82">
        <v>44937</v>
      </c>
      <c r="J257" s="22"/>
      <c r="K257" s="22">
        <v>40</v>
      </c>
      <c r="L257" s="23" t="s">
        <v>1340</v>
      </c>
      <c r="N257" s="719"/>
      <c r="O257" s="720"/>
      <c r="U257" s="719"/>
      <c r="V257" s="720"/>
      <c r="AB257" s="719"/>
      <c r="AC257" s="720"/>
    </row>
    <row r="258" spans="1:29" ht="13">
      <c r="A258" s="107">
        <v>45661</v>
      </c>
      <c r="B258" s="22"/>
      <c r="C258" s="22">
        <v>1.9</v>
      </c>
      <c r="D258" s="23" t="s">
        <v>838</v>
      </c>
      <c r="G258" s="719"/>
      <c r="H258" s="720"/>
      <c r="I258" s="82">
        <v>44937</v>
      </c>
      <c r="J258" s="22"/>
      <c r="K258" s="22">
        <v>1076</v>
      </c>
      <c r="L258" s="23" t="s">
        <v>1119</v>
      </c>
      <c r="N258" s="719"/>
      <c r="O258" s="720"/>
      <c r="U258" s="719"/>
      <c r="V258" s="720"/>
      <c r="AB258" s="719"/>
      <c r="AC258" s="720"/>
    </row>
    <row r="259" spans="1:29" ht="13">
      <c r="A259" s="83" t="s">
        <v>65</v>
      </c>
      <c r="B259" s="22">
        <v>2135</v>
      </c>
      <c r="C259" s="22"/>
      <c r="D259" s="23" t="s">
        <v>1314</v>
      </c>
      <c r="E259" s="23" t="s">
        <v>1341</v>
      </c>
      <c r="G259" s="719"/>
      <c r="H259" s="720"/>
      <c r="I259" s="82">
        <v>44937</v>
      </c>
      <c r="J259" s="22"/>
      <c r="K259" s="22">
        <v>40</v>
      </c>
      <c r="L259" s="23" t="s">
        <v>838</v>
      </c>
      <c r="N259" s="719"/>
      <c r="O259" s="720"/>
      <c r="U259" s="719"/>
      <c r="V259" s="720"/>
      <c r="AB259" s="719"/>
      <c r="AC259" s="720"/>
    </row>
    <row r="260" spans="1:29" ht="13">
      <c r="A260" s="83" t="s">
        <v>1034</v>
      </c>
      <c r="B260" s="22">
        <v>1952</v>
      </c>
      <c r="D260" s="23" t="s">
        <v>1314</v>
      </c>
      <c r="E260" s="23" t="s">
        <v>1342</v>
      </c>
      <c r="G260" s="719"/>
      <c r="H260" s="720"/>
      <c r="I260" s="82">
        <v>44937</v>
      </c>
      <c r="J260" s="22"/>
      <c r="K260" s="22">
        <v>812</v>
      </c>
      <c r="L260" s="23" t="s">
        <v>1153</v>
      </c>
      <c r="N260" s="719"/>
      <c r="O260" s="720"/>
      <c r="U260" s="719"/>
      <c r="V260" s="720"/>
      <c r="AB260" s="719"/>
      <c r="AC260" s="720"/>
    </row>
    <row r="261" spans="1:29" ht="13">
      <c r="A261" s="83" t="s">
        <v>1036</v>
      </c>
      <c r="B261" s="22"/>
      <c r="C261" s="22">
        <v>444</v>
      </c>
      <c r="D261" s="23" t="s">
        <v>961</v>
      </c>
      <c r="E261" s="23" t="s">
        <v>1343</v>
      </c>
      <c r="G261" s="719"/>
      <c r="H261" s="720"/>
      <c r="I261" s="82">
        <v>44937</v>
      </c>
      <c r="J261" s="22"/>
      <c r="K261" s="22">
        <v>40</v>
      </c>
      <c r="L261" s="23" t="s">
        <v>1340</v>
      </c>
      <c r="N261" s="719"/>
      <c r="O261" s="720"/>
      <c r="U261" s="719"/>
      <c r="V261" s="720"/>
      <c r="AB261" s="719"/>
      <c r="AC261" s="720"/>
    </row>
    <row r="262" spans="1:29" ht="13">
      <c r="A262" s="83" t="s">
        <v>1036</v>
      </c>
      <c r="B262" s="22"/>
      <c r="C262" s="22">
        <v>1.9</v>
      </c>
      <c r="D262" s="23" t="s">
        <v>838</v>
      </c>
      <c r="G262" s="719"/>
      <c r="H262" s="720"/>
      <c r="I262" s="82">
        <v>44937</v>
      </c>
      <c r="J262" s="22"/>
      <c r="K262" s="22">
        <v>1096</v>
      </c>
      <c r="L262" s="23" t="s">
        <v>1185</v>
      </c>
      <c r="N262" s="719"/>
      <c r="O262" s="720"/>
      <c r="U262" s="719"/>
      <c r="V262" s="720"/>
      <c r="AB262" s="719"/>
      <c r="AC262" s="720"/>
    </row>
    <row r="263" spans="1:29" ht="13">
      <c r="A263" s="83" t="s">
        <v>1037</v>
      </c>
      <c r="B263" s="22"/>
      <c r="C263" s="22">
        <v>19.62</v>
      </c>
      <c r="D263" s="23" t="s">
        <v>992</v>
      </c>
      <c r="G263" s="719"/>
      <c r="H263" s="720"/>
      <c r="I263" s="82">
        <v>44937</v>
      </c>
      <c r="J263" s="22"/>
      <c r="K263" s="22">
        <v>40</v>
      </c>
      <c r="L263" s="23" t="s">
        <v>1340</v>
      </c>
      <c r="N263" s="719"/>
      <c r="O263" s="720"/>
      <c r="U263" s="719"/>
      <c r="V263" s="720"/>
      <c r="AB263" s="719"/>
      <c r="AC263" s="720"/>
    </row>
    <row r="264" spans="1:29" ht="13">
      <c r="A264" s="83" t="s">
        <v>1344</v>
      </c>
      <c r="B264" s="22">
        <v>13407.8</v>
      </c>
      <c r="C264" s="22"/>
      <c r="D264" s="23" t="s">
        <v>1314</v>
      </c>
      <c r="E264" s="23" t="s">
        <v>1345</v>
      </c>
      <c r="G264" s="719"/>
      <c r="H264" s="720"/>
      <c r="I264" s="82">
        <v>45088</v>
      </c>
      <c r="J264" s="22"/>
      <c r="K264" s="22">
        <v>169.78</v>
      </c>
      <c r="L264" s="23" t="s">
        <v>1239</v>
      </c>
      <c r="M264" s="23" t="s">
        <v>1346</v>
      </c>
      <c r="N264" s="719"/>
      <c r="O264" s="720"/>
      <c r="U264" s="719"/>
      <c r="V264" s="720"/>
      <c r="AB264" s="719"/>
      <c r="AC264" s="720"/>
    </row>
    <row r="265" spans="1:29" ht="13">
      <c r="A265" s="83" t="s">
        <v>1344</v>
      </c>
      <c r="B265" s="22"/>
      <c r="C265" s="22">
        <v>5972</v>
      </c>
      <c r="D265" s="23" t="s">
        <v>961</v>
      </c>
      <c r="E265" s="23" t="s">
        <v>488</v>
      </c>
      <c r="G265" s="719"/>
      <c r="H265" s="720"/>
      <c r="I265" s="82">
        <v>45088</v>
      </c>
      <c r="J265" s="22"/>
      <c r="K265" s="22">
        <v>169.78</v>
      </c>
      <c r="L265" s="23" t="s">
        <v>1239</v>
      </c>
      <c r="M265" s="23" t="s">
        <v>1346</v>
      </c>
      <c r="N265" s="719"/>
      <c r="O265" s="720"/>
      <c r="U265" s="719"/>
      <c r="V265" s="720"/>
      <c r="AB265" s="719"/>
      <c r="AC265" s="720"/>
    </row>
    <row r="266" spans="1:29" ht="13">
      <c r="A266" s="83" t="s">
        <v>1344</v>
      </c>
      <c r="B266" s="22"/>
      <c r="C266" s="22">
        <v>1.9</v>
      </c>
      <c r="D266" s="23" t="s">
        <v>838</v>
      </c>
      <c r="G266" s="719"/>
      <c r="H266" s="720"/>
      <c r="I266" s="82">
        <v>45088</v>
      </c>
      <c r="J266" s="22"/>
      <c r="K266" s="22">
        <v>1471.42</v>
      </c>
      <c r="L266" s="23" t="s">
        <v>1347</v>
      </c>
      <c r="N266" s="719"/>
      <c r="O266" s="720"/>
      <c r="U266" s="719"/>
      <c r="V266" s="720"/>
      <c r="AB266" s="719"/>
      <c r="AC266" s="720"/>
    </row>
    <row r="267" spans="1:29" ht="13">
      <c r="A267" s="83" t="s">
        <v>67</v>
      </c>
      <c r="B267" s="22"/>
      <c r="C267" s="22">
        <v>2245</v>
      </c>
      <c r="D267" s="23" t="s">
        <v>961</v>
      </c>
      <c r="G267" s="719"/>
      <c r="H267" s="720"/>
      <c r="I267" s="82">
        <v>45088</v>
      </c>
      <c r="J267" s="22"/>
      <c r="K267" s="22">
        <v>3</v>
      </c>
      <c r="L267" s="23" t="s">
        <v>1348</v>
      </c>
      <c r="N267" s="719"/>
      <c r="O267" s="720"/>
      <c r="U267" s="719"/>
      <c r="V267" s="720"/>
      <c r="AB267" s="719"/>
      <c r="AC267" s="720"/>
    </row>
    <row r="268" spans="1:29" ht="13">
      <c r="A268" s="83" t="s">
        <v>67</v>
      </c>
      <c r="B268" s="22"/>
      <c r="C268" s="22">
        <v>1.9</v>
      </c>
      <c r="D268" s="23" t="s">
        <v>838</v>
      </c>
      <c r="G268" s="719"/>
      <c r="H268" s="720"/>
      <c r="I268" s="82">
        <v>45088</v>
      </c>
      <c r="J268" s="22"/>
      <c r="K268" s="22">
        <v>3</v>
      </c>
      <c r="L268" s="23" t="s">
        <v>1348</v>
      </c>
      <c r="N268" s="719"/>
      <c r="O268" s="720"/>
      <c r="U268" s="719"/>
      <c r="V268" s="720"/>
      <c r="AB268" s="719"/>
      <c r="AC268" s="720"/>
    </row>
    <row r="269" spans="1:29" ht="13">
      <c r="A269" s="83" t="s">
        <v>67</v>
      </c>
      <c r="B269" s="22">
        <v>2257</v>
      </c>
      <c r="C269" s="22"/>
      <c r="D269" s="23" t="s">
        <v>1314</v>
      </c>
      <c r="E269" s="23" t="s">
        <v>1349</v>
      </c>
      <c r="G269" s="719"/>
      <c r="H269" s="720"/>
      <c r="I269" s="82">
        <v>45118</v>
      </c>
      <c r="J269" s="22">
        <v>1500</v>
      </c>
      <c r="K269" s="22"/>
      <c r="L269" s="23" t="s">
        <v>1350</v>
      </c>
      <c r="N269" s="719"/>
      <c r="O269" s="720"/>
      <c r="U269" s="719"/>
      <c r="V269" s="720"/>
      <c r="AB269" s="719"/>
      <c r="AC269" s="720"/>
    </row>
    <row r="270" spans="1:29" ht="13">
      <c r="A270" s="83" t="s">
        <v>67</v>
      </c>
      <c r="B270" s="22">
        <v>148.6</v>
      </c>
      <c r="C270" s="22"/>
      <c r="D270" s="23" t="s">
        <v>1351</v>
      </c>
      <c r="G270" s="719"/>
      <c r="H270" s="720"/>
      <c r="I270" s="82">
        <v>45118</v>
      </c>
      <c r="J270" s="22"/>
      <c r="K270" s="22">
        <v>297.74</v>
      </c>
      <c r="L270" s="23" t="s">
        <v>1352</v>
      </c>
      <c r="N270" s="719"/>
      <c r="O270" s="720"/>
      <c r="U270" s="719"/>
      <c r="V270" s="720"/>
      <c r="AB270" s="719"/>
      <c r="AC270" s="720"/>
    </row>
    <row r="271" spans="1:29" ht="13">
      <c r="A271" s="107">
        <v>45969</v>
      </c>
      <c r="B271" s="22"/>
      <c r="C271" s="22">
        <v>1502</v>
      </c>
      <c r="D271" s="23" t="s">
        <v>961</v>
      </c>
      <c r="G271" s="719"/>
      <c r="H271" s="720"/>
      <c r="I271" s="82">
        <v>45180</v>
      </c>
      <c r="J271" s="22">
        <v>4400</v>
      </c>
      <c r="K271" s="22"/>
      <c r="L271" s="23" t="s">
        <v>1104</v>
      </c>
      <c r="M271" s="23" t="s">
        <v>1353</v>
      </c>
      <c r="N271" s="719"/>
      <c r="O271" s="720"/>
      <c r="U271" s="719"/>
      <c r="V271" s="720"/>
      <c r="AB271" s="719"/>
      <c r="AC271" s="720"/>
    </row>
    <row r="272" spans="1:29" ht="13">
      <c r="A272" s="107">
        <v>45969</v>
      </c>
      <c r="B272" s="22"/>
      <c r="C272" s="22">
        <v>276</v>
      </c>
      <c r="D272" s="23" t="s">
        <v>961</v>
      </c>
      <c r="G272" s="719"/>
      <c r="H272" s="720"/>
      <c r="I272" s="738">
        <v>45210</v>
      </c>
      <c r="J272" s="22"/>
      <c r="K272" s="22">
        <v>114.01</v>
      </c>
      <c r="L272" s="23" t="s">
        <v>1239</v>
      </c>
      <c r="N272" s="719"/>
      <c r="O272" s="720"/>
      <c r="U272" s="719"/>
      <c r="V272" s="720"/>
      <c r="AB272" s="719"/>
      <c r="AC272" s="720"/>
    </row>
    <row r="273" spans="1:29" ht="13">
      <c r="A273" s="107">
        <v>45969</v>
      </c>
      <c r="B273" s="22"/>
      <c r="C273" s="22">
        <v>1.9</v>
      </c>
      <c r="D273" s="23" t="s">
        <v>838</v>
      </c>
      <c r="G273" s="719"/>
      <c r="H273" s="720"/>
      <c r="I273" s="738">
        <v>45210</v>
      </c>
      <c r="J273" s="22"/>
      <c r="K273" s="22">
        <v>3</v>
      </c>
      <c r="L273" s="23" t="s">
        <v>1348</v>
      </c>
      <c r="N273" s="719"/>
      <c r="O273" s="720"/>
      <c r="U273" s="719"/>
      <c r="V273" s="720"/>
      <c r="AB273" s="719"/>
      <c r="AC273" s="720"/>
    </row>
    <row r="274" spans="1:29" ht="13">
      <c r="A274" s="83" t="s">
        <v>1354</v>
      </c>
      <c r="B274" s="22"/>
      <c r="C274" s="22">
        <v>120</v>
      </c>
      <c r="D274" s="23" t="s">
        <v>1355</v>
      </c>
      <c r="G274" s="719"/>
      <c r="H274" s="720"/>
      <c r="I274" s="274" t="s">
        <v>1356</v>
      </c>
      <c r="J274" s="22"/>
      <c r="K274" s="22">
        <v>25</v>
      </c>
      <c r="L274" s="23" t="s">
        <v>838</v>
      </c>
      <c r="N274" s="719"/>
      <c r="O274" s="720"/>
      <c r="U274" s="719"/>
      <c r="V274" s="720"/>
      <c r="AB274" s="719"/>
      <c r="AC274" s="720"/>
    </row>
    <row r="275" spans="1:29" ht="13">
      <c r="A275" s="83" t="s">
        <v>1354</v>
      </c>
      <c r="B275" s="22"/>
      <c r="C275" s="22">
        <v>1.9</v>
      </c>
      <c r="D275" s="23" t="s">
        <v>838</v>
      </c>
      <c r="G275" s="719"/>
      <c r="H275" s="720"/>
      <c r="I275" s="274" t="s">
        <v>1356</v>
      </c>
      <c r="J275" s="22">
        <v>13484</v>
      </c>
      <c r="K275" s="22"/>
      <c r="L275" s="23" t="s">
        <v>1131</v>
      </c>
      <c r="M275" s="23" t="s">
        <v>1357</v>
      </c>
      <c r="N275" s="719"/>
      <c r="O275" s="720"/>
      <c r="U275" s="719"/>
      <c r="V275" s="720"/>
      <c r="AB275" s="719"/>
      <c r="AC275" s="720"/>
    </row>
    <row r="276" spans="1:29" ht="13">
      <c r="A276" s="83" t="s">
        <v>1043</v>
      </c>
      <c r="B276" s="22"/>
      <c r="C276" s="22">
        <v>1046</v>
      </c>
      <c r="D276" s="23" t="s">
        <v>961</v>
      </c>
      <c r="G276" s="719"/>
      <c r="H276" s="720"/>
      <c r="I276" s="83" t="s">
        <v>884</v>
      </c>
      <c r="J276" s="22"/>
      <c r="K276" s="22">
        <v>32.869999999999997</v>
      </c>
      <c r="L276" s="23" t="s">
        <v>1077</v>
      </c>
      <c r="N276" s="719"/>
      <c r="O276" s="720"/>
      <c r="U276" s="719"/>
      <c r="V276" s="720"/>
      <c r="AB276" s="719"/>
      <c r="AC276" s="720"/>
    </row>
    <row r="277" spans="1:29" ht="13">
      <c r="A277" s="83" t="s">
        <v>1044</v>
      </c>
      <c r="B277" s="22"/>
      <c r="C277" s="22">
        <v>550</v>
      </c>
      <c r="D277" s="23" t="s">
        <v>961</v>
      </c>
      <c r="G277" s="719"/>
      <c r="H277" s="720"/>
      <c r="I277" s="738">
        <v>44938</v>
      </c>
      <c r="J277" s="22"/>
      <c r="K277" s="22">
        <v>1076</v>
      </c>
      <c r="L277" s="23" t="s">
        <v>1137</v>
      </c>
      <c r="N277" s="719"/>
      <c r="O277" s="720"/>
      <c r="U277" s="719"/>
      <c r="V277" s="720"/>
      <c r="AB277" s="719"/>
      <c r="AC277" s="720"/>
    </row>
    <row r="278" spans="1:29" ht="13">
      <c r="A278" s="83" t="s">
        <v>389</v>
      </c>
      <c r="B278" s="22">
        <v>4056</v>
      </c>
      <c r="C278" s="22"/>
      <c r="D278" s="23" t="s">
        <v>1314</v>
      </c>
      <c r="E278" s="23" t="s">
        <v>1358</v>
      </c>
      <c r="G278" s="719"/>
      <c r="H278" s="720"/>
      <c r="I278" s="82">
        <v>44938</v>
      </c>
      <c r="K278" s="22">
        <v>40</v>
      </c>
      <c r="L278" s="23" t="s">
        <v>838</v>
      </c>
      <c r="N278" s="719"/>
      <c r="O278" s="720"/>
      <c r="U278" s="719"/>
      <c r="V278" s="720"/>
      <c r="AB278" s="719"/>
      <c r="AC278" s="720"/>
    </row>
    <row r="279" spans="1:29" ht="13">
      <c r="A279" s="107">
        <v>45666</v>
      </c>
      <c r="B279" s="22"/>
      <c r="C279" s="22">
        <v>5490</v>
      </c>
      <c r="D279" s="23" t="s">
        <v>1326</v>
      </c>
      <c r="E279" s="22"/>
      <c r="G279" s="719"/>
      <c r="H279" s="720"/>
      <c r="I279" s="82">
        <v>44938</v>
      </c>
      <c r="K279" s="22">
        <v>1076</v>
      </c>
      <c r="L279" s="23" t="s">
        <v>1359</v>
      </c>
      <c r="N279" s="719"/>
      <c r="O279" s="720"/>
      <c r="U279" s="719"/>
      <c r="V279" s="720"/>
      <c r="AB279" s="719"/>
      <c r="AC279" s="720"/>
    </row>
    <row r="280" spans="1:29" ht="13">
      <c r="A280" s="107">
        <v>45666</v>
      </c>
      <c r="B280" s="22">
        <v>1561.6</v>
      </c>
      <c r="C280" s="22"/>
      <c r="D280" s="23" t="s">
        <v>1360</v>
      </c>
      <c r="E280" s="23" t="s">
        <v>1361</v>
      </c>
      <c r="G280" s="719"/>
      <c r="H280" s="720"/>
      <c r="I280" s="82">
        <v>44938</v>
      </c>
      <c r="K280" s="22">
        <v>40</v>
      </c>
      <c r="L280" s="23" t="s">
        <v>838</v>
      </c>
      <c r="N280" s="719"/>
      <c r="O280" s="720"/>
      <c r="U280" s="719"/>
      <c r="V280" s="720"/>
      <c r="AB280" s="719"/>
      <c r="AC280" s="720"/>
    </row>
    <row r="281" spans="1:29" ht="13">
      <c r="A281" s="107">
        <v>45666</v>
      </c>
      <c r="B281" s="22"/>
      <c r="C281" s="22">
        <v>6810</v>
      </c>
      <c r="D281" s="23" t="s">
        <v>961</v>
      </c>
      <c r="G281" s="719"/>
      <c r="H281" s="720"/>
      <c r="I281" s="82">
        <v>44938</v>
      </c>
      <c r="K281" s="22">
        <v>1076</v>
      </c>
      <c r="L281" s="23" t="s">
        <v>1119</v>
      </c>
      <c r="N281" s="719"/>
      <c r="O281" s="720"/>
      <c r="U281" s="719"/>
      <c r="V281" s="720"/>
      <c r="AB281" s="719"/>
      <c r="AC281" s="720"/>
    </row>
    <row r="282" spans="1:29" ht="13">
      <c r="A282" s="107">
        <v>45666</v>
      </c>
      <c r="B282" s="22"/>
      <c r="C282" s="22">
        <v>1.9</v>
      </c>
      <c r="D282" s="23" t="s">
        <v>838</v>
      </c>
      <c r="G282" s="719"/>
      <c r="H282" s="720"/>
      <c r="I282" s="82">
        <v>44938</v>
      </c>
      <c r="K282" s="22">
        <v>40</v>
      </c>
      <c r="L282" s="23" t="s">
        <v>838</v>
      </c>
      <c r="N282" s="719"/>
      <c r="O282" s="720"/>
      <c r="U282" s="719"/>
      <c r="V282" s="720"/>
      <c r="AB282" s="719"/>
      <c r="AC282" s="720"/>
    </row>
    <row r="283" spans="1:29" ht="13">
      <c r="A283" s="107">
        <v>45697</v>
      </c>
      <c r="B283" s="22"/>
      <c r="C283" s="22">
        <v>67</v>
      </c>
      <c r="D283" s="23" t="s">
        <v>961</v>
      </c>
      <c r="G283" s="719"/>
      <c r="H283" s="720"/>
      <c r="I283" s="82">
        <v>44938</v>
      </c>
      <c r="K283" s="22">
        <v>812</v>
      </c>
      <c r="L283" s="23" t="s">
        <v>1184</v>
      </c>
      <c r="N283" s="719"/>
      <c r="O283" s="720"/>
      <c r="U283" s="719"/>
      <c r="V283" s="720"/>
      <c r="AB283" s="719"/>
      <c r="AC283" s="720"/>
    </row>
    <row r="284" spans="1:29" ht="13">
      <c r="A284" s="107">
        <v>45697</v>
      </c>
      <c r="B284" s="22"/>
      <c r="C284" s="22">
        <v>1.9</v>
      </c>
      <c r="D284" s="23" t="s">
        <v>838</v>
      </c>
      <c r="G284" s="719"/>
      <c r="H284" s="720"/>
      <c r="I284" s="82">
        <v>44938</v>
      </c>
      <c r="K284" s="22">
        <v>40</v>
      </c>
      <c r="L284" s="23" t="s">
        <v>838</v>
      </c>
      <c r="N284" s="719"/>
      <c r="O284" s="720"/>
      <c r="U284" s="719"/>
      <c r="V284" s="720"/>
      <c r="AB284" s="719"/>
      <c r="AC284" s="720"/>
    </row>
    <row r="285" spans="1:29" ht="13">
      <c r="A285" s="107">
        <v>45909</v>
      </c>
      <c r="B285" s="22"/>
      <c r="C285" s="22">
        <v>176</v>
      </c>
      <c r="D285" s="23" t="s">
        <v>1022</v>
      </c>
      <c r="G285" s="719"/>
      <c r="H285" s="720"/>
      <c r="I285" s="82">
        <v>44938</v>
      </c>
      <c r="K285" s="22">
        <v>1175</v>
      </c>
      <c r="L285" s="23" t="s">
        <v>1185</v>
      </c>
      <c r="N285" s="719"/>
      <c r="O285" s="720"/>
      <c r="U285" s="719"/>
      <c r="V285" s="720"/>
      <c r="AB285" s="719"/>
      <c r="AC285" s="720"/>
    </row>
    <row r="286" spans="1:29" ht="13">
      <c r="A286" s="83" t="s">
        <v>401</v>
      </c>
      <c r="B286" s="22">
        <v>6958.88</v>
      </c>
      <c r="D286" s="23" t="s">
        <v>1314</v>
      </c>
      <c r="E286" s="23" t="s">
        <v>1362</v>
      </c>
      <c r="G286" s="719"/>
      <c r="H286" s="720"/>
      <c r="I286" s="82">
        <v>44938</v>
      </c>
      <c r="K286" s="22">
        <v>40</v>
      </c>
      <c r="L286" s="23" t="s">
        <v>838</v>
      </c>
      <c r="N286" s="719"/>
      <c r="O286" s="720"/>
      <c r="U286" s="719"/>
      <c r="V286" s="720"/>
      <c r="AB286" s="719"/>
      <c r="AC286" s="720"/>
    </row>
    <row r="287" spans="1:29" ht="13">
      <c r="A287" s="107">
        <v>45667</v>
      </c>
      <c r="B287" s="22"/>
      <c r="C287" s="22">
        <v>5490</v>
      </c>
      <c r="D287" s="23" t="s">
        <v>1326</v>
      </c>
      <c r="G287" s="719"/>
      <c r="H287" s="720"/>
      <c r="I287" s="82">
        <v>45089</v>
      </c>
      <c r="J287" s="22">
        <v>4100</v>
      </c>
      <c r="K287" s="22"/>
      <c r="L287" s="23" t="s">
        <v>1104</v>
      </c>
      <c r="M287" s="23" t="s">
        <v>1363</v>
      </c>
      <c r="N287" s="719"/>
      <c r="O287" s="720"/>
      <c r="U287" s="719"/>
      <c r="V287" s="720"/>
      <c r="AB287" s="719"/>
      <c r="AC287" s="720"/>
    </row>
    <row r="288" spans="1:29" ht="13">
      <c r="A288" s="107">
        <v>45667</v>
      </c>
      <c r="B288" s="22"/>
      <c r="C288" s="22">
        <v>840.54</v>
      </c>
      <c r="D288" s="23" t="s">
        <v>1364</v>
      </c>
      <c r="G288" s="719"/>
      <c r="H288" s="720"/>
      <c r="I288" s="82">
        <v>45119</v>
      </c>
      <c r="J288" s="22"/>
      <c r="K288" s="22">
        <v>9366</v>
      </c>
      <c r="L288" s="23" t="s">
        <v>961</v>
      </c>
      <c r="N288" s="719"/>
      <c r="O288" s="720"/>
      <c r="U288" s="719"/>
      <c r="V288" s="720"/>
      <c r="AB288" s="719"/>
      <c r="AC288" s="720"/>
    </row>
    <row r="289" spans="1:29" ht="13">
      <c r="A289" s="107">
        <v>45667</v>
      </c>
      <c r="B289" s="22"/>
      <c r="C289" s="22">
        <v>1.9</v>
      </c>
      <c r="D289" s="23" t="s">
        <v>838</v>
      </c>
      <c r="G289" s="719"/>
      <c r="H289" s="720"/>
      <c r="I289" s="82">
        <v>45119</v>
      </c>
      <c r="J289" s="22"/>
      <c r="K289" s="22">
        <v>1.9</v>
      </c>
      <c r="L289" s="23" t="s">
        <v>838</v>
      </c>
      <c r="N289" s="719"/>
      <c r="O289" s="720"/>
      <c r="U289" s="719"/>
      <c r="V289" s="720"/>
      <c r="AB289" s="719"/>
      <c r="AC289" s="720"/>
    </row>
    <row r="290" spans="1:29" ht="13">
      <c r="A290" s="107">
        <v>45726</v>
      </c>
      <c r="B290" s="22">
        <v>1561.6</v>
      </c>
      <c r="C290" s="22"/>
      <c r="D290" s="23" t="s">
        <v>1360</v>
      </c>
      <c r="E290" s="23" t="s">
        <v>1365</v>
      </c>
      <c r="G290" s="719"/>
      <c r="H290" s="720"/>
      <c r="I290" s="738">
        <v>45242</v>
      </c>
      <c r="J290" s="22"/>
      <c r="K290" s="22">
        <v>3541.64</v>
      </c>
      <c r="L290" s="23" t="s">
        <v>1252</v>
      </c>
      <c r="N290" s="719"/>
      <c r="O290" s="720"/>
      <c r="U290" s="719"/>
      <c r="V290" s="720"/>
      <c r="AB290" s="719"/>
      <c r="AC290" s="720"/>
    </row>
    <row r="291" spans="1:29" ht="13">
      <c r="A291" s="107">
        <v>45818</v>
      </c>
      <c r="B291" s="22"/>
      <c r="C291" s="22">
        <v>177</v>
      </c>
      <c r="D291" s="80" t="s">
        <v>1022</v>
      </c>
      <c r="F291" s="73"/>
      <c r="G291" s="719"/>
      <c r="H291" s="720"/>
      <c r="I291" s="274" t="s">
        <v>888</v>
      </c>
      <c r="J291" s="22"/>
      <c r="K291" s="22">
        <v>15.27</v>
      </c>
      <c r="L291" s="23" t="s">
        <v>1298</v>
      </c>
      <c r="N291" s="719"/>
      <c r="O291" s="720"/>
      <c r="U291" s="719"/>
      <c r="V291" s="720"/>
      <c r="AB291" s="719"/>
      <c r="AC291" s="720"/>
    </row>
    <row r="292" spans="1:29" ht="13">
      <c r="A292" s="83" t="s">
        <v>1366</v>
      </c>
      <c r="B292" s="22">
        <v>6293.37</v>
      </c>
      <c r="C292" s="22"/>
      <c r="D292" s="23" t="s">
        <v>1314</v>
      </c>
      <c r="E292" s="23" t="s">
        <v>1367</v>
      </c>
      <c r="G292" s="719"/>
      <c r="H292" s="720"/>
      <c r="I292" s="83" t="s">
        <v>1368</v>
      </c>
      <c r="K292" s="22">
        <v>25</v>
      </c>
      <c r="L292" s="23" t="s">
        <v>838</v>
      </c>
      <c r="N292" s="719"/>
      <c r="O292" s="720"/>
      <c r="U292" s="719"/>
      <c r="V292" s="720"/>
      <c r="AB292" s="719"/>
      <c r="AC292" s="720"/>
    </row>
    <row r="293" spans="1:29" ht="13">
      <c r="A293" s="274"/>
      <c r="B293" s="22"/>
      <c r="C293" s="22"/>
      <c r="G293" s="719"/>
      <c r="H293" s="720"/>
      <c r="I293" s="83" t="s">
        <v>1368</v>
      </c>
      <c r="J293" s="22">
        <v>13500</v>
      </c>
      <c r="L293" s="23" t="s">
        <v>1131</v>
      </c>
      <c r="M293" s="23" t="s">
        <v>1369</v>
      </c>
      <c r="N293" s="719"/>
      <c r="O293" s="720"/>
      <c r="U293" s="719"/>
      <c r="V293" s="720"/>
      <c r="AB293" s="719"/>
      <c r="AC293" s="720"/>
    </row>
    <row r="294" spans="1:29" ht="13">
      <c r="A294" s="274"/>
      <c r="B294" s="22"/>
      <c r="C294" s="22"/>
      <c r="G294" s="719"/>
      <c r="H294" s="720"/>
      <c r="I294" s="83" t="s">
        <v>822</v>
      </c>
      <c r="J294" s="22"/>
      <c r="K294" s="22">
        <v>1076</v>
      </c>
      <c r="L294" s="23" t="s">
        <v>1137</v>
      </c>
      <c r="N294" s="719"/>
      <c r="O294" s="720"/>
      <c r="U294" s="719"/>
      <c r="V294" s="720"/>
      <c r="AB294" s="719"/>
      <c r="AC294" s="720"/>
    </row>
    <row r="295" spans="1:29" ht="13">
      <c r="A295" s="274"/>
      <c r="B295" s="22"/>
      <c r="C295" s="22"/>
      <c r="G295" s="719"/>
      <c r="H295" s="720"/>
      <c r="I295" s="83" t="s">
        <v>822</v>
      </c>
      <c r="J295" s="22"/>
      <c r="K295" s="22">
        <v>40</v>
      </c>
      <c r="L295" s="23" t="s">
        <v>838</v>
      </c>
      <c r="N295" s="719"/>
      <c r="O295" s="720"/>
      <c r="U295" s="719"/>
      <c r="V295" s="720"/>
      <c r="AB295" s="719"/>
      <c r="AC295" s="720"/>
    </row>
    <row r="296" spans="1:29" ht="13">
      <c r="A296" s="274"/>
      <c r="B296" s="22"/>
      <c r="C296" s="22"/>
      <c r="G296" s="719"/>
      <c r="H296" s="720"/>
      <c r="I296" s="83" t="s">
        <v>822</v>
      </c>
      <c r="J296" s="22"/>
      <c r="K296" s="22">
        <v>1076</v>
      </c>
      <c r="L296" s="23" t="s">
        <v>1359</v>
      </c>
      <c r="N296" s="719"/>
      <c r="O296" s="720"/>
      <c r="U296" s="719"/>
      <c r="V296" s="720"/>
      <c r="AB296" s="719"/>
      <c r="AC296" s="720"/>
    </row>
    <row r="297" spans="1:29" ht="13">
      <c r="A297" s="274"/>
      <c r="B297" s="22"/>
      <c r="C297" s="22"/>
      <c r="G297" s="719"/>
      <c r="H297" s="720"/>
      <c r="I297" s="83" t="s">
        <v>822</v>
      </c>
      <c r="J297" s="22"/>
      <c r="K297" s="22">
        <v>40</v>
      </c>
      <c r="L297" s="23" t="s">
        <v>838</v>
      </c>
      <c r="N297" s="719"/>
      <c r="O297" s="720"/>
      <c r="U297" s="719"/>
      <c r="V297" s="720"/>
      <c r="AB297" s="719"/>
      <c r="AC297" s="720"/>
    </row>
    <row r="298" spans="1:29" ht="13">
      <c r="A298" s="83"/>
      <c r="B298" s="22"/>
      <c r="C298" s="22"/>
      <c r="G298" s="719"/>
      <c r="H298" s="720"/>
      <c r="I298" s="83" t="s">
        <v>822</v>
      </c>
      <c r="J298" s="22"/>
      <c r="K298" s="22">
        <v>1076</v>
      </c>
      <c r="L298" s="23" t="s">
        <v>1119</v>
      </c>
      <c r="N298" s="719"/>
      <c r="O298" s="720"/>
      <c r="U298" s="719"/>
      <c r="V298" s="720"/>
      <c r="AB298" s="719"/>
      <c r="AC298" s="720"/>
    </row>
    <row r="299" spans="1:29" ht="13">
      <c r="A299" s="83"/>
      <c r="B299" s="22"/>
      <c r="C299" s="22"/>
      <c r="G299" s="719"/>
      <c r="H299" s="720"/>
      <c r="I299" s="83" t="s">
        <v>822</v>
      </c>
      <c r="J299" s="22"/>
      <c r="K299" s="22">
        <v>40</v>
      </c>
      <c r="L299" s="23" t="s">
        <v>838</v>
      </c>
      <c r="N299" s="719"/>
      <c r="O299" s="720"/>
      <c r="U299" s="719"/>
      <c r="V299" s="720"/>
      <c r="AB299" s="719"/>
      <c r="AC299" s="720"/>
    </row>
    <row r="300" spans="1:29" ht="13">
      <c r="A300" s="83"/>
      <c r="B300" s="22"/>
      <c r="C300" s="22"/>
      <c r="G300" s="719"/>
      <c r="H300" s="720"/>
      <c r="I300" s="83" t="s">
        <v>822</v>
      </c>
      <c r="J300" s="22"/>
      <c r="K300" s="22">
        <v>812</v>
      </c>
      <c r="L300" s="23" t="s">
        <v>1184</v>
      </c>
      <c r="N300" s="719"/>
      <c r="O300" s="720"/>
      <c r="U300" s="719"/>
      <c r="V300" s="720"/>
      <c r="AB300" s="719"/>
      <c r="AC300" s="720"/>
    </row>
    <row r="301" spans="1:29" ht="13">
      <c r="A301" s="83"/>
      <c r="B301" s="22"/>
      <c r="C301" s="22"/>
      <c r="D301" s="80"/>
      <c r="G301" s="719"/>
      <c r="H301" s="720"/>
      <c r="I301" s="83" t="s">
        <v>822</v>
      </c>
      <c r="J301" s="22"/>
      <c r="K301" s="22">
        <v>40</v>
      </c>
      <c r="L301" s="23" t="s">
        <v>838</v>
      </c>
      <c r="N301" s="719"/>
      <c r="O301" s="720"/>
      <c r="U301" s="719"/>
      <c r="V301" s="720"/>
      <c r="AB301" s="719"/>
      <c r="AC301" s="720"/>
    </row>
    <row r="302" spans="1:29" ht="13">
      <c r="A302" s="274"/>
      <c r="B302" s="22"/>
      <c r="C302" s="22"/>
      <c r="G302" s="719"/>
      <c r="H302" s="720"/>
      <c r="I302" s="83" t="s">
        <v>822</v>
      </c>
      <c r="J302" s="22"/>
      <c r="K302" s="22">
        <v>1168</v>
      </c>
      <c r="L302" s="23" t="s">
        <v>1185</v>
      </c>
      <c r="N302" s="719"/>
      <c r="O302" s="720"/>
      <c r="U302" s="719"/>
      <c r="V302" s="720"/>
      <c r="AB302" s="719"/>
      <c r="AC302" s="720"/>
    </row>
    <row r="303" spans="1:29" ht="13">
      <c r="A303" s="274"/>
      <c r="B303" s="22"/>
      <c r="C303" s="22"/>
      <c r="G303" s="719"/>
      <c r="H303" s="720"/>
      <c r="I303" s="83" t="s">
        <v>822</v>
      </c>
      <c r="J303" s="738"/>
      <c r="K303" s="22">
        <v>40</v>
      </c>
      <c r="L303" s="23" t="s">
        <v>838</v>
      </c>
      <c r="N303" s="719"/>
      <c r="O303" s="720"/>
      <c r="U303" s="719"/>
      <c r="V303" s="720"/>
      <c r="AB303" s="719"/>
      <c r="AC303" s="720"/>
    </row>
    <row r="304" spans="1:29" ht="13">
      <c r="A304" s="274"/>
      <c r="B304" s="22"/>
      <c r="C304" s="22"/>
      <c r="G304" s="719"/>
      <c r="H304" s="720"/>
      <c r="I304" s="83" t="s">
        <v>822</v>
      </c>
      <c r="J304" s="738"/>
      <c r="K304" s="22">
        <v>5500</v>
      </c>
      <c r="L304" s="23" t="s">
        <v>869</v>
      </c>
      <c r="N304" s="719"/>
      <c r="O304" s="720"/>
      <c r="U304" s="719"/>
      <c r="V304" s="720"/>
      <c r="AB304" s="719"/>
      <c r="AC304" s="720"/>
    </row>
    <row r="305" spans="1:29" ht="13">
      <c r="A305" s="83"/>
      <c r="B305" s="22"/>
      <c r="C305" s="22"/>
      <c r="G305" s="719"/>
      <c r="H305" s="720"/>
      <c r="I305" s="83" t="s">
        <v>822</v>
      </c>
      <c r="J305" s="738"/>
      <c r="K305" s="22">
        <v>5500</v>
      </c>
      <c r="L305" s="23" t="s">
        <v>1370</v>
      </c>
      <c r="N305" s="719"/>
      <c r="O305" s="720"/>
      <c r="U305" s="719"/>
      <c r="V305" s="720"/>
      <c r="AB305" s="719"/>
      <c r="AC305" s="720"/>
    </row>
    <row r="306" spans="1:29" ht="13">
      <c r="A306" s="83"/>
      <c r="B306" s="22"/>
      <c r="C306" s="22"/>
      <c r="G306" s="719"/>
      <c r="H306" s="720"/>
      <c r="I306" s="82">
        <v>45505</v>
      </c>
      <c r="K306" s="22">
        <v>2093.19</v>
      </c>
      <c r="L306" s="23" t="s">
        <v>1252</v>
      </c>
      <c r="N306" s="719"/>
      <c r="O306" s="720"/>
      <c r="U306" s="719"/>
      <c r="V306" s="720"/>
      <c r="AB306" s="719"/>
      <c r="AC306" s="720"/>
    </row>
    <row r="307" spans="1:29" ht="13">
      <c r="A307" s="83"/>
      <c r="B307" s="22"/>
      <c r="C307" s="22"/>
      <c r="G307" s="719"/>
      <c r="H307" s="720"/>
      <c r="I307" s="82">
        <v>45536</v>
      </c>
      <c r="J307" s="22"/>
      <c r="K307" s="22">
        <v>209</v>
      </c>
      <c r="L307" s="23" t="s">
        <v>961</v>
      </c>
      <c r="M307" s="23" t="s">
        <v>1371</v>
      </c>
      <c r="N307" s="719"/>
      <c r="O307" s="720"/>
      <c r="U307" s="719"/>
      <c r="V307" s="720"/>
      <c r="AB307" s="719"/>
      <c r="AC307" s="720"/>
    </row>
    <row r="308" spans="1:29" ht="13">
      <c r="A308" s="83"/>
      <c r="B308" s="22"/>
      <c r="C308" s="22"/>
      <c r="G308" s="719"/>
      <c r="H308" s="720"/>
      <c r="I308" s="82">
        <v>45536</v>
      </c>
      <c r="J308" s="22"/>
      <c r="K308" s="22">
        <v>1.9</v>
      </c>
      <c r="L308" s="23" t="s">
        <v>838</v>
      </c>
      <c r="N308" s="719"/>
      <c r="O308" s="720"/>
      <c r="U308" s="719"/>
      <c r="V308" s="720"/>
      <c r="AB308" s="719"/>
      <c r="AC308" s="720"/>
    </row>
    <row r="309" spans="1:29" ht="13">
      <c r="A309" s="83"/>
      <c r="B309" s="22"/>
      <c r="C309" s="22"/>
      <c r="G309" s="719"/>
      <c r="H309" s="720"/>
      <c r="I309" s="82">
        <v>45566</v>
      </c>
      <c r="J309" s="22">
        <v>3850</v>
      </c>
      <c r="K309" s="22"/>
      <c r="L309" s="23" t="s">
        <v>1104</v>
      </c>
      <c r="M309" s="23" t="s">
        <v>1372</v>
      </c>
      <c r="N309" s="719"/>
      <c r="O309" s="720"/>
      <c r="U309" s="719"/>
      <c r="V309" s="720"/>
      <c r="AB309" s="719"/>
      <c r="AC309" s="720"/>
    </row>
    <row r="310" spans="1:29" ht="13">
      <c r="A310" s="83"/>
      <c r="B310" s="22"/>
      <c r="C310" s="22"/>
      <c r="G310" s="719"/>
      <c r="H310" s="720"/>
      <c r="I310" s="82">
        <v>45627</v>
      </c>
      <c r="J310" s="22"/>
      <c r="K310" s="22">
        <v>80.72</v>
      </c>
      <c r="L310" s="23" t="s">
        <v>1373</v>
      </c>
      <c r="N310" s="719"/>
      <c r="O310" s="720"/>
      <c r="U310" s="719"/>
      <c r="V310" s="720"/>
      <c r="AB310" s="719"/>
      <c r="AC310" s="720"/>
    </row>
    <row r="311" spans="1:29" ht="13">
      <c r="A311" s="274"/>
      <c r="B311" s="22"/>
      <c r="C311" s="22"/>
      <c r="G311" s="719"/>
      <c r="H311" s="720"/>
      <c r="I311" s="82">
        <v>45627</v>
      </c>
      <c r="J311" s="22"/>
      <c r="K311" s="22">
        <v>1.9</v>
      </c>
      <c r="L311" s="23" t="s">
        <v>838</v>
      </c>
      <c r="N311" s="719"/>
      <c r="O311" s="720"/>
      <c r="U311" s="719"/>
      <c r="V311" s="720"/>
      <c r="AB311" s="719"/>
      <c r="AC311" s="720"/>
    </row>
    <row r="312" spans="1:29" ht="13">
      <c r="A312" s="274"/>
      <c r="B312" s="22"/>
      <c r="C312" s="22"/>
      <c r="G312" s="719"/>
      <c r="H312" s="720"/>
      <c r="I312" s="83" t="s">
        <v>970</v>
      </c>
      <c r="J312" s="22"/>
      <c r="K312" s="22">
        <v>1782</v>
      </c>
      <c r="L312" s="23" t="s">
        <v>961</v>
      </c>
      <c r="N312" s="719"/>
      <c r="O312" s="720"/>
      <c r="U312" s="719"/>
      <c r="V312" s="720"/>
      <c r="AB312" s="719"/>
      <c r="AC312" s="720"/>
    </row>
    <row r="313" spans="1:29" ht="13">
      <c r="A313" s="274"/>
      <c r="B313" s="22"/>
      <c r="C313" s="22"/>
      <c r="G313" s="719"/>
      <c r="H313" s="720"/>
      <c r="I313" s="83" t="s">
        <v>970</v>
      </c>
      <c r="J313" s="22"/>
      <c r="K313" s="22">
        <v>1.9</v>
      </c>
      <c r="L313" s="23" t="s">
        <v>838</v>
      </c>
      <c r="N313" s="719"/>
      <c r="O313" s="720"/>
      <c r="U313" s="719"/>
      <c r="V313" s="720"/>
      <c r="AB313" s="719"/>
      <c r="AC313" s="720"/>
    </row>
    <row r="314" spans="1:29" ht="13">
      <c r="A314" s="274"/>
      <c r="B314" s="22"/>
      <c r="C314" s="22"/>
      <c r="G314" s="719"/>
      <c r="H314" s="720"/>
      <c r="I314" s="83" t="s">
        <v>1374</v>
      </c>
      <c r="J314" s="22"/>
      <c r="K314" s="22">
        <v>1690</v>
      </c>
      <c r="L314" s="23" t="s">
        <v>1185</v>
      </c>
      <c r="M314" s="23" t="s">
        <v>1375</v>
      </c>
      <c r="N314" s="719"/>
      <c r="O314" s="720"/>
      <c r="U314" s="719"/>
      <c r="V314" s="720"/>
      <c r="AB314" s="719"/>
      <c r="AC314" s="720"/>
    </row>
    <row r="315" spans="1:29" ht="13">
      <c r="A315" s="83"/>
      <c r="B315" s="22"/>
      <c r="C315" s="22"/>
      <c r="G315" s="719"/>
      <c r="H315" s="720"/>
      <c r="I315" s="83" t="s">
        <v>1374</v>
      </c>
      <c r="J315" s="22"/>
      <c r="K315" s="22">
        <v>40</v>
      </c>
      <c r="L315" s="23" t="s">
        <v>838</v>
      </c>
      <c r="N315" s="719"/>
      <c r="O315" s="720"/>
      <c r="U315" s="719"/>
      <c r="V315" s="720"/>
      <c r="AB315" s="719"/>
      <c r="AC315" s="720"/>
    </row>
    <row r="316" spans="1:29" ht="13">
      <c r="A316" s="83"/>
      <c r="B316" s="22"/>
      <c r="C316" s="22"/>
      <c r="G316" s="719"/>
      <c r="H316" s="720"/>
      <c r="I316" s="83" t="s">
        <v>1374</v>
      </c>
      <c r="J316" s="22"/>
      <c r="K316" s="22">
        <v>127.64</v>
      </c>
      <c r="L316" s="23" t="s">
        <v>1376</v>
      </c>
      <c r="N316" s="719"/>
      <c r="O316" s="720"/>
      <c r="U316" s="719"/>
      <c r="V316" s="720"/>
      <c r="AB316" s="719"/>
      <c r="AC316" s="720"/>
    </row>
    <row r="317" spans="1:29" ht="13">
      <c r="A317" s="83"/>
      <c r="B317" s="22"/>
      <c r="C317" s="22"/>
      <c r="G317" s="719"/>
      <c r="H317" s="720"/>
      <c r="I317" s="83" t="s">
        <v>1377</v>
      </c>
      <c r="J317" s="22"/>
      <c r="K317" s="22">
        <v>25</v>
      </c>
      <c r="L317" s="23" t="s">
        <v>838</v>
      </c>
      <c r="N317" s="719"/>
      <c r="O317" s="720"/>
      <c r="U317" s="719"/>
      <c r="V317" s="720"/>
      <c r="AB317" s="719"/>
      <c r="AC317" s="720"/>
    </row>
    <row r="318" spans="1:29" ht="13">
      <c r="A318" s="83"/>
      <c r="B318" s="22"/>
      <c r="C318" s="22"/>
      <c r="G318" s="719"/>
      <c r="H318" s="720"/>
      <c r="I318" s="83" t="s">
        <v>1377</v>
      </c>
      <c r="J318" s="22">
        <v>12405</v>
      </c>
      <c r="K318" s="22"/>
      <c r="L318" s="23" t="s">
        <v>1131</v>
      </c>
      <c r="M318" s="23" t="s">
        <v>1378</v>
      </c>
      <c r="N318" s="719"/>
      <c r="O318" s="720"/>
      <c r="U318" s="719"/>
      <c r="V318" s="720"/>
      <c r="AB318" s="719"/>
      <c r="AC318" s="720"/>
    </row>
    <row r="319" spans="1:29" ht="13">
      <c r="A319" s="83"/>
      <c r="B319" s="22"/>
      <c r="C319" s="22"/>
      <c r="G319" s="719"/>
      <c r="H319" s="720"/>
      <c r="I319" s="107">
        <v>45293</v>
      </c>
      <c r="J319" s="22"/>
      <c r="K319" s="22">
        <v>1076</v>
      </c>
      <c r="L319" s="23" t="s">
        <v>1087</v>
      </c>
      <c r="N319" s="719"/>
      <c r="O319" s="720"/>
      <c r="U319" s="719"/>
      <c r="V319" s="720"/>
      <c r="AB319" s="719"/>
      <c r="AC319" s="720"/>
    </row>
    <row r="320" spans="1:29" ht="13">
      <c r="A320" s="83"/>
      <c r="B320" s="22"/>
      <c r="C320" s="22"/>
      <c r="G320" s="719"/>
      <c r="H320" s="720"/>
      <c r="I320" s="107">
        <v>45293</v>
      </c>
      <c r="J320" s="22"/>
      <c r="K320" s="22">
        <v>40</v>
      </c>
      <c r="L320" s="23" t="s">
        <v>838</v>
      </c>
      <c r="N320" s="719"/>
      <c r="O320" s="720"/>
      <c r="U320" s="719"/>
      <c r="V320" s="720"/>
      <c r="AB320" s="719"/>
      <c r="AC320" s="720"/>
    </row>
    <row r="321" spans="1:29" ht="13">
      <c r="A321" s="83"/>
      <c r="B321" s="22"/>
      <c r="C321" s="22"/>
      <c r="G321" s="719"/>
      <c r="H321" s="720"/>
      <c r="I321" s="107">
        <v>45293</v>
      </c>
      <c r="J321" s="22"/>
      <c r="K321" s="22">
        <v>1107</v>
      </c>
      <c r="L321" s="23" t="s">
        <v>1078</v>
      </c>
      <c r="M321" s="23" t="s">
        <v>1379</v>
      </c>
      <c r="N321" s="719"/>
      <c r="O321" s="720"/>
      <c r="U321" s="719"/>
      <c r="V321" s="720"/>
      <c r="AB321" s="719"/>
      <c r="AC321" s="720"/>
    </row>
    <row r="322" spans="1:29" ht="13">
      <c r="A322" s="83"/>
      <c r="B322" s="22"/>
      <c r="C322" s="22"/>
      <c r="G322" s="719"/>
      <c r="H322" s="720"/>
      <c r="I322" s="107">
        <v>45293</v>
      </c>
      <c r="J322" s="22"/>
      <c r="K322" s="22">
        <v>40</v>
      </c>
      <c r="L322" s="23" t="s">
        <v>838</v>
      </c>
      <c r="N322" s="719"/>
      <c r="O322" s="720"/>
      <c r="U322" s="719"/>
      <c r="V322" s="720"/>
      <c r="AB322" s="719"/>
      <c r="AC322" s="720"/>
    </row>
    <row r="323" spans="1:29" ht="13">
      <c r="A323" s="83"/>
      <c r="B323" s="22"/>
      <c r="C323" s="22"/>
      <c r="G323" s="719"/>
      <c r="H323" s="720"/>
      <c r="I323" s="107">
        <v>45293</v>
      </c>
      <c r="J323" s="22"/>
      <c r="K323" s="22">
        <v>1076</v>
      </c>
      <c r="L323" s="23" t="s">
        <v>1119</v>
      </c>
      <c r="N323" s="719"/>
      <c r="O323" s="720"/>
      <c r="U323" s="719"/>
      <c r="V323" s="720"/>
      <c r="AB323" s="719"/>
      <c r="AC323" s="720"/>
    </row>
    <row r="324" spans="1:29" ht="13">
      <c r="A324" s="83"/>
      <c r="B324" s="22"/>
      <c r="C324" s="22"/>
      <c r="G324" s="719"/>
      <c r="H324" s="720"/>
      <c r="I324" s="107">
        <v>45293</v>
      </c>
      <c r="J324" s="22"/>
      <c r="K324" s="22">
        <v>40</v>
      </c>
      <c r="L324" s="23" t="s">
        <v>838</v>
      </c>
      <c r="N324" s="719"/>
      <c r="O324" s="720"/>
      <c r="U324" s="719"/>
      <c r="V324" s="720"/>
      <c r="AB324" s="719"/>
      <c r="AC324" s="720"/>
    </row>
    <row r="325" spans="1:29" ht="13">
      <c r="A325" s="83"/>
      <c r="B325" s="22"/>
      <c r="C325" s="22"/>
      <c r="G325" s="719"/>
      <c r="H325" s="720"/>
      <c r="I325" s="107">
        <v>45293</v>
      </c>
      <c r="J325" s="22"/>
      <c r="K325" s="22">
        <v>2068</v>
      </c>
      <c r="L325" s="23" t="s">
        <v>961</v>
      </c>
      <c r="N325" s="719"/>
      <c r="O325" s="720"/>
      <c r="U325" s="719"/>
      <c r="V325" s="720"/>
      <c r="AB325" s="719"/>
      <c r="AC325" s="720"/>
    </row>
    <row r="326" spans="1:29" ht="13">
      <c r="A326" s="83"/>
      <c r="B326" s="22"/>
      <c r="C326" s="22"/>
      <c r="G326" s="719"/>
      <c r="H326" s="720"/>
      <c r="I326" s="107">
        <v>45293</v>
      </c>
      <c r="J326" s="22"/>
      <c r="K326" s="22">
        <v>1.9</v>
      </c>
      <c r="L326" s="23" t="s">
        <v>838</v>
      </c>
      <c r="N326" s="719"/>
      <c r="O326" s="720"/>
      <c r="U326" s="719"/>
      <c r="V326" s="720"/>
      <c r="AB326" s="719"/>
      <c r="AC326" s="720"/>
    </row>
    <row r="327" spans="1:29" ht="13">
      <c r="A327" s="83"/>
      <c r="B327" s="22"/>
      <c r="C327" s="22"/>
      <c r="G327" s="719"/>
      <c r="H327" s="720"/>
      <c r="I327" s="107">
        <v>45293</v>
      </c>
      <c r="J327" s="22"/>
      <c r="K327" s="22">
        <v>812</v>
      </c>
      <c r="L327" s="23" t="s">
        <v>1153</v>
      </c>
      <c r="N327" s="719"/>
      <c r="O327" s="720"/>
      <c r="U327" s="719"/>
      <c r="V327" s="720"/>
      <c r="AB327" s="719"/>
      <c r="AC327" s="720"/>
    </row>
    <row r="328" spans="1:29" ht="13">
      <c r="A328" s="83"/>
      <c r="B328" s="22"/>
      <c r="C328" s="22"/>
      <c r="G328" s="719"/>
      <c r="H328" s="720"/>
      <c r="I328" s="107">
        <v>45293</v>
      </c>
      <c r="J328" s="22"/>
      <c r="K328" s="22">
        <v>40</v>
      </c>
      <c r="L328" s="23" t="s">
        <v>838</v>
      </c>
      <c r="N328" s="719"/>
      <c r="O328" s="720"/>
      <c r="U328" s="719"/>
      <c r="V328" s="720"/>
      <c r="AB328" s="719"/>
      <c r="AC328" s="720"/>
    </row>
    <row r="329" spans="1:29" ht="13">
      <c r="A329" s="83"/>
      <c r="B329" s="22"/>
      <c r="C329" s="22"/>
      <c r="G329" s="719"/>
      <c r="H329" s="720"/>
      <c r="I329" s="82">
        <v>45445</v>
      </c>
      <c r="J329" s="22"/>
      <c r="K329" s="22">
        <v>280</v>
      </c>
      <c r="L329" s="23" t="s">
        <v>1380</v>
      </c>
      <c r="N329" s="719"/>
      <c r="O329" s="720"/>
      <c r="U329" s="719"/>
      <c r="V329" s="720"/>
      <c r="AB329" s="719"/>
      <c r="AC329" s="720"/>
    </row>
    <row r="330" spans="1:29" ht="13">
      <c r="A330" s="83"/>
      <c r="B330" s="22"/>
      <c r="C330" s="22"/>
      <c r="G330" s="719"/>
      <c r="H330" s="720"/>
      <c r="I330" s="82">
        <v>45445</v>
      </c>
      <c r="J330" s="22"/>
      <c r="K330" s="22">
        <v>230.9</v>
      </c>
      <c r="L330" s="23" t="s">
        <v>1252</v>
      </c>
      <c r="N330" s="719"/>
      <c r="O330" s="720"/>
      <c r="U330" s="719"/>
      <c r="V330" s="720"/>
      <c r="AB330" s="719"/>
      <c r="AC330" s="720"/>
    </row>
    <row r="331" spans="1:29" ht="13">
      <c r="A331" s="83"/>
      <c r="B331" s="22"/>
      <c r="C331" s="22"/>
      <c r="G331" s="719"/>
      <c r="H331" s="720"/>
      <c r="I331" s="82">
        <v>45445</v>
      </c>
      <c r="J331" s="22"/>
      <c r="K331" s="22">
        <v>1079.1199999999999</v>
      </c>
      <c r="L331" s="23" t="s">
        <v>1252</v>
      </c>
      <c r="N331" s="719"/>
      <c r="O331" s="720"/>
      <c r="U331" s="719"/>
      <c r="V331" s="720"/>
      <c r="AB331" s="719"/>
      <c r="AC331" s="720"/>
    </row>
    <row r="332" spans="1:29" ht="13">
      <c r="A332" s="83"/>
      <c r="B332" s="22"/>
      <c r="C332" s="22"/>
      <c r="G332" s="719"/>
      <c r="H332" s="720"/>
      <c r="I332" s="83" t="s">
        <v>1381</v>
      </c>
      <c r="J332" s="22">
        <v>4000</v>
      </c>
      <c r="K332" s="22"/>
      <c r="L332" s="23" t="s">
        <v>1104</v>
      </c>
      <c r="M332" s="23" t="s">
        <v>1382</v>
      </c>
      <c r="N332" s="719"/>
      <c r="O332" s="720"/>
      <c r="U332" s="719"/>
      <c r="V332" s="720"/>
      <c r="AB332" s="719"/>
      <c r="AC332" s="720"/>
    </row>
    <row r="333" spans="1:29" ht="13">
      <c r="A333" s="83"/>
      <c r="B333" s="22"/>
      <c r="C333" s="22"/>
      <c r="G333" s="719"/>
      <c r="H333" s="720"/>
      <c r="I333" s="83" t="s">
        <v>1381</v>
      </c>
      <c r="J333" s="22"/>
      <c r="K333" s="22">
        <v>25</v>
      </c>
      <c r="L333" s="23" t="s">
        <v>838</v>
      </c>
      <c r="N333" s="719"/>
      <c r="O333" s="720"/>
      <c r="U333" s="719"/>
      <c r="V333" s="720"/>
      <c r="AB333" s="719"/>
      <c r="AC333" s="720"/>
    </row>
    <row r="334" spans="1:29" ht="13">
      <c r="A334" s="83"/>
      <c r="B334" s="22"/>
      <c r="C334" s="22"/>
      <c r="G334" s="719"/>
      <c r="H334" s="720"/>
      <c r="I334" s="83" t="s">
        <v>1381</v>
      </c>
      <c r="J334" s="22">
        <v>11814</v>
      </c>
      <c r="K334" s="22"/>
      <c r="L334" s="23" t="s">
        <v>1131</v>
      </c>
      <c r="M334" s="23" t="s">
        <v>1383</v>
      </c>
      <c r="N334" s="719"/>
      <c r="O334" s="720"/>
      <c r="U334" s="719"/>
      <c r="V334" s="720"/>
      <c r="AB334" s="719"/>
      <c r="AC334" s="720"/>
    </row>
    <row r="335" spans="1:29" ht="13">
      <c r="A335" s="83"/>
      <c r="B335" s="22"/>
      <c r="C335" s="22"/>
      <c r="G335" s="719"/>
      <c r="H335" s="720"/>
      <c r="I335" s="83" t="s">
        <v>894</v>
      </c>
      <c r="J335" s="22"/>
      <c r="K335" s="22">
        <v>14.38</v>
      </c>
      <c r="L335" s="23" t="s">
        <v>1384</v>
      </c>
      <c r="N335" s="719"/>
      <c r="O335" s="720"/>
      <c r="U335" s="719"/>
      <c r="V335" s="720"/>
      <c r="AB335" s="719"/>
      <c r="AC335" s="720"/>
    </row>
    <row r="336" spans="1:29" ht="13">
      <c r="A336" s="83"/>
      <c r="B336" s="22"/>
      <c r="C336" s="22"/>
      <c r="G336" s="719"/>
      <c r="H336" s="720"/>
      <c r="I336" s="83" t="s">
        <v>1385</v>
      </c>
      <c r="J336" s="22">
        <v>880</v>
      </c>
      <c r="L336" s="23" t="s">
        <v>1104</v>
      </c>
      <c r="M336" s="23" t="s">
        <v>1386</v>
      </c>
      <c r="N336" s="719"/>
      <c r="O336" s="720"/>
      <c r="U336" s="719"/>
      <c r="V336" s="720"/>
      <c r="AB336" s="719"/>
      <c r="AC336" s="720"/>
    </row>
    <row r="337" spans="1:29" ht="13">
      <c r="A337" s="83"/>
      <c r="B337" s="22"/>
      <c r="C337" s="22"/>
      <c r="G337" s="719"/>
      <c r="H337" s="720"/>
      <c r="I337" s="107">
        <v>45294</v>
      </c>
      <c r="J337" s="22"/>
      <c r="K337" s="22">
        <v>1107</v>
      </c>
      <c r="L337" s="23" t="s">
        <v>1078</v>
      </c>
      <c r="N337" s="719"/>
      <c r="O337" s="720"/>
      <c r="U337" s="719"/>
      <c r="V337" s="720"/>
      <c r="AB337" s="719"/>
      <c r="AC337" s="720"/>
    </row>
    <row r="338" spans="1:29" ht="13">
      <c r="A338" s="83"/>
      <c r="B338" s="22"/>
      <c r="C338" s="22"/>
      <c r="G338" s="719"/>
      <c r="H338" s="720"/>
      <c r="I338" s="107">
        <v>45294</v>
      </c>
      <c r="J338" s="22"/>
      <c r="K338" s="22">
        <v>40</v>
      </c>
      <c r="L338" s="23" t="s">
        <v>838</v>
      </c>
      <c r="N338" s="719"/>
      <c r="O338" s="720"/>
      <c r="U338" s="719"/>
      <c r="V338" s="720"/>
      <c r="AB338" s="719"/>
      <c r="AC338" s="720"/>
    </row>
    <row r="339" spans="1:29" ht="13">
      <c r="A339" s="83"/>
      <c r="B339" s="22"/>
      <c r="C339" s="22"/>
      <c r="G339" s="719"/>
      <c r="H339" s="720"/>
      <c r="I339" s="107">
        <v>45294</v>
      </c>
      <c r="K339" s="22">
        <v>1076</v>
      </c>
      <c r="L339" s="23" t="s">
        <v>1087</v>
      </c>
      <c r="N339" s="719"/>
      <c r="O339" s="720"/>
      <c r="U339" s="719"/>
      <c r="V339" s="720"/>
      <c r="AB339" s="719"/>
      <c r="AC339" s="720"/>
    </row>
    <row r="340" spans="1:29" ht="13">
      <c r="A340" s="83"/>
      <c r="B340" s="22"/>
      <c r="C340" s="22"/>
      <c r="G340" s="719"/>
      <c r="H340" s="720"/>
      <c r="I340" s="107">
        <v>45294</v>
      </c>
      <c r="K340" s="22">
        <v>40</v>
      </c>
      <c r="L340" s="23" t="s">
        <v>838</v>
      </c>
      <c r="N340" s="719"/>
      <c r="O340" s="720"/>
      <c r="U340" s="719"/>
      <c r="V340" s="720"/>
      <c r="AB340" s="719"/>
      <c r="AC340" s="720"/>
    </row>
    <row r="341" spans="1:29" ht="13">
      <c r="A341" s="83"/>
      <c r="B341" s="22"/>
      <c r="C341" s="22"/>
      <c r="E341" s="109"/>
      <c r="G341" s="719"/>
      <c r="H341" s="720"/>
      <c r="I341" s="107">
        <v>45294</v>
      </c>
      <c r="K341" s="22">
        <v>1076</v>
      </c>
      <c r="L341" s="23" t="s">
        <v>1119</v>
      </c>
      <c r="N341" s="719"/>
      <c r="O341" s="720"/>
      <c r="U341" s="719"/>
      <c r="V341" s="720"/>
      <c r="AB341" s="719"/>
      <c r="AC341" s="720"/>
    </row>
    <row r="342" spans="1:29" ht="13">
      <c r="A342" s="83"/>
      <c r="B342" s="22"/>
      <c r="C342" s="22"/>
      <c r="G342" s="719"/>
      <c r="H342" s="720"/>
      <c r="I342" s="107">
        <v>45294</v>
      </c>
      <c r="K342" s="22">
        <v>40</v>
      </c>
      <c r="L342" s="23" t="s">
        <v>838</v>
      </c>
      <c r="N342" s="719"/>
      <c r="O342" s="720"/>
      <c r="U342" s="719"/>
      <c r="V342" s="720"/>
      <c r="AB342" s="719"/>
      <c r="AC342" s="720"/>
    </row>
    <row r="343" spans="1:29" ht="13">
      <c r="A343" s="83"/>
      <c r="B343" s="22"/>
      <c r="C343" s="22"/>
      <c r="G343" s="719"/>
      <c r="H343" s="720"/>
      <c r="I343" s="107">
        <v>45294</v>
      </c>
      <c r="K343" s="22">
        <v>812</v>
      </c>
      <c r="L343" s="23" t="s">
        <v>1153</v>
      </c>
      <c r="N343" s="719"/>
      <c r="O343" s="720"/>
      <c r="U343" s="719"/>
      <c r="V343" s="720"/>
      <c r="AB343" s="719"/>
      <c r="AC343" s="720"/>
    </row>
    <row r="344" spans="1:29" ht="13">
      <c r="A344" s="83"/>
      <c r="B344" s="22"/>
      <c r="C344" s="22"/>
      <c r="G344" s="719"/>
      <c r="H344" s="720"/>
      <c r="I344" s="107">
        <v>45294</v>
      </c>
      <c r="K344" s="22">
        <v>40</v>
      </c>
      <c r="L344" s="23" t="s">
        <v>838</v>
      </c>
      <c r="N344" s="719"/>
      <c r="O344" s="720"/>
      <c r="U344" s="719"/>
      <c r="V344" s="720"/>
      <c r="AB344" s="719"/>
      <c r="AC344" s="720"/>
    </row>
    <row r="345" spans="1:29" ht="13">
      <c r="A345" s="83"/>
      <c r="B345" s="22"/>
      <c r="C345" s="22"/>
      <c r="G345" s="719"/>
      <c r="H345" s="720"/>
      <c r="I345" s="107">
        <v>45415</v>
      </c>
      <c r="K345" s="22">
        <v>1725</v>
      </c>
      <c r="L345" s="23" t="s">
        <v>1387</v>
      </c>
      <c r="M345" s="23" t="s">
        <v>1388</v>
      </c>
      <c r="N345" s="719"/>
      <c r="O345" s="720"/>
      <c r="U345" s="719"/>
      <c r="V345" s="720"/>
      <c r="AB345" s="719"/>
      <c r="AC345" s="720"/>
    </row>
    <row r="346" spans="1:29" ht="13">
      <c r="A346" s="83"/>
      <c r="B346" s="22"/>
      <c r="C346" s="22"/>
      <c r="G346" s="719"/>
      <c r="H346" s="720"/>
      <c r="I346" s="107">
        <v>45415</v>
      </c>
      <c r="K346" s="22">
        <v>15</v>
      </c>
      <c r="L346" s="23" t="s">
        <v>1387</v>
      </c>
      <c r="M346" s="23" t="s">
        <v>1389</v>
      </c>
      <c r="N346" s="719"/>
      <c r="O346" s="720"/>
      <c r="U346" s="719"/>
      <c r="V346" s="720"/>
      <c r="AB346" s="719"/>
      <c r="AC346" s="720"/>
    </row>
    <row r="347" spans="1:29" ht="13">
      <c r="A347" s="83"/>
      <c r="B347" s="22"/>
      <c r="C347" s="22"/>
      <c r="G347" s="719"/>
      <c r="H347" s="720"/>
      <c r="I347" s="107">
        <v>45599</v>
      </c>
      <c r="K347" s="22">
        <v>1161.6600000000001</v>
      </c>
      <c r="L347" s="23" t="s">
        <v>1252</v>
      </c>
      <c r="N347" s="719"/>
      <c r="O347" s="720"/>
      <c r="U347" s="719"/>
      <c r="V347" s="720"/>
      <c r="AB347" s="719"/>
      <c r="AC347" s="720"/>
    </row>
    <row r="348" spans="1:29" ht="13">
      <c r="A348" s="83"/>
      <c r="B348" s="22"/>
      <c r="C348" s="22"/>
      <c r="G348" s="719"/>
      <c r="H348" s="720"/>
      <c r="I348" s="83" t="s">
        <v>1390</v>
      </c>
      <c r="J348" s="22">
        <v>1982.5</v>
      </c>
      <c r="L348" s="23" t="s">
        <v>1104</v>
      </c>
      <c r="M348" s="23" t="s">
        <v>1391</v>
      </c>
      <c r="N348" s="719"/>
      <c r="O348" s="720"/>
      <c r="U348" s="719"/>
      <c r="V348" s="720"/>
      <c r="AB348" s="719"/>
      <c r="AC348" s="720"/>
    </row>
    <row r="349" spans="1:29" ht="13">
      <c r="A349" s="83"/>
      <c r="B349" s="22"/>
      <c r="C349" s="22"/>
      <c r="G349" s="719"/>
      <c r="H349" s="720"/>
      <c r="I349" s="82">
        <v>45295</v>
      </c>
      <c r="K349" s="22">
        <v>1138</v>
      </c>
      <c r="L349" s="23" t="s">
        <v>1078</v>
      </c>
      <c r="N349" s="719"/>
      <c r="O349" s="720"/>
      <c r="U349" s="719"/>
      <c r="V349" s="720"/>
      <c r="AB349" s="719"/>
      <c r="AC349" s="720"/>
    </row>
    <row r="350" spans="1:29" ht="13">
      <c r="A350" s="83"/>
      <c r="B350" s="22"/>
      <c r="C350" s="22"/>
      <c r="G350" s="719"/>
      <c r="H350" s="720"/>
      <c r="I350" s="82">
        <v>45295</v>
      </c>
      <c r="K350" s="22">
        <v>40</v>
      </c>
      <c r="L350" s="23" t="s">
        <v>838</v>
      </c>
      <c r="N350" s="719"/>
      <c r="O350" s="720"/>
      <c r="U350" s="719"/>
      <c r="V350" s="720"/>
      <c r="AB350" s="719"/>
      <c r="AC350" s="720"/>
    </row>
    <row r="351" spans="1:29" ht="13">
      <c r="A351" s="83"/>
      <c r="B351" s="22"/>
      <c r="C351" s="22"/>
      <c r="G351" s="719"/>
      <c r="H351" s="720"/>
      <c r="I351" s="82">
        <v>45295</v>
      </c>
      <c r="K351" s="22">
        <v>1076</v>
      </c>
      <c r="L351" s="23" t="s">
        <v>1087</v>
      </c>
      <c r="N351" s="719"/>
      <c r="O351" s="720"/>
      <c r="U351" s="719"/>
      <c r="V351" s="720"/>
      <c r="AB351" s="719"/>
      <c r="AC351" s="720"/>
    </row>
    <row r="352" spans="1:29" ht="13">
      <c r="A352" s="83"/>
      <c r="B352" s="22"/>
      <c r="C352" s="22"/>
      <c r="G352" s="719"/>
      <c r="H352" s="720"/>
      <c r="I352" s="82">
        <v>45295</v>
      </c>
      <c r="J352" s="22"/>
      <c r="K352" s="22">
        <v>40</v>
      </c>
      <c r="L352" s="23" t="s">
        <v>838</v>
      </c>
      <c r="N352" s="719"/>
      <c r="O352" s="720"/>
      <c r="U352" s="719"/>
      <c r="V352" s="720"/>
      <c r="AB352" s="719"/>
      <c r="AC352" s="720"/>
    </row>
    <row r="353" spans="1:29" ht="13">
      <c r="A353" s="83"/>
      <c r="B353" s="22"/>
      <c r="C353" s="22"/>
      <c r="G353" s="719"/>
      <c r="H353" s="720"/>
      <c r="I353" s="82">
        <v>45295</v>
      </c>
      <c r="J353" s="22"/>
      <c r="K353" s="22">
        <v>1076</v>
      </c>
      <c r="L353" s="23" t="s">
        <v>1119</v>
      </c>
      <c r="N353" s="719"/>
      <c r="O353" s="720"/>
      <c r="U353" s="719"/>
      <c r="V353" s="720"/>
      <c r="AB353" s="719"/>
      <c r="AC353" s="720"/>
    </row>
    <row r="354" spans="1:29" ht="13">
      <c r="A354" s="107"/>
      <c r="B354" s="22"/>
      <c r="C354" s="22"/>
      <c r="G354" s="719"/>
      <c r="H354" s="720"/>
      <c r="I354" s="82">
        <v>45295</v>
      </c>
      <c r="J354" s="22"/>
      <c r="K354" s="22">
        <v>40</v>
      </c>
      <c r="L354" s="23" t="s">
        <v>838</v>
      </c>
      <c r="N354" s="719"/>
      <c r="O354" s="720"/>
      <c r="U354" s="719"/>
      <c r="V354" s="720"/>
      <c r="AB354" s="719"/>
      <c r="AC354" s="720"/>
    </row>
    <row r="355" spans="1:29" ht="13">
      <c r="A355" s="107"/>
      <c r="B355" s="22"/>
      <c r="C355" s="22"/>
      <c r="G355" s="719"/>
      <c r="H355" s="720"/>
      <c r="I355" s="82">
        <v>45295</v>
      </c>
      <c r="J355" s="22"/>
      <c r="K355" s="22">
        <v>812</v>
      </c>
      <c r="L355" s="23" t="s">
        <v>1153</v>
      </c>
      <c r="N355" s="719"/>
      <c r="O355" s="720"/>
      <c r="U355" s="719"/>
      <c r="V355" s="720"/>
      <c r="AB355" s="719"/>
      <c r="AC355" s="720"/>
    </row>
    <row r="356" spans="1:29" ht="13">
      <c r="A356" s="107"/>
      <c r="B356" s="22"/>
      <c r="C356" s="22"/>
      <c r="G356" s="719"/>
      <c r="H356" s="720"/>
      <c r="I356" s="82">
        <v>45295</v>
      </c>
      <c r="J356" s="22"/>
      <c r="K356" s="22">
        <v>40</v>
      </c>
      <c r="L356" s="23" t="s">
        <v>838</v>
      </c>
      <c r="N356" s="719"/>
      <c r="O356" s="720"/>
      <c r="U356" s="719"/>
      <c r="V356" s="720"/>
      <c r="AB356" s="719"/>
      <c r="AC356" s="720"/>
    </row>
    <row r="357" spans="1:29" ht="13">
      <c r="A357" s="83"/>
      <c r="B357" s="22"/>
      <c r="C357" s="22"/>
      <c r="G357" s="719"/>
      <c r="H357" s="720"/>
      <c r="I357" s="82">
        <v>45508</v>
      </c>
      <c r="K357" s="22">
        <v>1045.33</v>
      </c>
      <c r="L357" s="23" t="s">
        <v>1252</v>
      </c>
      <c r="N357" s="719"/>
      <c r="O357" s="720"/>
      <c r="U357" s="719"/>
      <c r="V357" s="720"/>
      <c r="AB357" s="719"/>
      <c r="AC357" s="720"/>
    </row>
    <row r="358" spans="1:29" ht="13">
      <c r="A358" s="83"/>
      <c r="B358" s="22"/>
      <c r="C358" s="22"/>
      <c r="G358" s="719"/>
      <c r="H358" s="720"/>
      <c r="I358" s="82">
        <v>45569</v>
      </c>
      <c r="K358" s="22">
        <v>33.83</v>
      </c>
      <c r="L358" s="23" t="s">
        <v>838</v>
      </c>
      <c r="N358" s="719"/>
      <c r="O358" s="720"/>
      <c r="U358" s="719"/>
      <c r="V358" s="720"/>
      <c r="AB358" s="719"/>
      <c r="AC358" s="720"/>
    </row>
    <row r="359" spans="1:29" ht="13">
      <c r="A359" s="83"/>
      <c r="B359" s="22"/>
      <c r="C359" s="22"/>
      <c r="G359" s="719"/>
      <c r="H359" s="720"/>
      <c r="I359" s="82">
        <v>45569</v>
      </c>
      <c r="J359" s="22">
        <v>22557.48</v>
      </c>
      <c r="L359" s="23" t="s">
        <v>1131</v>
      </c>
      <c r="M359" s="23" t="s">
        <v>1392</v>
      </c>
      <c r="N359" s="719"/>
      <c r="O359" s="720"/>
      <c r="U359" s="719"/>
      <c r="V359" s="720"/>
      <c r="AB359" s="719"/>
      <c r="AC359" s="720"/>
    </row>
    <row r="360" spans="1:29" ht="13">
      <c r="A360" s="83"/>
      <c r="B360" s="22"/>
      <c r="C360" s="22"/>
      <c r="G360" s="719"/>
      <c r="H360" s="720"/>
      <c r="I360" s="82">
        <v>45630</v>
      </c>
      <c r="J360" s="22">
        <v>4193.75</v>
      </c>
      <c r="K360" s="22"/>
      <c r="L360" s="23" t="s">
        <v>1104</v>
      </c>
      <c r="M360" s="23" t="s">
        <v>1393</v>
      </c>
      <c r="N360" s="719"/>
      <c r="O360" s="720"/>
      <c r="U360" s="719"/>
      <c r="V360" s="720"/>
      <c r="AB360" s="719"/>
      <c r="AC360" s="720"/>
    </row>
    <row r="361" spans="1:29" ht="13">
      <c r="A361" s="83"/>
      <c r="B361" s="22"/>
      <c r="C361" s="22"/>
      <c r="G361" s="719"/>
      <c r="H361" s="720"/>
      <c r="I361" s="107" t="s">
        <v>1394</v>
      </c>
      <c r="J361" s="22"/>
      <c r="K361" s="22">
        <v>1000</v>
      </c>
      <c r="L361" s="23" t="s">
        <v>1395</v>
      </c>
      <c r="M361" s="23" t="s">
        <v>1396</v>
      </c>
      <c r="N361" s="719"/>
      <c r="O361" s="720"/>
      <c r="U361" s="719"/>
      <c r="V361" s="720"/>
      <c r="AB361" s="719"/>
      <c r="AC361" s="720"/>
    </row>
    <row r="362" spans="1:29" ht="13">
      <c r="A362" s="83"/>
      <c r="B362" s="22"/>
      <c r="C362" s="22"/>
      <c r="G362" s="719"/>
      <c r="H362" s="720"/>
      <c r="I362" s="107">
        <v>45327</v>
      </c>
      <c r="J362" s="22"/>
      <c r="K362" s="22">
        <v>1076</v>
      </c>
      <c r="L362" s="23" t="s">
        <v>1078</v>
      </c>
      <c r="N362" s="719"/>
      <c r="O362" s="720"/>
      <c r="U362" s="719"/>
      <c r="V362" s="720"/>
      <c r="AB362" s="719"/>
      <c r="AC362" s="720"/>
    </row>
    <row r="363" spans="1:29" ht="13">
      <c r="A363" s="83"/>
      <c r="B363" s="22"/>
      <c r="C363" s="22"/>
      <c r="G363" s="719"/>
      <c r="H363" s="720"/>
      <c r="I363" s="107">
        <v>45327</v>
      </c>
      <c r="J363" s="22"/>
      <c r="K363" s="22">
        <v>40</v>
      </c>
      <c r="L363" s="23" t="s">
        <v>838</v>
      </c>
      <c r="N363" s="719"/>
      <c r="O363" s="720"/>
      <c r="U363" s="719"/>
      <c r="V363" s="720"/>
      <c r="AB363" s="719"/>
      <c r="AC363" s="720"/>
    </row>
    <row r="364" spans="1:29" ht="13">
      <c r="B364" s="22"/>
      <c r="C364" s="22"/>
      <c r="G364" s="719"/>
      <c r="H364" s="720"/>
      <c r="I364" s="107">
        <v>45327</v>
      </c>
      <c r="J364" s="22"/>
      <c r="K364" s="22">
        <v>1076</v>
      </c>
      <c r="L364" s="23" t="s">
        <v>1087</v>
      </c>
      <c r="N364" s="719"/>
      <c r="O364" s="720"/>
      <c r="U364" s="719"/>
      <c r="V364" s="720"/>
      <c r="AB364" s="719"/>
      <c r="AC364" s="720"/>
    </row>
    <row r="365" spans="1:29" ht="13">
      <c r="A365" s="83"/>
      <c r="B365" s="22"/>
      <c r="C365" s="22"/>
      <c r="G365" s="719"/>
      <c r="H365" s="720"/>
      <c r="I365" s="107">
        <v>45327</v>
      </c>
      <c r="J365" s="22"/>
      <c r="K365" s="22">
        <v>40</v>
      </c>
      <c r="L365" s="23" t="s">
        <v>838</v>
      </c>
      <c r="N365" s="719"/>
      <c r="O365" s="720"/>
      <c r="U365" s="719"/>
      <c r="V365" s="720"/>
      <c r="AB365" s="719"/>
      <c r="AC365" s="720"/>
    </row>
    <row r="366" spans="1:29" ht="13">
      <c r="A366" s="83"/>
      <c r="B366" s="22"/>
      <c r="C366" s="22"/>
      <c r="G366" s="719"/>
      <c r="H366" s="720"/>
      <c r="I366" s="107">
        <v>45327</v>
      </c>
      <c r="J366" s="22"/>
      <c r="K366" s="22">
        <v>1076</v>
      </c>
      <c r="L366" s="23" t="s">
        <v>1119</v>
      </c>
      <c r="N366" s="719"/>
      <c r="O366" s="720"/>
      <c r="U366" s="719"/>
      <c r="V366" s="720"/>
      <c r="AB366" s="719"/>
      <c r="AC366" s="720"/>
    </row>
    <row r="367" spans="1:29" ht="13">
      <c r="A367" s="107"/>
      <c r="B367" s="22"/>
      <c r="C367" s="22"/>
      <c r="G367" s="719"/>
      <c r="H367" s="720"/>
      <c r="I367" s="107">
        <v>45327</v>
      </c>
      <c r="J367" s="22"/>
      <c r="K367" s="22">
        <v>40</v>
      </c>
      <c r="L367" s="23" t="s">
        <v>838</v>
      </c>
      <c r="N367" s="719"/>
      <c r="O367" s="720"/>
      <c r="U367" s="719"/>
      <c r="V367" s="720"/>
      <c r="AB367" s="719"/>
      <c r="AC367" s="720"/>
    </row>
    <row r="368" spans="1:29" ht="13">
      <c r="A368" s="274"/>
      <c r="B368" s="22"/>
      <c r="C368" s="22"/>
      <c r="G368" s="719"/>
      <c r="H368" s="720"/>
      <c r="I368" s="107">
        <v>45327</v>
      </c>
      <c r="J368" s="22"/>
      <c r="K368" s="22">
        <v>812</v>
      </c>
      <c r="L368" s="23" t="s">
        <v>1153</v>
      </c>
      <c r="N368" s="719"/>
      <c r="O368" s="720"/>
      <c r="U368" s="719"/>
      <c r="V368" s="720"/>
      <c r="AB368" s="719"/>
      <c r="AC368" s="720"/>
    </row>
    <row r="369" spans="1:29" ht="13">
      <c r="A369" s="83"/>
      <c r="B369" s="22"/>
      <c r="C369" s="22"/>
      <c r="G369" s="719"/>
      <c r="H369" s="720"/>
      <c r="I369" s="107">
        <v>45327</v>
      </c>
      <c r="J369" s="22"/>
      <c r="K369" s="22">
        <v>40</v>
      </c>
      <c r="L369" s="23" t="s">
        <v>838</v>
      </c>
      <c r="N369" s="719"/>
      <c r="O369" s="720"/>
      <c r="U369" s="719"/>
      <c r="V369" s="720"/>
      <c r="AB369" s="719"/>
      <c r="AC369" s="720"/>
    </row>
    <row r="370" spans="1:29" ht="13">
      <c r="A370" s="83"/>
      <c r="B370" s="22"/>
      <c r="C370" s="22"/>
      <c r="G370" s="719"/>
      <c r="H370" s="720"/>
      <c r="I370" s="107">
        <v>45448</v>
      </c>
      <c r="J370" s="22"/>
      <c r="K370" s="22">
        <v>298</v>
      </c>
      <c r="L370" s="23" t="s">
        <v>1397</v>
      </c>
      <c r="N370" s="719"/>
      <c r="O370" s="720"/>
      <c r="U370" s="719"/>
      <c r="V370" s="720"/>
      <c r="AB370" s="719"/>
      <c r="AC370" s="720"/>
    </row>
    <row r="371" spans="1:29" ht="13">
      <c r="A371" s="83"/>
      <c r="B371" s="22"/>
      <c r="C371" s="22"/>
      <c r="G371" s="719"/>
      <c r="H371" s="720"/>
      <c r="I371" s="107">
        <v>45448</v>
      </c>
      <c r="J371" s="22"/>
      <c r="K371" s="22">
        <v>40</v>
      </c>
      <c r="L371" s="23" t="s">
        <v>838</v>
      </c>
      <c r="N371" s="719"/>
      <c r="O371" s="720"/>
      <c r="U371" s="719"/>
      <c r="V371" s="720"/>
      <c r="AB371" s="719"/>
      <c r="AC371" s="720"/>
    </row>
    <row r="372" spans="1:29" ht="13">
      <c r="A372" s="83"/>
      <c r="B372" s="22"/>
      <c r="C372" s="22"/>
      <c r="G372" s="719"/>
      <c r="H372" s="720"/>
      <c r="I372" s="107">
        <v>45478</v>
      </c>
      <c r="J372" s="22"/>
      <c r="K372" s="22">
        <v>264.42</v>
      </c>
      <c r="L372" s="23" t="s">
        <v>1252</v>
      </c>
      <c r="M372" s="23" t="s">
        <v>1313</v>
      </c>
      <c r="N372" s="719"/>
      <c r="O372" s="720"/>
      <c r="U372" s="719"/>
      <c r="V372" s="720"/>
      <c r="AB372" s="719"/>
      <c r="AC372" s="720"/>
    </row>
    <row r="373" spans="1:29" ht="13">
      <c r="A373" s="83"/>
      <c r="B373" s="22"/>
      <c r="C373" s="22"/>
      <c r="G373" s="719"/>
      <c r="H373" s="720"/>
      <c r="I373" s="107">
        <v>45478</v>
      </c>
      <c r="J373" s="22"/>
      <c r="K373" s="22">
        <v>1073.69</v>
      </c>
      <c r="L373" s="23" t="s">
        <v>1252</v>
      </c>
      <c r="M373" s="23" t="s">
        <v>61</v>
      </c>
      <c r="N373" s="719"/>
      <c r="O373" s="720"/>
      <c r="U373" s="719"/>
      <c r="V373" s="720"/>
      <c r="AB373" s="719"/>
      <c r="AC373" s="720"/>
    </row>
    <row r="374" spans="1:29" ht="13">
      <c r="A374" s="83"/>
      <c r="B374" s="22"/>
      <c r="C374" s="22"/>
      <c r="G374" s="719"/>
      <c r="H374" s="720"/>
      <c r="I374" s="107">
        <v>45509</v>
      </c>
      <c r="J374" s="22"/>
      <c r="K374" s="22">
        <v>940.41</v>
      </c>
      <c r="L374" s="23" t="s">
        <v>1398</v>
      </c>
      <c r="N374" s="719"/>
      <c r="O374" s="720"/>
      <c r="U374" s="719"/>
      <c r="V374" s="720"/>
      <c r="AB374" s="719"/>
      <c r="AC374" s="720"/>
    </row>
    <row r="375" spans="1:29" ht="13">
      <c r="A375" s="83"/>
      <c r="B375" s="22"/>
      <c r="C375" s="22"/>
      <c r="G375" s="719"/>
      <c r="H375" s="720"/>
      <c r="I375" s="107">
        <v>45509</v>
      </c>
      <c r="J375" s="22"/>
      <c r="K375" s="22">
        <v>40</v>
      </c>
      <c r="L375" s="23" t="s">
        <v>838</v>
      </c>
      <c r="N375" s="719"/>
      <c r="O375" s="720"/>
      <c r="U375" s="719"/>
      <c r="V375" s="720"/>
      <c r="AB375" s="719"/>
      <c r="AC375" s="720"/>
    </row>
    <row r="376" spans="1:29" ht="13">
      <c r="A376" s="83"/>
      <c r="B376" s="22"/>
      <c r="C376" s="22"/>
      <c r="G376" s="719"/>
      <c r="H376" s="720"/>
      <c r="I376" s="82">
        <v>45570</v>
      </c>
      <c r="K376" s="22">
        <v>7813</v>
      </c>
      <c r="L376" s="23" t="s">
        <v>1399</v>
      </c>
      <c r="N376" s="719"/>
      <c r="O376" s="720"/>
      <c r="U376" s="719"/>
      <c r="V376" s="720"/>
      <c r="AB376" s="719"/>
      <c r="AC376" s="720"/>
    </row>
    <row r="377" spans="1:29" ht="13">
      <c r="A377" s="83"/>
      <c r="B377" s="22"/>
      <c r="C377" s="22"/>
      <c r="G377" s="719"/>
      <c r="H377" s="720"/>
      <c r="I377" s="82">
        <v>45570</v>
      </c>
      <c r="J377" s="22"/>
      <c r="K377" s="22">
        <v>1.9</v>
      </c>
      <c r="L377" s="23" t="s">
        <v>838</v>
      </c>
      <c r="M377" s="23"/>
      <c r="N377" s="719"/>
      <c r="O377" s="720"/>
      <c r="U377" s="719"/>
      <c r="V377" s="720"/>
      <c r="AB377" s="719"/>
      <c r="AC377" s="720"/>
    </row>
    <row r="378" spans="1:29" ht="13">
      <c r="A378" s="83"/>
      <c r="B378" s="22"/>
      <c r="C378" s="22"/>
      <c r="G378" s="719"/>
      <c r="H378" s="720"/>
      <c r="I378" s="83" t="s">
        <v>1400</v>
      </c>
      <c r="J378" s="22">
        <v>4742.75</v>
      </c>
      <c r="K378" s="22"/>
      <c r="L378" s="23" t="s">
        <v>1104</v>
      </c>
      <c r="M378" s="23" t="s">
        <v>1401</v>
      </c>
      <c r="N378" s="719"/>
      <c r="O378" s="720"/>
      <c r="U378" s="719"/>
      <c r="V378" s="720"/>
      <c r="AB378" s="719"/>
      <c r="AC378" s="720"/>
    </row>
    <row r="379" spans="1:29" ht="13">
      <c r="A379" s="83"/>
      <c r="B379" s="22"/>
      <c r="C379" s="22"/>
      <c r="G379" s="719"/>
      <c r="H379" s="720"/>
      <c r="I379" s="83" t="s">
        <v>1402</v>
      </c>
      <c r="J379" s="22"/>
      <c r="K379" s="22">
        <v>25</v>
      </c>
      <c r="L379" s="23" t="s">
        <v>838</v>
      </c>
      <c r="N379" s="719"/>
      <c r="O379" s="720"/>
      <c r="U379" s="719"/>
      <c r="V379" s="720"/>
      <c r="AB379" s="719"/>
      <c r="AC379" s="720"/>
    </row>
    <row r="380" spans="1:29" ht="13">
      <c r="A380" s="83"/>
      <c r="B380" s="22"/>
      <c r="C380" s="22"/>
      <c r="G380" s="719"/>
      <c r="H380" s="720"/>
      <c r="I380" s="83" t="s">
        <v>1402</v>
      </c>
      <c r="J380" s="22">
        <v>7032</v>
      </c>
      <c r="K380" s="22"/>
      <c r="L380" s="23" t="s">
        <v>1131</v>
      </c>
      <c r="M380" s="23" t="s">
        <v>1403</v>
      </c>
      <c r="N380" s="719"/>
      <c r="O380" s="720"/>
      <c r="U380" s="719"/>
      <c r="V380" s="720"/>
      <c r="AB380" s="719"/>
      <c r="AC380" s="720"/>
    </row>
    <row r="381" spans="1:29" ht="13">
      <c r="A381" s="107"/>
      <c r="B381" s="22"/>
      <c r="C381" s="22"/>
      <c r="G381" s="719"/>
      <c r="H381" s="720"/>
      <c r="I381" s="83" t="s">
        <v>899</v>
      </c>
      <c r="J381" s="22"/>
      <c r="K381" s="22">
        <v>20</v>
      </c>
      <c r="L381" s="23" t="s">
        <v>1384</v>
      </c>
      <c r="N381" s="719"/>
      <c r="O381" s="720"/>
      <c r="U381" s="719"/>
      <c r="V381" s="720"/>
      <c r="AB381" s="719"/>
      <c r="AC381" s="720"/>
    </row>
    <row r="382" spans="1:29" ht="13">
      <c r="A382" s="107"/>
      <c r="B382" s="22"/>
      <c r="C382" s="22"/>
      <c r="G382" s="719"/>
      <c r="H382" s="720"/>
      <c r="I382" s="107">
        <v>45357</v>
      </c>
      <c r="J382" s="22"/>
      <c r="K382" s="22">
        <v>1076</v>
      </c>
      <c r="L382" s="23" t="s">
        <v>1078</v>
      </c>
      <c r="N382" s="719"/>
      <c r="O382" s="720"/>
      <c r="U382" s="719"/>
      <c r="V382" s="720"/>
      <c r="AB382" s="719"/>
      <c r="AC382" s="720"/>
    </row>
    <row r="383" spans="1:29" ht="13">
      <c r="A383" s="107"/>
      <c r="B383" s="22"/>
      <c r="C383" s="22"/>
      <c r="G383" s="719"/>
      <c r="H383" s="720"/>
      <c r="I383" s="107">
        <v>45357</v>
      </c>
      <c r="J383" s="22"/>
      <c r="K383" s="22">
        <v>40</v>
      </c>
      <c r="L383" s="23" t="s">
        <v>838</v>
      </c>
      <c r="N383" s="719"/>
      <c r="O383" s="720"/>
      <c r="U383" s="719"/>
      <c r="V383" s="720"/>
      <c r="AB383" s="719"/>
      <c r="AC383" s="720"/>
    </row>
    <row r="384" spans="1:29" ht="13">
      <c r="A384" s="107"/>
      <c r="B384" s="22"/>
      <c r="C384" s="22"/>
      <c r="G384" s="719"/>
      <c r="H384" s="720"/>
      <c r="I384" s="107">
        <v>45357</v>
      </c>
      <c r="J384" s="22"/>
      <c r="K384" s="22">
        <v>1083</v>
      </c>
      <c r="L384" s="23" t="s">
        <v>1087</v>
      </c>
      <c r="N384" s="719"/>
      <c r="O384" s="720"/>
      <c r="U384" s="719"/>
      <c r="V384" s="720"/>
      <c r="AB384" s="719"/>
      <c r="AC384" s="720"/>
    </row>
    <row r="385" spans="1:29" ht="13">
      <c r="A385" s="107"/>
      <c r="B385" s="22"/>
      <c r="C385" s="22"/>
      <c r="G385" s="719"/>
      <c r="H385" s="720"/>
      <c r="I385" s="107">
        <v>45357</v>
      </c>
      <c r="J385" s="22"/>
      <c r="K385" s="22">
        <v>40</v>
      </c>
      <c r="L385" s="23" t="s">
        <v>838</v>
      </c>
      <c r="N385" s="719"/>
      <c r="O385" s="720"/>
      <c r="U385" s="719"/>
      <c r="V385" s="720"/>
      <c r="AB385" s="719"/>
      <c r="AC385" s="720"/>
    </row>
    <row r="386" spans="1:29" ht="13">
      <c r="A386" s="83"/>
      <c r="B386" s="22"/>
      <c r="C386" s="22"/>
      <c r="G386" s="719"/>
      <c r="H386" s="720"/>
      <c r="I386" s="107">
        <v>45357</v>
      </c>
      <c r="J386" s="22"/>
      <c r="K386" s="22">
        <v>1076</v>
      </c>
      <c r="L386" s="23" t="s">
        <v>1119</v>
      </c>
      <c r="N386" s="719"/>
      <c r="O386" s="720"/>
      <c r="U386" s="719"/>
      <c r="V386" s="720"/>
      <c r="AB386" s="719"/>
      <c r="AC386" s="720"/>
    </row>
    <row r="387" spans="1:29" ht="13">
      <c r="A387" s="83"/>
      <c r="B387" s="22"/>
      <c r="C387" s="22"/>
      <c r="G387" s="719"/>
      <c r="H387" s="720"/>
      <c r="I387" s="107">
        <v>45357</v>
      </c>
      <c r="J387" s="22"/>
      <c r="K387" s="22">
        <v>40</v>
      </c>
      <c r="L387" s="23" t="s">
        <v>838</v>
      </c>
      <c r="N387" s="719"/>
      <c r="O387" s="720"/>
      <c r="U387" s="719"/>
      <c r="V387" s="720"/>
      <c r="AB387" s="719"/>
      <c r="AC387" s="720"/>
    </row>
    <row r="388" spans="1:29" ht="13">
      <c r="A388" s="83"/>
      <c r="B388" s="22"/>
      <c r="C388" s="22"/>
      <c r="G388" s="719"/>
      <c r="H388" s="720"/>
      <c r="I388" s="107">
        <v>45357</v>
      </c>
      <c r="J388" s="22"/>
      <c r="K388" s="22">
        <v>812</v>
      </c>
      <c r="L388" s="23" t="s">
        <v>1184</v>
      </c>
      <c r="N388" s="719"/>
      <c r="O388" s="720"/>
      <c r="U388" s="719"/>
      <c r="V388" s="720"/>
      <c r="AB388" s="719"/>
      <c r="AC388" s="720"/>
    </row>
    <row r="389" spans="1:29" ht="13">
      <c r="A389" s="83"/>
      <c r="B389" s="22"/>
      <c r="C389" s="22"/>
      <c r="G389" s="719"/>
      <c r="H389" s="720"/>
      <c r="I389" s="107">
        <v>45357</v>
      </c>
      <c r="J389" s="22"/>
      <c r="K389" s="22">
        <v>40</v>
      </c>
      <c r="L389" s="23" t="s">
        <v>838</v>
      </c>
      <c r="N389" s="719"/>
      <c r="O389" s="720"/>
      <c r="U389" s="719"/>
      <c r="V389" s="720"/>
      <c r="AB389" s="719"/>
      <c r="AC389" s="720"/>
    </row>
    <row r="390" spans="1:29" ht="13">
      <c r="A390" s="83"/>
      <c r="B390" s="22"/>
      <c r="C390" s="22"/>
      <c r="G390" s="719"/>
      <c r="H390" s="720"/>
      <c r="I390" s="82">
        <v>45388</v>
      </c>
      <c r="J390" s="22"/>
      <c r="K390" s="22">
        <v>1300</v>
      </c>
      <c r="L390" s="23" t="s">
        <v>1404</v>
      </c>
      <c r="M390" s="23" t="s">
        <v>1405</v>
      </c>
      <c r="N390" s="719"/>
      <c r="O390" s="720"/>
      <c r="U390" s="719"/>
      <c r="V390" s="720"/>
      <c r="AB390" s="719"/>
      <c r="AC390" s="720"/>
    </row>
    <row r="391" spans="1:29" ht="13">
      <c r="A391" s="83"/>
      <c r="B391" s="22"/>
      <c r="C391" s="22"/>
      <c r="G391" s="719"/>
      <c r="H391" s="720"/>
      <c r="I391" s="82">
        <v>45388</v>
      </c>
      <c r="J391" s="22"/>
      <c r="K391" s="22">
        <v>40</v>
      </c>
      <c r="L391" s="23" t="s">
        <v>838</v>
      </c>
      <c r="N391" s="719"/>
      <c r="O391" s="720"/>
      <c r="U391" s="719"/>
      <c r="V391" s="720"/>
      <c r="AB391" s="719"/>
      <c r="AC391" s="720"/>
    </row>
    <row r="392" spans="1:29" ht="13">
      <c r="A392" s="83"/>
      <c r="B392" s="22"/>
      <c r="C392" s="22"/>
      <c r="G392" s="719"/>
      <c r="H392" s="720"/>
      <c r="I392" s="82">
        <v>45571</v>
      </c>
      <c r="J392" s="22"/>
      <c r="K392" s="22">
        <v>119.38</v>
      </c>
      <c r="L392" s="23" t="s">
        <v>1252</v>
      </c>
      <c r="N392" s="719"/>
      <c r="O392" s="720"/>
      <c r="U392" s="719"/>
      <c r="V392" s="720"/>
      <c r="AB392" s="719"/>
      <c r="AC392" s="720"/>
    </row>
    <row r="393" spans="1:29" ht="13">
      <c r="A393" s="83"/>
      <c r="B393" s="22"/>
      <c r="C393" s="22"/>
      <c r="G393" s="719"/>
      <c r="H393" s="720"/>
      <c r="I393" s="82">
        <v>45571</v>
      </c>
      <c r="J393" s="22"/>
      <c r="K393" s="22">
        <v>907.16</v>
      </c>
      <c r="L393" s="23" t="s">
        <v>1252</v>
      </c>
      <c r="N393" s="719"/>
      <c r="O393" s="720"/>
      <c r="U393" s="719"/>
      <c r="V393" s="720"/>
      <c r="AB393" s="719"/>
      <c r="AC393" s="720"/>
    </row>
    <row r="394" spans="1:29" ht="13">
      <c r="A394" s="83"/>
      <c r="B394" s="22"/>
      <c r="C394" s="22"/>
      <c r="G394" s="719"/>
      <c r="H394" s="720"/>
      <c r="I394" s="83" t="s">
        <v>987</v>
      </c>
      <c r="J394" s="22">
        <v>4066.87</v>
      </c>
      <c r="K394" s="22"/>
      <c r="L394" s="23" t="s">
        <v>1104</v>
      </c>
      <c r="M394" s="23" t="s">
        <v>1406</v>
      </c>
      <c r="N394" s="719"/>
      <c r="O394" s="720"/>
      <c r="U394" s="719"/>
      <c r="V394" s="720"/>
      <c r="AB394" s="719"/>
      <c r="AC394" s="720"/>
    </row>
    <row r="395" spans="1:29" ht="13">
      <c r="A395" s="83"/>
      <c r="B395" s="22"/>
      <c r="C395" s="22"/>
      <c r="G395" s="719"/>
      <c r="H395" s="720"/>
      <c r="I395" s="83" t="s">
        <v>902</v>
      </c>
      <c r="J395" s="22"/>
      <c r="K395" s="22">
        <v>33.26</v>
      </c>
      <c r="L395" s="23" t="s">
        <v>1384</v>
      </c>
      <c r="N395" s="719"/>
      <c r="O395" s="720"/>
      <c r="U395" s="719"/>
      <c r="V395" s="720"/>
      <c r="AB395" s="719"/>
      <c r="AC395" s="720"/>
    </row>
    <row r="396" spans="1:29" ht="13">
      <c r="A396" s="107"/>
      <c r="B396" s="22"/>
      <c r="C396" s="22"/>
      <c r="G396" s="719"/>
      <c r="H396" s="720"/>
      <c r="I396" s="83" t="s">
        <v>1084</v>
      </c>
      <c r="J396" s="22"/>
      <c r="K396" s="22">
        <v>25</v>
      </c>
      <c r="L396" s="23" t="s">
        <v>838</v>
      </c>
      <c r="N396" s="719"/>
      <c r="O396" s="720"/>
      <c r="U396" s="719"/>
      <c r="V396" s="720"/>
      <c r="AB396" s="719"/>
      <c r="AC396" s="720"/>
    </row>
    <row r="397" spans="1:29" ht="13">
      <c r="A397" s="107"/>
      <c r="B397" s="22"/>
      <c r="C397" s="22"/>
      <c r="G397" s="719"/>
      <c r="H397" s="720"/>
      <c r="I397" s="83" t="s">
        <v>1084</v>
      </c>
      <c r="J397" s="22">
        <v>6094.4</v>
      </c>
      <c r="K397" s="22"/>
      <c r="L397" s="23" t="s">
        <v>1131</v>
      </c>
      <c r="M397" s="23" t="s">
        <v>1407</v>
      </c>
      <c r="N397" s="719"/>
      <c r="O397" s="720"/>
      <c r="U397" s="719"/>
      <c r="V397" s="720"/>
      <c r="AB397" s="719"/>
      <c r="AC397" s="720"/>
    </row>
    <row r="398" spans="1:29" ht="13">
      <c r="A398" s="83"/>
      <c r="B398" s="22"/>
      <c r="C398" s="22"/>
      <c r="G398" s="719"/>
      <c r="H398" s="720"/>
      <c r="I398" s="83" t="s">
        <v>1088</v>
      </c>
      <c r="J398" s="22"/>
      <c r="K398" s="22">
        <v>1300</v>
      </c>
      <c r="L398" s="23" t="s">
        <v>1404</v>
      </c>
      <c r="M398" s="23" t="s">
        <v>1405</v>
      </c>
      <c r="N398" s="719"/>
      <c r="O398" s="720"/>
      <c r="U398" s="719"/>
      <c r="V398" s="720"/>
      <c r="AB398" s="719"/>
      <c r="AC398" s="720"/>
    </row>
    <row r="399" spans="1:29" ht="13">
      <c r="A399" s="83"/>
      <c r="B399" s="22"/>
      <c r="C399" s="22"/>
      <c r="G399" s="719"/>
      <c r="H399" s="720"/>
      <c r="I399" s="83" t="s">
        <v>1088</v>
      </c>
      <c r="J399" s="22"/>
      <c r="K399" s="22">
        <v>40</v>
      </c>
      <c r="L399" s="23" t="s">
        <v>838</v>
      </c>
      <c r="N399" s="719"/>
      <c r="O399" s="720"/>
      <c r="U399" s="719"/>
      <c r="V399" s="720"/>
      <c r="AB399" s="719"/>
      <c r="AC399" s="720"/>
    </row>
    <row r="400" spans="1:29" ht="13">
      <c r="A400" s="83"/>
      <c r="B400" s="22"/>
      <c r="C400" s="22"/>
      <c r="G400" s="719"/>
      <c r="H400" s="720"/>
      <c r="I400" s="107">
        <v>45298</v>
      </c>
      <c r="J400" s="22"/>
      <c r="K400" s="22">
        <v>1076</v>
      </c>
      <c r="L400" s="23" t="s">
        <v>1078</v>
      </c>
      <c r="N400" s="719"/>
      <c r="O400" s="720"/>
      <c r="U400" s="719"/>
      <c r="V400" s="720"/>
      <c r="AB400" s="719"/>
      <c r="AC400" s="720"/>
    </row>
    <row r="401" spans="1:29" ht="13">
      <c r="A401" s="83"/>
      <c r="B401" s="22"/>
      <c r="C401" s="22"/>
      <c r="G401" s="719"/>
      <c r="H401" s="720"/>
      <c r="I401" s="107">
        <v>45298</v>
      </c>
      <c r="J401" s="22"/>
      <c r="K401" s="22">
        <v>40</v>
      </c>
      <c r="L401" s="23" t="s">
        <v>838</v>
      </c>
      <c r="N401" s="719"/>
      <c r="O401" s="720"/>
      <c r="U401" s="719"/>
      <c r="V401" s="720"/>
      <c r="AB401" s="719"/>
      <c r="AC401" s="720"/>
    </row>
    <row r="402" spans="1:29" ht="13">
      <c r="A402" s="83"/>
      <c r="B402" s="22"/>
      <c r="C402" s="22"/>
      <c r="G402" s="719"/>
      <c r="H402" s="720"/>
      <c r="I402" s="107">
        <v>45298</v>
      </c>
      <c r="J402" s="22"/>
      <c r="K402" s="22">
        <v>1076</v>
      </c>
      <c r="L402" s="23" t="s">
        <v>1087</v>
      </c>
      <c r="N402" s="719"/>
      <c r="O402" s="720"/>
      <c r="U402" s="719"/>
      <c r="V402" s="720"/>
      <c r="AB402" s="719"/>
      <c r="AC402" s="720"/>
    </row>
    <row r="403" spans="1:29" ht="13">
      <c r="A403" s="83"/>
      <c r="B403" s="22"/>
      <c r="C403" s="22"/>
      <c r="G403" s="719"/>
      <c r="H403" s="720"/>
      <c r="I403" s="107">
        <v>45298</v>
      </c>
      <c r="J403" s="22"/>
      <c r="K403" s="22">
        <v>40</v>
      </c>
      <c r="L403" s="23" t="s">
        <v>838</v>
      </c>
      <c r="N403" s="719"/>
      <c r="O403" s="720"/>
      <c r="U403" s="719"/>
      <c r="V403" s="720"/>
      <c r="AB403" s="719"/>
      <c r="AC403" s="720"/>
    </row>
    <row r="404" spans="1:29" ht="13">
      <c r="A404" s="83"/>
      <c r="B404" s="22"/>
      <c r="C404" s="22"/>
      <c r="G404" s="719"/>
      <c r="H404" s="720"/>
      <c r="I404" s="107">
        <v>45298</v>
      </c>
      <c r="J404" s="22"/>
      <c r="K404" s="22">
        <v>1076</v>
      </c>
      <c r="L404" s="23" t="s">
        <v>1119</v>
      </c>
      <c r="N404" s="719"/>
      <c r="O404" s="720"/>
      <c r="U404" s="719"/>
      <c r="V404" s="720"/>
      <c r="AB404" s="719"/>
      <c r="AC404" s="720"/>
    </row>
    <row r="405" spans="1:29" ht="13">
      <c r="A405" s="83"/>
      <c r="B405" s="22"/>
      <c r="C405" s="22"/>
      <c r="G405" s="719"/>
      <c r="H405" s="720"/>
      <c r="I405" s="107">
        <v>45298</v>
      </c>
      <c r="J405" s="22"/>
      <c r="K405" s="22">
        <v>40</v>
      </c>
      <c r="L405" s="23" t="s">
        <v>838</v>
      </c>
      <c r="N405" s="719"/>
      <c r="O405" s="720"/>
      <c r="U405" s="719"/>
      <c r="V405" s="720"/>
      <c r="AB405" s="719"/>
      <c r="AC405" s="720"/>
    </row>
    <row r="406" spans="1:29" ht="13">
      <c r="A406" s="740"/>
      <c r="B406" s="22"/>
      <c r="C406" s="22"/>
      <c r="G406" s="719"/>
      <c r="H406" s="720"/>
      <c r="I406" s="107">
        <v>45298</v>
      </c>
      <c r="J406" s="22"/>
      <c r="K406" s="22">
        <v>812</v>
      </c>
      <c r="L406" s="23" t="s">
        <v>1184</v>
      </c>
      <c r="N406" s="719"/>
      <c r="O406" s="720"/>
      <c r="U406" s="719"/>
      <c r="V406" s="720"/>
      <c r="AB406" s="719"/>
      <c r="AC406" s="720"/>
    </row>
    <row r="407" spans="1:29" ht="13">
      <c r="A407" s="83"/>
      <c r="B407" s="22"/>
      <c r="C407" s="22"/>
      <c r="G407" s="719"/>
      <c r="H407" s="720"/>
      <c r="I407" s="107">
        <v>45298</v>
      </c>
      <c r="J407" s="22"/>
      <c r="K407" s="22">
        <v>40</v>
      </c>
      <c r="L407" s="23" t="s">
        <v>838</v>
      </c>
      <c r="N407" s="719"/>
      <c r="O407" s="720"/>
      <c r="U407" s="719"/>
      <c r="V407" s="720"/>
      <c r="AB407" s="719"/>
      <c r="AC407" s="720"/>
    </row>
    <row r="408" spans="1:29" ht="13">
      <c r="A408" s="83"/>
      <c r="B408" s="22"/>
      <c r="C408" s="22"/>
      <c r="G408" s="719"/>
      <c r="H408" s="720"/>
      <c r="I408" s="82">
        <v>45511</v>
      </c>
      <c r="K408" s="23">
        <v>197.12</v>
      </c>
      <c r="L408" s="23" t="s">
        <v>1252</v>
      </c>
      <c r="N408" s="719"/>
      <c r="O408" s="720"/>
      <c r="U408" s="719"/>
      <c r="V408" s="720"/>
      <c r="AB408" s="719"/>
      <c r="AC408" s="720"/>
    </row>
    <row r="409" spans="1:29" ht="13">
      <c r="A409" s="83"/>
      <c r="B409" s="22"/>
      <c r="C409" s="22"/>
      <c r="G409" s="719"/>
      <c r="H409" s="720"/>
      <c r="I409" s="82">
        <v>45511</v>
      </c>
      <c r="K409" s="22">
        <v>705.47</v>
      </c>
      <c r="L409" s="23" t="s">
        <v>1252</v>
      </c>
      <c r="N409" s="719"/>
      <c r="O409" s="720"/>
      <c r="U409" s="719"/>
      <c r="V409" s="720"/>
      <c r="AB409" s="719"/>
      <c r="AC409" s="720"/>
    </row>
    <row r="410" spans="1:29" ht="13">
      <c r="A410" s="83"/>
      <c r="B410" s="22"/>
      <c r="C410" s="22"/>
      <c r="E410" s="741"/>
      <c r="G410" s="719"/>
      <c r="H410" s="720"/>
      <c r="I410" s="82">
        <v>45542</v>
      </c>
      <c r="J410" s="23"/>
      <c r="K410" s="22">
        <v>25</v>
      </c>
      <c r="L410" s="23" t="s">
        <v>838</v>
      </c>
      <c r="N410" s="719"/>
      <c r="O410" s="720"/>
      <c r="U410" s="719"/>
      <c r="V410" s="720"/>
      <c r="AB410" s="719"/>
      <c r="AC410" s="720"/>
    </row>
    <row r="411" spans="1:29" ht="13">
      <c r="A411" s="83"/>
      <c r="B411" s="22"/>
      <c r="C411" s="22"/>
      <c r="G411" s="719"/>
      <c r="H411" s="720"/>
      <c r="I411" s="82">
        <v>45542</v>
      </c>
      <c r="J411" s="22">
        <v>6360</v>
      </c>
      <c r="K411" s="22"/>
      <c r="L411" s="23" t="s">
        <v>1131</v>
      </c>
      <c r="M411" s="23" t="s">
        <v>1408</v>
      </c>
      <c r="N411" s="719"/>
      <c r="O411" s="720"/>
      <c r="U411" s="719"/>
      <c r="V411" s="720"/>
      <c r="AB411" s="719"/>
      <c r="AC411" s="720"/>
    </row>
    <row r="412" spans="1:29" ht="13">
      <c r="A412" s="83"/>
      <c r="B412" s="22"/>
      <c r="C412" s="22"/>
      <c r="G412" s="719"/>
      <c r="H412" s="720"/>
      <c r="I412" s="82">
        <v>45542</v>
      </c>
      <c r="J412" s="22">
        <v>3212.5</v>
      </c>
      <c r="K412" s="22"/>
      <c r="L412" s="23" t="s">
        <v>1104</v>
      </c>
      <c r="M412" s="23" t="s">
        <v>1409</v>
      </c>
      <c r="N412" s="719"/>
      <c r="O412" s="720"/>
      <c r="U412" s="719"/>
      <c r="V412" s="720"/>
      <c r="AB412" s="719"/>
      <c r="AC412" s="720"/>
    </row>
    <row r="413" spans="1:29" ht="13">
      <c r="A413" s="83"/>
      <c r="B413" s="22"/>
      <c r="C413" s="22"/>
      <c r="G413" s="719"/>
      <c r="H413" s="720"/>
      <c r="I413" s="83" t="s">
        <v>1410</v>
      </c>
      <c r="K413" s="23">
        <v>32.450000000000003</v>
      </c>
      <c r="L413" s="23" t="s">
        <v>1384</v>
      </c>
      <c r="N413" s="719"/>
      <c r="O413" s="720"/>
      <c r="U413" s="719"/>
      <c r="V413" s="720"/>
      <c r="AB413" s="719"/>
      <c r="AC413" s="720"/>
    </row>
    <row r="414" spans="1:29" ht="13">
      <c r="A414" s="107"/>
      <c r="B414" s="22"/>
      <c r="C414" s="22"/>
      <c r="G414" s="719"/>
      <c r="H414" s="720"/>
      <c r="I414" s="83" t="s">
        <v>58</v>
      </c>
      <c r="J414" s="22"/>
      <c r="K414" s="22">
        <v>9391.77</v>
      </c>
      <c r="L414" s="23" t="s">
        <v>869</v>
      </c>
      <c r="N414" s="719"/>
      <c r="O414" s="720"/>
      <c r="U414" s="719"/>
      <c r="V414" s="720"/>
      <c r="AB414" s="719"/>
      <c r="AC414" s="720"/>
    </row>
    <row r="415" spans="1:29" ht="13">
      <c r="A415" s="107"/>
      <c r="B415" s="22"/>
      <c r="C415" s="22"/>
      <c r="G415" s="719"/>
      <c r="H415" s="720"/>
      <c r="I415" s="83" t="s">
        <v>58</v>
      </c>
      <c r="J415" s="22"/>
      <c r="K415" s="22">
        <v>19391.77</v>
      </c>
      <c r="L415" s="23" t="s">
        <v>1370</v>
      </c>
      <c r="N415" s="719"/>
      <c r="O415" s="720"/>
      <c r="U415" s="719"/>
      <c r="V415" s="720"/>
      <c r="AB415" s="719"/>
      <c r="AC415" s="720"/>
    </row>
    <row r="416" spans="1:29" ht="13">
      <c r="A416" s="107"/>
      <c r="B416" s="22"/>
      <c r="C416" s="22"/>
      <c r="G416" s="719"/>
      <c r="H416" s="720"/>
      <c r="I416" s="83" t="s">
        <v>58</v>
      </c>
      <c r="J416" s="22"/>
      <c r="K416" s="22">
        <v>82.32</v>
      </c>
      <c r="L416" s="23" t="s">
        <v>1239</v>
      </c>
      <c r="M416" s="23" t="s">
        <v>1411</v>
      </c>
      <c r="N416" s="719"/>
      <c r="O416" s="720"/>
      <c r="U416" s="719"/>
      <c r="V416" s="720"/>
      <c r="AB416" s="719"/>
      <c r="AC416" s="720"/>
    </row>
    <row r="417" spans="1:29" ht="13">
      <c r="A417" s="83"/>
      <c r="B417" s="22"/>
      <c r="C417" s="22"/>
      <c r="G417" s="719"/>
      <c r="H417" s="720"/>
      <c r="I417" s="83" t="s">
        <v>58</v>
      </c>
      <c r="J417" s="22"/>
      <c r="K417" s="22">
        <v>167.99</v>
      </c>
      <c r="L417" s="23" t="s">
        <v>1239</v>
      </c>
      <c r="M417" s="23" t="s">
        <v>1411</v>
      </c>
      <c r="N417" s="719"/>
      <c r="O417" s="720"/>
      <c r="U417" s="719"/>
      <c r="V417" s="720"/>
      <c r="AB417" s="719"/>
      <c r="AC417" s="720"/>
    </row>
    <row r="418" spans="1:29" ht="13">
      <c r="A418" s="83"/>
      <c r="B418" s="22"/>
      <c r="C418" s="22"/>
      <c r="G418" s="719"/>
      <c r="H418" s="720"/>
      <c r="I418" s="83" t="s">
        <v>58</v>
      </c>
      <c r="J418" s="22"/>
      <c r="K418" s="22">
        <v>3</v>
      </c>
      <c r="L418" s="23" t="s">
        <v>1412</v>
      </c>
      <c r="M418" s="23" t="s">
        <v>1411</v>
      </c>
      <c r="N418" s="719"/>
      <c r="O418" s="720"/>
      <c r="U418" s="719"/>
      <c r="V418" s="720"/>
      <c r="AB418" s="719"/>
      <c r="AC418" s="720"/>
    </row>
    <row r="419" spans="1:29" ht="13">
      <c r="A419" s="83"/>
      <c r="B419" s="22"/>
      <c r="C419" s="22"/>
      <c r="G419" s="719"/>
      <c r="H419" s="720"/>
      <c r="I419" s="83" t="s">
        <v>58</v>
      </c>
      <c r="J419" s="22"/>
      <c r="K419" s="22">
        <v>3</v>
      </c>
      <c r="L419" s="23" t="s">
        <v>1412</v>
      </c>
      <c r="M419" s="23" t="s">
        <v>1411</v>
      </c>
      <c r="N419" s="719"/>
      <c r="O419" s="720"/>
      <c r="U419" s="719"/>
      <c r="V419" s="720"/>
      <c r="AB419" s="719"/>
      <c r="AC419" s="720"/>
    </row>
    <row r="420" spans="1:29" ht="13">
      <c r="A420" s="83"/>
      <c r="B420" s="22"/>
      <c r="C420" s="22"/>
      <c r="G420" s="719"/>
      <c r="H420" s="720"/>
      <c r="I420" s="83" t="s">
        <v>1101</v>
      </c>
      <c r="J420" s="22"/>
      <c r="K420" s="22">
        <v>159.74</v>
      </c>
      <c r="L420" s="23" t="s">
        <v>1239</v>
      </c>
      <c r="M420" s="23" t="s">
        <v>1411</v>
      </c>
      <c r="N420" s="719"/>
      <c r="O420" s="720"/>
      <c r="U420" s="719"/>
      <c r="V420" s="720"/>
      <c r="AB420" s="719"/>
      <c r="AC420" s="720"/>
    </row>
    <row r="421" spans="1:29" ht="13">
      <c r="A421" s="83"/>
      <c r="B421" s="22"/>
      <c r="C421" s="22"/>
      <c r="G421" s="719"/>
      <c r="H421" s="720"/>
      <c r="I421" s="83" t="s">
        <v>1101</v>
      </c>
      <c r="J421" s="22"/>
      <c r="K421" s="22">
        <v>3</v>
      </c>
      <c r="L421" s="23" t="s">
        <v>1412</v>
      </c>
      <c r="M421" s="23" t="s">
        <v>1411</v>
      </c>
      <c r="N421" s="719"/>
      <c r="O421" s="720"/>
      <c r="U421" s="719"/>
      <c r="V421" s="720"/>
      <c r="AB421" s="719"/>
      <c r="AC421" s="720"/>
    </row>
    <row r="422" spans="1:29" ht="13">
      <c r="A422" s="83"/>
      <c r="B422" s="22"/>
      <c r="C422" s="22"/>
      <c r="G422" s="719"/>
      <c r="H422" s="720"/>
      <c r="I422" s="83" t="s">
        <v>290</v>
      </c>
      <c r="J422" s="22"/>
      <c r="K422" s="22">
        <v>2070</v>
      </c>
      <c r="L422" s="23" t="s">
        <v>1404</v>
      </c>
      <c r="N422" s="719"/>
      <c r="O422" s="720"/>
      <c r="U422" s="719"/>
      <c r="V422" s="720"/>
      <c r="AB422" s="719"/>
      <c r="AC422" s="720"/>
    </row>
    <row r="423" spans="1:29" ht="13">
      <c r="A423" s="83"/>
      <c r="B423" s="22"/>
      <c r="C423" s="22"/>
      <c r="G423" s="719"/>
      <c r="H423" s="720"/>
      <c r="I423" s="83" t="s">
        <v>290</v>
      </c>
      <c r="J423" s="22"/>
      <c r="K423" s="22">
        <v>40</v>
      </c>
      <c r="L423" s="23" t="s">
        <v>838</v>
      </c>
      <c r="N423" s="719"/>
      <c r="O423" s="720"/>
      <c r="U423" s="719"/>
      <c r="V423" s="720"/>
      <c r="AB423" s="719"/>
      <c r="AC423" s="720"/>
    </row>
    <row r="424" spans="1:29" ht="13">
      <c r="A424" s="107"/>
      <c r="B424" s="22"/>
      <c r="C424" s="22"/>
      <c r="G424" s="719"/>
      <c r="H424" s="720"/>
      <c r="I424" s="107">
        <v>45299</v>
      </c>
      <c r="J424" s="22"/>
      <c r="K424" s="22">
        <v>1420</v>
      </c>
      <c r="L424" s="23" t="s">
        <v>1078</v>
      </c>
      <c r="M424" s="23" t="s">
        <v>1413</v>
      </c>
      <c r="N424" s="719"/>
      <c r="O424" s="720"/>
      <c r="U424" s="719"/>
      <c r="V424" s="720"/>
      <c r="AB424" s="719"/>
      <c r="AC424" s="720"/>
    </row>
    <row r="425" spans="1:29" ht="13">
      <c r="A425" s="107"/>
      <c r="B425" s="22"/>
      <c r="C425" s="22"/>
      <c r="G425" s="719"/>
      <c r="H425" s="720"/>
      <c r="I425" s="107">
        <v>45299</v>
      </c>
      <c r="J425" s="22"/>
      <c r="K425" s="22">
        <v>40</v>
      </c>
      <c r="L425" s="23" t="s">
        <v>838</v>
      </c>
      <c r="N425" s="719"/>
      <c r="O425" s="720"/>
      <c r="U425" s="719"/>
      <c r="V425" s="720"/>
      <c r="AB425" s="719"/>
      <c r="AC425" s="720"/>
    </row>
    <row r="426" spans="1:29" ht="13">
      <c r="A426" s="107"/>
      <c r="B426" s="22"/>
      <c r="C426" s="22"/>
      <c r="G426" s="719"/>
      <c r="H426" s="720"/>
      <c r="I426" s="107">
        <v>45299</v>
      </c>
      <c r="J426" s="22"/>
      <c r="K426" s="22">
        <v>1260</v>
      </c>
      <c r="L426" s="23" t="s">
        <v>1087</v>
      </c>
      <c r="M426" s="23" t="s">
        <v>1414</v>
      </c>
      <c r="N426" s="719"/>
      <c r="O426" s="720"/>
      <c r="U426" s="719"/>
      <c r="V426" s="720"/>
      <c r="AB426" s="719"/>
      <c r="AC426" s="720"/>
    </row>
    <row r="427" spans="1:29" ht="13">
      <c r="A427" s="83"/>
      <c r="B427" s="22"/>
      <c r="C427" s="22"/>
      <c r="G427" s="719"/>
      <c r="H427" s="720"/>
      <c r="I427" s="107">
        <v>45299</v>
      </c>
      <c r="J427" s="22"/>
      <c r="K427" s="22">
        <v>40</v>
      </c>
      <c r="L427" s="23" t="s">
        <v>838</v>
      </c>
      <c r="N427" s="719"/>
      <c r="O427" s="720"/>
      <c r="U427" s="719"/>
      <c r="V427" s="720"/>
      <c r="AB427" s="719"/>
      <c r="AC427" s="720"/>
    </row>
    <row r="428" spans="1:29" ht="13">
      <c r="A428" s="83"/>
      <c r="B428" s="22"/>
      <c r="C428" s="22"/>
      <c r="G428" s="719"/>
      <c r="H428" s="720"/>
      <c r="I428" s="107">
        <v>45299</v>
      </c>
      <c r="J428" s="22"/>
      <c r="K428" s="22">
        <v>1320</v>
      </c>
      <c r="L428" s="23" t="s">
        <v>1119</v>
      </c>
      <c r="M428" s="23" t="s">
        <v>1415</v>
      </c>
      <c r="N428" s="719"/>
      <c r="O428" s="720"/>
      <c r="U428" s="719"/>
      <c r="V428" s="720"/>
      <c r="AB428" s="719"/>
      <c r="AC428" s="720"/>
    </row>
    <row r="429" spans="1:29" ht="13">
      <c r="A429" s="83"/>
      <c r="B429" s="22"/>
      <c r="C429" s="22"/>
      <c r="G429" s="719"/>
      <c r="H429" s="720"/>
      <c r="I429" s="107">
        <v>45299</v>
      </c>
      <c r="J429" s="22"/>
      <c r="K429" s="22">
        <v>40</v>
      </c>
      <c r="L429" s="23" t="s">
        <v>838</v>
      </c>
      <c r="N429" s="719"/>
      <c r="O429" s="720"/>
      <c r="U429" s="719"/>
      <c r="V429" s="720"/>
      <c r="AB429" s="719"/>
      <c r="AC429" s="720"/>
    </row>
    <row r="430" spans="1:29" ht="13">
      <c r="A430" s="83"/>
      <c r="B430" s="22"/>
      <c r="C430" s="22"/>
      <c r="G430" s="719"/>
      <c r="H430" s="720"/>
      <c r="I430" s="82">
        <v>45451</v>
      </c>
      <c r="J430" s="22"/>
      <c r="K430" s="22">
        <v>217.42</v>
      </c>
      <c r="L430" s="23" t="s">
        <v>1252</v>
      </c>
      <c r="N430" s="719"/>
      <c r="O430" s="720"/>
      <c r="U430" s="719"/>
      <c r="V430" s="720"/>
      <c r="AB430" s="719"/>
      <c r="AC430" s="720"/>
    </row>
    <row r="431" spans="1:29" ht="13">
      <c r="A431" s="83"/>
      <c r="B431" s="22"/>
      <c r="C431" s="22"/>
      <c r="G431" s="719"/>
      <c r="H431" s="720"/>
      <c r="I431" s="82">
        <v>45451</v>
      </c>
      <c r="J431" s="22"/>
      <c r="K431" s="22">
        <v>2277.5</v>
      </c>
      <c r="L431" s="23" t="s">
        <v>1252</v>
      </c>
      <c r="N431" s="719"/>
      <c r="O431" s="720"/>
      <c r="U431" s="719"/>
      <c r="V431" s="720"/>
      <c r="AB431" s="719"/>
      <c r="AC431" s="720"/>
    </row>
    <row r="432" spans="1:29" ht="13">
      <c r="A432" s="83"/>
      <c r="B432" s="22"/>
      <c r="C432" s="22"/>
      <c r="G432" s="719"/>
      <c r="H432" s="720"/>
      <c r="I432" s="82">
        <v>45512</v>
      </c>
      <c r="J432" s="22"/>
      <c r="K432" s="22">
        <v>25</v>
      </c>
      <c r="L432" s="23" t="s">
        <v>838</v>
      </c>
      <c r="N432" s="719"/>
      <c r="O432" s="720"/>
      <c r="U432" s="719"/>
      <c r="V432" s="720"/>
      <c r="AB432" s="719"/>
      <c r="AC432" s="720"/>
    </row>
    <row r="433" spans="1:29" ht="13">
      <c r="A433" s="83"/>
      <c r="B433" s="22"/>
      <c r="C433" s="22"/>
      <c r="G433" s="719"/>
      <c r="H433" s="720"/>
      <c r="I433" s="82">
        <v>45512</v>
      </c>
      <c r="J433" s="22">
        <v>4240</v>
      </c>
      <c r="K433" s="22"/>
      <c r="L433" s="23" t="s">
        <v>1131</v>
      </c>
      <c r="M433" s="23" t="s">
        <v>1416</v>
      </c>
      <c r="N433" s="719"/>
      <c r="O433" s="720"/>
      <c r="U433" s="719"/>
      <c r="V433" s="720"/>
      <c r="AB433" s="719"/>
      <c r="AC433" s="720"/>
    </row>
    <row r="434" spans="1:29" ht="13">
      <c r="A434" s="83"/>
      <c r="B434" s="22"/>
      <c r="C434" s="22"/>
      <c r="G434" s="719"/>
      <c r="H434" s="720"/>
      <c r="I434" s="82">
        <v>45512</v>
      </c>
      <c r="J434" s="22"/>
      <c r="K434" s="22">
        <v>47.69</v>
      </c>
      <c r="L434" s="23" t="s">
        <v>1417</v>
      </c>
      <c r="N434" s="719"/>
      <c r="O434" s="720"/>
      <c r="U434" s="719"/>
      <c r="V434" s="720"/>
      <c r="AB434" s="719"/>
      <c r="AC434" s="720"/>
    </row>
    <row r="435" spans="1:29" ht="13">
      <c r="A435" s="107"/>
      <c r="B435" s="22"/>
      <c r="C435" s="22"/>
      <c r="G435" s="719"/>
      <c r="H435" s="720"/>
      <c r="I435" s="82">
        <v>45512</v>
      </c>
      <c r="J435" s="22">
        <v>3.51</v>
      </c>
      <c r="K435" s="22"/>
      <c r="L435" s="23" t="s">
        <v>1418</v>
      </c>
      <c r="N435" s="719"/>
      <c r="O435" s="720"/>
      <c r="U435" s="719"/>
      <c r="V435" s="720"/>
      <c r="AB435" s="719"/>
      <c r="AC435" s="720"/>
    </row>
    <row r="436" spans="1:29" ht="13">
      <c r="A436" s="107"/>
      <c r="B436" s="22"/>
      <c r="C436" s="22"/>
      <c r="G436" s="719"/>
      <c r="H436" s="720"/>
      <c r="I436" s="82">
        <v>45543</v>
      </c>
      <c r="J436" s="22">
        <v>5368</v>
      </c>
      <c r="K436" s="22"/>
      <c r="L436" s="23" t="s">
        <v>1104</v>
      </c>
      <c r="M436" s="23" t="s">
        <v>1419</v>
      </c>
      <c r="N436" s="719"/>
      <c r="O436" s="720"/>
      <c r="U436" s="719"/>
      <c r="V436" s="720"/>
      <c r="AB436" s="719"/>
      <c r="AC436" s="720"/>
    </row>
    <row r="437" spans="1:29" ht="13">
      <c r="A437" s="107"/>
      <c r="B437" s="22"/>
      <c r="C437" s="22"/>
      <c r="G437" s="719"/>
      <c r="H437" s="720"/>
      <c r="I437" s="83" t="s">
        <v>904</v>
      </c>
      <c r="J437" s="22"/>
      <c r="K437" s="22">
        <v>32.32</v>
      </c>
      <c r="L437" s="23" t="s">
        <v>1420</v>
      </c>
      <c r="N437" s="719"/>
      <c r="O437" s="720"/>
      <c r="U437" s="719"/>
      <c r="V437" s="720"/>
      <c r="AB437" s="719"/>
      <c r="AC437" s="720"/>
    </row>
    <row r="438" spans="1:29" ht="13">
      <c r="A438" s="107"/>
      <c r="B438" s="22"/>
      <c r="C438" s="22"/>
      <c r="G438" s="719"/>
      <c r="H438" s="720"/>
      <c r="I438" s="83" t="s">
        <v>998</v>
      </c>
      <c r="J438" s="22"/>
      <c r="K438" s="22">
        <v>4750</v>
      </c>
      <c r="L438" s="23" t="s">
        <v>1421</v>
      </c>
      <c r="N438" s="719"/>
      <c r="O438" s="720"/>
      <c r="U438" s="719"/>
      <c r="V438" s="720"/>
      <c r="AB438" s="719"/>
      <c r="AC438" s="720"/>
    </row>
    <row r="439" spans="1:29" ht="13">
      <c r="A439" s="107"/>
      <c r="B439" s="22"/>
      <c r="C439" s="22"/>
      <c r="G439" s="719"/>
      <c r="H439" s="720"/>
      <c r="I439" s="83" t="s">
        <v>998</v>
      </c>
      <c r="J439" s="22"/>
      <c r="K439" s="22">
        <v>40</v>
      </c>
      <c r="L439" s="23" t="s">
        <v>838</v>
      </c>
      <c r="N439" s="719"/>
      <c r="O439" s="720"/>
      <c r="U439" s="719"/>
      <c r="V439" s="720"/>
      <c r="AB439" s="719"/>
      <c r="AC439" s="720"/>
    </row>
    <row r="440" spans="1:29" ht="13">
      <c r="A440" s="740"/>
      <c r="B440" s="22"/>
      <c r="C440" s="22"/>
      <c r="G440" s="719"/>
      <c r="H440" s="720"/>
      <c r="I440" s="107">
        <v>45331</v>
      </c>
      <c r="J440" s="22"/>
      <c r="K440" s="22">
        <v>1320</v>
      </c>
      <c r="L440" s="23" t="s">
        <v>1078</v>
      </c>
      <c r="N440" s="719"/>
      <c r="O440" s="720"/>
      <c r="U440" s="719"/>
      <c r="V440" s="720"/>
      <c r="AB440" s="719"/>
      <c r="AC440" s="720"/>
    </row>
    <row r="441" spans="1:29" ht="13">
      <c r="A441" s="740"/>
      <c r="B441" s="22"/>
      <c r="C441" s="22"/>
      <c r="G441" s="719"/>
      <c r="H441" s="720"/>
      <c r="I441" s="107">
        <v>45331</v>
      </c>
      <c r="J441" s="22"/>
      <c r="K441" s="22">
        <v>40</v>
      </c>
      <c r="L441" s="23" t="s">
        <v>838</v>
      </c>
      <c r="N441" s="719"/>
      <c r="O441" s="720"/>
      <c r="U441" s="719"/>
      <c r="V441" s="720"/>
      <c r="AB441" s="719"/>
      <c r="AC441" s="720"/>
    </row>
    <row r="442" spans="1:29" ht="13">
      <c r="A442" s="740"/>
      <c r="B442" s="22"/>
      <c r="C442" s="22"/>
      <c r="G442" s="719"/>
      <c r="H442" s="720"/>
      <c r="I442" s="107">
        <v>45452</v>
      </c>
      <c r="J442" s="22"/>
      <c r="K442" s="22">
        <v>154.07</v>
      </c>
      <c r="L442" s="23" t="s">
        <v>1252</v>
      </c>
      <c r="N442" s="719"/>
      <c r="O442" s="720"/>
      <c r="U442" s="719"/>
      <c r="V442" s="720"/>
      <c r="AB442" s="719"/>
      <c r="AC442" s="720"/>
    </row>
    <row r="443" spans="1:29" ht="13">
      <c r="A443" s="83"/>
      <c r="B443" s="22"/>
      <c r="C443" s="22"/>
      <c r="G443" s="719"/>
      <c r="H443" s="720"/>
      <c r="I443" s="82">
        <v>45544</v>
      </c>
      <c r="K443" s="23">
        <v>830.41</v>
      </c>
      <c r="L443" s="23" t="s">
        <v>1252</v>
      </c>
      <c r="N443" s="719"/>
      <c r="O443" s="720"/>
      <c r="U443" s="719"/>
      <c r="V443" s="720"/>
      <c r="AB443" s="719"/>
      <c r="AC443" s="720"/>
    </row>
    <row r="444" spans="1:29" ht="13">
      <c r="A444" s="83"/>
      <c r="B444" s="22"/>
      <c r="C444" s="22"/>
      <c r="G444" s="719"/>
      <c r="H444" s="720"/>
      <c r="I444" s="107">
        <v>45574</v>
      </c>
      <c r="J444" s="22">
        <v>4636</v>
      </c>
      <c r="K444" s="22"/>
      <c r="L444" s="23" t="s">
        <v>1104</v>
      </c>
      <c r="M444" s="23" t="s">
        <v>1422</v>
      </c>
      <c r="N444" s="719"/>
      <c r="O444" s="720"/>
      <c r="U444" s="719"/>
      <c r="V444" s="720"/>
      <c r="AB444" s="719"/>
      <c r="AC444" s="720"/>
    </row>
    <row r="445" spans="1:29" ht="13">
      <c r="A445" s="83"/>
      <c r="B445" s="22"/>
      <c r="C445" s="22"/>
      <c r="G445" s="719"/>
      <c r="H445" s="720"/>
      <c r="I445" s="83" t="s">
        <v>905</v>
      </c>
      <c r="J445" s="22"/>
      <c r="K445" s="22">
        <v>31.91</v>
      </c>
      <c r="L445" s="23" t="s">
        <v>1420</v>
      </c>
      <c r="N445" s="719"/>
      <c r="O445" s="720"/>
      <c r="U445" s="719"/>
      <c r="V445" s="720"/>
      <c r="AB445" s="719"/>
      <c r="AC445" s="720"/>
    </row>
    <row r="446" spans="1:29" ht="13">
      <c r="A446" s="83"/>
      <c r="B446" s="22"/>
      <c r="C446" s="22"/>
      <c r="G446" s="719"/>
      <c r="H446" s="720"/>
      <c r="I446" s="83" t="s">
        <v>1133</v>
      </c>
      <c r="J446" s="22"/>
      <c r="K446" s="22">
        <v>4680</v>
      </c>
      <c r="L446" s="23" t="s">
        <v>1421</v>
      </c>
      <c r="N446" s="719"/>
      <c r="O446" s="720"/>
      <c r="U446" s="719"/>
      <c r="V446" s="720"/>
      <c r="AB446" s="719"/>
      <c r="AC446" s="720"/>
    </row>
    <row r="447" spans="1:29" ht="13">
      <c r="A447" s="83"/>
      <c r="B447" s="22"/>
      <c r="C447" s="22"/>
      <c r="G447" s="719"/>
      <c r="H447" s="720"/>
      <c r="I447" s="83" t="s">
        <v>1133</v>
      </c>
      <c r="J447" s="22"/>
      <c r="K447" s="22">
        <v>40</v>
      </c>
      <c r="L447" s="23" t="s">
        <v>838</v>
      </c>
      <c r="N447" s="719"/>
      <c r="O447" s="720"/>
      <c r="U447" s="719"/>
      <c r="V447" s="720"/>
      <c r="AB447" s="719"/>
      <c r="AC447" s="720"/>
    </row>
    <row r="448" spans="1:29" ht="13">
      <c r="A448" s="83"/>
      <c r="B448" s="22"/>
      <c r="C448" s="22"/>
      <c r="G448" s="719"/>
      <c r="H448" s="720"/>
      <c r="I448" s="107">
        <v>45301</v>
      </c>
      <c r="J448" s="22"/>
      <c r="K448" s="22">
        <v>25</v>
      </c>
      <c r="L448" s="23" t="s">
        <v>838</v>
      </c>
      <c r="N448" s="719"/>
      <c r="O448" s="720"/>
      <c r="U448" s="719"/>
      <c r="V448" s="720"/>
      <c r="AB448" s="719"/>
      <c r="AC448" s="720"/>
    </row>
    <row r="449" spans="1:29" ht="13">
      <c r="A449" s="83"/>
      <c r="B449" s="22"/>
      <c r="C449" s="22"/>
      <c r="G449" s="719"/>
      <c r="H449" s="720"/>
      <c r="I449" s="107">
        <v>45301</v>
      </c>
      <c r="J449" s="22">
        <v>6360</v>
      </c>
      <c r="K449" s="22"/>
      <c r="L449" s="23" t="s">
        <v>1131</v>
      </c>
      <c r="M449" s="23" t="s">
        <v>1168</v>
      </c>
      <c r="N449" s="719"/>
      <c r="O449" s="720"/>
      <c r="U449" s="719"/>
      <c r="V449" s="720"/>
      <c r="AB449" s="719"/>
      <c r="AC449" s="720"/>
    </row>
    <row r="450" spans="1:29" ht="13">
      <c r="A450" s="83"/>
      <c r="B450" s="22"/>
      <c r="C450" s="22"/>
      <c r="G450" s="719"/>
      <c r="H450" s="720"/>
      <c r="I450" s="107">
        <v>45301</v>
      </c>
      <c r="J450" s="22"/>
      <c r="K450" s="22">
        <v>1320</v>
      </c>
      <c r="L450" s="23" t="s">
        <v>1078</v>
      </c>
      <c r="N450" s="719"/>
      <c r="O450" s="720"/>
      <c r="U450" s="719"/>
      <c r="V450" s="720"/>
      <c r="AB450" s="719"/>
      <c r="AC450" s="720"/>
    </row>
    <row r="451" spans="1:29" ht="13">
      <c r="A451" s="740"/>
      <c r="B451" s="22"/>
      <c r="C451" s="22"/>
      <c r="G451" s="719"/>
      <c r="H451" s="720"/>
      <c r="I451" s="107">
        <v>45301</v>
      </c>
      <c r="J451" s="22"/>
      <c r="K451" s="22">
        <v>40</v>
      </c>
      <c r="L451" s="23" t="s">
        <v>838</v>
      </c>
      <c r="N451" s="719"/>
      <c r="O451" s="720"/>
      <c r="U451" s="719"/>
      <c r="V451" s="720"/>
      <c r="AB451" s="719"/>
      <c r="AC451" s="720"/>
    </row>
    <row r="452" spans="1:29" ht="13">
      <c r="A452" s="740"/>
      <c r="B452" s="22"/>
      <c r="C452" s="22"/>
      <c r="G452" s="719"/>
      <c r="H452" s="720"/>
      <c r="I452" s="107">
        <v>45483</v>
      </c>
      <c r="J452" s="22"/>
      <c r="K452" s="22">
        <v>111.58</v>
      </c>
      <c r="L452" s="23" t="s">
        <v>1252</v>
      </c>
      <c r="N452" s="719"/>
      <c r="O452" s="720"/>
      <c r="U452" s="719"/>
      <c r="V452" s="720"/>
      <c r="AB452" s="719"/>
      <c r="AC452" s="720"/>
    </row>
    <row r="453" spans="1:29" ht="13">
      <c r="A453" s="740"/>
      <c r="B453" s="22"/>
      <c r="C453" s="22"/>
      <c r="G453" s="719"/>
      <c r="H453" s="720"/>
      <c r="I453" s="107">
        <v>45483</v>
      </c>
      <c r="J453" s="22"/>
      <c r="K453" s="22">
        <v>754.29</v>
      </c>
      <c r="L453" s="23" t="s">
        <v>1252</v>
      </c>
      <c r="N453" s="719"/>
      <c r="O453" s="720"/>
      <c r="U453" s="719"/>
      <c r="V453" s="720"/>
      <c r="AB453" s="719"/>
      <c r="AC453" s="720"/>
    </row>
    <row r="454" spans="1:29" ht="13">
      <c r="A454" s="83"/>
      <c r="B454" s="22"/>
      <c r="C454" s="22"/>
      <c r="G454" s="719"/>
      <c r="H454" s="720"/>
      <c r="I454" s="274">
        <v>45575</v>
      </c>
      <c r="J454" s="22">
        <v>3599</v>
      </c>
      <c r="K454" s="22"/>
      <c r="L454" s="23" t="s">
        <v>1104</v>
      </c>
      <c r="M454" s="23" t="s">
        <v>1423</v>
      </c>
      <c r="N454" s="719"/>
      <c r="O454" s="720"/>
      <c r="U454" s="719"/>
      <c r="V454" s="720"/>
      <c r="AB454" s="719"/>
      <c r="AC454" s="720"/>
    </row>
    <row r="455" spans="1:29" ht="13">
      <c r="A455" s="83"/>
      <c r="B455" s="22"/>
      <c r="C455" s="22"/>
      <c r="G455" s="719"/>
      <c r="H455" s="720"/>
      <c r="I455" s="274">
        <v>45575</v>
      </c>
      <c r="J455" s="22">
        <v>6360</v>
      </c>
      <c r="K455" s="22"/>
      <c r="L455" s="23" t="s">
        <v>1131</v>
      </c>
      <c r="M455" s="23" t="s">
        <v>1424</v>
      </c>
      <c r="N455" s="719"/>
      <c r="O455" s="720"/>
      <c r="U455" s="719"/>
      <c r="V455" s="720"/>
      <c r="AB455" s="719"/>
      <c r="AC455" s="720"/>
    </row>
    <row r="456" spans="1:29" ht="13">
      <c r="A456" s="83"/>
      <c r="B456" s="22"/>
      <c r="C456" s="22"/>
      <c r="G456" s="719"/>
      <c r="H456" s="720"/>
      <c r="I456" s="274">
        <v>45575</v>
      </c>
      <c r="J456" s="22"/>
      <c r="K456" s="22">
        <v>25</v>
      </c>
      <c r="L456" s="23" t="s">
        <v>838</v>
      </c>
      <c r="N456" s="719"/>
      <c r="O456" s="720"/>
      <c r="U456" s="719"/>
      <c r="V456" s="720"/>
      <c r="AB456" s="719"/>
      <c r="AC456" s="720"/>
    </row>
    <row r="457" spans="1:29" ht="13">
      <c r="A457" s="83"/>
      <c r="B457" s="22"/>
      <c r="C457" s="22"/>
      <c r="G457" s="719"/>
      <c r="H457" s="720"/>
      <c r="I457" s="83" t="s">
        <v>907</v>
      </c>
      <c r="J457" s="22"/>
      <c r="K457" s="22">
        <v>32.67</v>
      </c>
      <c r="L457" s="23" t="s">
        <v>1420</v>
      </c>
      <c r="N457" s="719"/>
      <c r="O457" s="720"/>
      <c r="U457" s="719"/>
      <c r="V457" s="720"/>
      <c r="AB457" s="719"/>
      <c r="AC457" s="720"/>
    </row>
    <row r="458" spans="1:29" ht="13">
      <c r="A458" s="83"/>
      <c r="B458" s="22"/>
      <c r="C458" s="22"/>
      <c r="G458" s="719"/>
      <c r="H458" s="720"/>
      <c r="I458" s="83" t="s">
        <v>1008</v>
      </c>
      <c r="J458" s="22"/>
      <c r="K458" s="22">
        <v>4680</v>
      </c>
      <c r="L458" s="23" t="s">
        <v>1421</v>
      </c>
      <c r="N458" s="719"/>
      <c r="O458" s="720"/>
      <c r="U458" s="719"/>
      <c r="V458" s="720"/>
      <c r="AB458" s="719"/>
      <c r="AC458" s="720"/>
    </row>
    <row r="459" spans="1:29" ht="13">
      <c r="A459" s="83"/>
      <c r="B459" s="22"/>
      <c r="C459" s="22"/>
      <c r="G459" s="719"/>
      <c r="H459" s="720"/>
      <c r="I459" s="83" t="s">
        <v>1008</v>
      </c>
      <c r="J459" s="22"/>
      <c r="K459" s="22">
        <v>40</v>
      </c>
      <c r="L459" s="23" t="s">
        <v>838</v>
      </c>
      <c r="N459" s="719"/>
      <c r="O459" s="720"/>
      <c r="U459" s="719"/>
      <c r="V459" s="720"/>
      <c r="AB459" s="719"/>
      <c r="AC459" s="720"/>
    </row>
    <row r="460" spans="1:29" ht="13">
      <c r="A460" s="83"/>
      <c r="B460" s="22"/>
      <c r="C460" s="22"/>
      <c r="G460" s="719"/>
      <c r="H460" s="720"/>
      <c r="I460" s="107">
        <v>45302</v>
      </c>
      <c r="J460" s="22"/>
      <c r="K460" s="22">
        <v>1375</v>
      </c>
      <c r="L460" s="23" t="s">
        <v>1078</v>
      </c>
      <c r="N460" s="719"/>
      <c r="O460" s="720"/>
      <c r="U460" s="719"/>
      <c r="V460" s="720"/>
      <c r="AB460" s="719"/>
      <c r="AC460" s="720"/>
    </row>
    <row r="461" spans="1:29" ht="13">
      <c r="A461" s="83"/>
      <c r="B461" s="22"/>
      <c r="C461" s="22"/>
      <c r="G461" s="719"/>
      <c r="H461" s="720"/>
      <c r="I461" s="107">
        <v>45302</v>
      </c>
      <c r="J461" s="22"/>
      <c r="K461" s="22">
        <v>40</v>
      </c>
      <c r="L461" s="23" t="s">
        <v>838</v>
      </c>
      <c r="N461" s="719"/>
      <c r="O461" s="720"/>
      <c r="U461" s="719"/>
      <c r="V461" s="720"/>
      <c r="AB461" s="719"/>
      <c r="AC461" s="720"/>
    </row>
    <row r="462" spans="1:29" ht="13">
      <c r="A462" s="83"/>
      <c r="B462" s="22"/>
      <c r="C462" s="22"/>
      <c r="G462" s="719"/>
      <c r="H462" s="720"/>
      <c r="I462" s="107">
        <v>45484</v>
      </c>
      <c r="J462" s="22"/>
      <c r="K462" s="22">
        <v>25</v>
      </c>
      <c r="L462" s="23" t="s">
        <v>838</v>
      </c>
      <c r="N462" s="719"/>
      <c r="O462" s="720"/>
      <c r="U462" s="719"/>
      <c r="V462" s="720"/>
      <c r="AB462" s="719"/>
      <c r="AC462" s="720"/>
    </row>
    <row r="463" spans="1:29" ht="13">
      <c r="A463" s="742"/>
      <c r="B463" s="22"/>
      <c r="C463" s="22"/>
      <c r="G463" s="719"/>
      <c r="H463" s="720"/>
      <c r="I463" s="107">
        <v>45484</v>
      </c>
      <c r="J463" s="22">
        <v>6890</v>
      </c>
      <c r="K463" s="22"/>
      <c r="L463" s="23" t="s">
        <v>1131</v>
      </c>
      <c r="M463" s="23" t="s">
        <v>1425</v>
      </c>
      <c r="N463" s="719"/>
      <c r="O463" s="720"/>
      <c r="U463" s="719"/>
      <c r="V463" s="720"/>
      <c r="AB463" s="719"/>
      <c r="AC463" s="720"/>
    </row>
    <row r="464" spans="1:29" ht="13">
      <c r="A464" s="742"/>
      <c r="B464" s="22"/>
      <c r="C464" s="22"/>
      <c r="G464" s="719"/>
      <c r="H464" s="720"/>
      <c r="I464" s="738">
        <v>45607</v>
      </c>
      <c r="J464" s="22">
        <v>5368</v>
      </c>
      <c r="K464" s="22"/>
      <c r="L464" s="23" t="s">
        <v>1104</v>
      </c>
      <c r="M464" s="23" t="s">
        <v>1426</v>
      </c>
      <c r="N464" s="719"/>
      <c r="O464" s="720"/>
      <c r="U464" s="719"/>
      <c r="V464" s="720"/>
      <c r="AB464" s="719"/>
      <c r="AC464" s="720"/>
    </row>
    <row r="465" spans="1:29" ht="13">
      <c r="A465" s="742"/>
      <c r="B465" s="22"/>
      <c r="C465" s="22"/>
      <c r="G465" s="719"/>
      <c r="H465" s="720"/>
      <c r="I465" s="738">
        <v>45607</v>
      </c>
      <c r="J465" s="22"/>
      <c r="K465" s="22">
        <v>177</v>
      </c>
      <c r="L465" s="23" t="s">
        <v>1252</v>
      </c>
      <c r="N465" s="719"/>
      <c r="O465" s="720"/>
      <c r="U465" s="719"/>
      <c r="V465" s="720"/>
      <c r="AB465" s="719"/>
      <c r="AC465" s="720"/>
    </row>
    <row r="466" spans="1:29" ht="13">
      <c r="A466" s="742"/>
      <c r="B466" s="22"/>
      <c r="C466" s="22"/>
      <c r="G466" s="719"/>
      <c r="H466" s="720"/>
      <c r="I466" s="738">
        <v>45607</v>
      </c>
      <c r="J466" s="22"/>
      <c r="K466" s="22">
        <v>1673.55</v>
      </c>
      <c r="L466" s="23" t="s">
        <v>1252</v>
      </c>
      <c r="N466" s="719"/>
      <c r="O466" s="720"/>
      <c r="U466" s="719"/>
      <c r="V466" s="720"/>
      <c r="AB466" s="719"/>
      <c r="AC466" s="720"/>
    </row>
    <row r="467" spans="1:29" ht="13">
      <c r="A467" s="740"/>
      <c r="B467" s="22"/>
      <c r="C467" s="22"/>
      <c r="G467" s="719"/>
      <c r="H467" s="720"/>
      <c r="I467" s="83" t="s">
        <v>318</v>
      </c>
      <c r="J467" s="22"/>
      <c r="K467" s="22">
        <v>31.65</v>
      </c>
      <c r="L467" s="23" t="s">
        <v>1420</v>
      </c>
      <c r="N467" s="719"/>
      <c r="O467" s="720"/>
      <c r="U467" s="719"/>
      <c r="V467" s="720"/>
      <c r="AB467" s="719"/>
      <c r="AC467" s="720"/>
    </row>
    <row r="468" spans="1:29" ht="13">
      <c r="A468" s="740"/>
      <c r="B468" s="22"/>
      <c r="C468" s="22"/>
      <c r="G468" s="719"/>
      <c r="H468" s="720"/>
      <c r="I468" s="107">
        <v>45334</v>
      </c>
      <c r="J468" s="22"/>
      <c r="K468" s="22">
        <v>4680</v>
      </c>
      <c r="L468" s="23" t="s">
        <v>1421</v>
      </c>
      <c r="N468" s="719"/>
      <c r="O468" s="720"/>
      <c r="U468" s="719"/>
      <c r="V468" s="720"/>
      <c r="AB468" s="719"/>
      <c r="AC468" s="720"/>
    </row>
    <row r="469" spans="1:29" ht="13">
      <c r="A469" s="740"/>
      <c r="B469" s="22"/>
      <c r="C469" s="22"/>
      <c r="G469" s="719"/>
      <c r="H469" s="720"/>
      <c r="I469" s="107">
        <v>45334</v>
      </c>
      <c r="J469" s="22"/>
      <c r="K469" s="22">
        <v>40</v>
      </c>
      <c r="L469" s="23" t="s">
        <v>838</v>
      </c>
      <c r="N469" s="719"/>
      <c r="O469" s="720"/>
      <c r="U469" s="719"/>
      <c r="V469" s="720"/>
      <c r="AB469" s="719"/>
      <c r="AC469" s="720"/>
    </row>
    <row r="470" spans="1:29" ht="13">
      <c r="A470" s="740"/>
      <c r="B470" s="22"/>
      <c r="C470" s="22"/>
      <c r="G470" s="719"/>
      <c r="H470" s="720"/>
      <c r="I470" s="107">
        <v>45334</v>
      </c>
      <c r="J470" s="22"/>
      <c r="K470" s="22">
        <v>1320</v>
      </c>
      <c r="L470" s="23" t="s">
        <v>1078</v>
      </c>
      <c r="N470" s="719"/>
      <c r="O470" s="720"/>
      <c r="U470" s="719"/>
      <c r="V470" s="720"/>
      <c r="AB470" s="719"/>
      <c r="AC470" s="720"/>
    </row>
    <row r="471" spans="1:29" ht="13">
      <c r="A471" s="740"/>
      <c r="B471" s="22"/>
      <c r="C471" s="22"/>
      <c r="G471" s="719"/>
      <c r="H471" s="720"/>
      <c r="I471" s="107">
        <v>45334</v>
      </c>
      <c r="J471" s="22"/>
      <c r="K471" s="22">
        <v>40</v>
      </c>
      <c r="L471" s="23" t="s">
        <v>838</v>
      </c>
      <c r="N471" s="719"/>
      <c r="O471" s="720"/>
      <c r="U471" s="719"/>
      <c r="V471" s="720"/>
      <c r="AB471" s="719"/>
      <c r="AC471" s="720"/>
    </row>
    <row r="472" spans="1:29" ht="13">
      <c r="A472" s="740"/>
      <c r="B472" s="22"/>
      <c r="C472" s="22"/>
      <c r="G472" s="719"/>
      <c r="H472" s="720"/>
      <c r="I472" s="107">
        <v>45363</v>
      </c>
      <c r="J472" s="22"/>
      <c r="K472" s="22">
        <v>154</v>
      </c>
      <c r="L472" s="23" t="s">
        <v>1239</v>
      </c>
      <c r="N472" s="719"/>
      <c r="O472" s="720"/>
      <c r="U472" s="719"/>
      <c r="V472" s="720"/>
      <c r="AB472" s="719"/>
      <c r="AC472" s="720"/>
    </row>
    <row r="473" spans="1:29" ht="13">
      <c r="A473" s="83"/>
      <c r="B473" s="22"/>
      <c r="C473" s="22"/>
      <c r="G473" s="719"/>
      <c r="H473" s="720"/>
      <c r="I473" s="107">
        <v>45363</v>
      </c>
      <c r="J473" s="22"/>
      <c r="K473" s="22">
        <v>154</v>
      </c>
      <c r="L473" s="23" t="s">
        <v>1239</v>
      </c>
      <c r="N473" s="719"/>
      <c r="O473" s="720"/>
      <c r="U473" s="719"/>
      <c r="V473" s="720"/>
      <c r="AB473" s="719"/>
      <c r="AC473" s="720"/>
    </row>
    <row r="474" spans="1:29" ht="13">
      <c r="A474" s="83"/>
      <c r="B474" s="22"/>
      <c r="C474" s="22"/>
      <c r="G474" s="719"/>
      <c r="H474" s="720"/>
      <c r="I474" s="107">
        <v>45363</v>
      </c>
      <c r="J474" s="22"/>
      <c r="K474" s="22">
        <v>153.72</v>
      </c>
      <c r="L474" s="23" t="s">
        <v>1239</v>
      </c>
      <c r="N474" s="719"/>
      <c r="O474" s="720"/>
      <c r="U474" s="719"/>
      <c r="V474" s="720"/>
      <c r="AB474" s="719"/>
      <c r="AC474" s="720"/>
    </row>
    <row r="475" spans="1:29" ht="13">
      <c r="A475" s="83"/>
      <c r="B475" s="22"/>
      <c r="C475" s="22"/>
      <c r="G475" s="719"/>
      <c r="H475" s="720"/>
      <c r="I475" s="107">
        <v>45363</v>
      </c>
      <c r="J475" s="22"/>
      <c r="K475" s="22">
        <v>3</v>
      </c>
      <c r="L475" s="23" t="s">
        <v>1412</v>
      </c>
      <c r="N475" s="719"/>
      <c r="O475" s="720"/>
      <c r="U475" s="719"/>
      <c r="V475" s="720"/>
      <c r="AB475" s="719"/>
      <c r="AC475" s="720"/>
    </row>
    <row r="476" spans="1:29" ht="13">
      <c r="A476" s="83"/>
      <c r="B476" s="22"/>
      <c r="C476" s="22"/>
      <c r="G476" s="719"/>
      <c r="H476" s="720"/>
      <c r="I476" s="107">
        <v>45363</v>
      </c>
      <c r="J476" s="22"/>
      <c r="K476" s="22">
        <v>3</v>
      </c>
      <c r="L476" s="23" t="s">
        <v>1412</v>
      </c>
      <c r="N476" s="719"/>
      <c r="O476" s="720"/>
      <c r="U476" s="719"/>
      <c r="V476" s="720"/>
      <c r="AB476" s="719"/>
      <c r="AC476" s="720"/>
    </row>
    <row r="477" spans="1:29" ht="13">
      <c r="A477" s="83"/>
      <c r="B477" s="22"/>
      <c r="C477" s="22"/>
      <c r="G477" s="719"/>
      <c r="H477" s="720"/>
      <c r="I477" s="107">
        <v>45363</v>
      </c>
      <c r="J477" s="22"/>
      <c r="K477" s="22">
        <v>3</v>
      </c>
      <c r="L477" s="23" t="s">
        <v>1412</v>
      </c>
      <c r="N477" s="719"/>
      <c r="O477" s="720"/>
      <c r="U477" s="719"/>
      <c r="V477" s="720"/>
      <c r="AB477" s="719"/>
      <c r="AC477" s="720"/>
    </row>
    <row r="478" spans="1:29" ht="13">
      <c r="A478" s="83"/>
      <c r="B478" s="22"/>
      <c r="C478" s="22"/>
      <c r="G478" s="719"/>
      <c r="H478" s="720"/>
      <c r="I478" s="107">
        <v>45424</v>
      </c>
      <c r="J478" s="22"/>
      <c r="K478" s="22">
        <v>25</v>
      </c>
      <c r="L478" s="23" t="s">
        <v>838</v>
      </c>
      <c r="N478" s="719"/>
      <c r="O478" s="720"/>
      <c r="U478" s="719"/>
      <c r="V478" s="720"/>
      <c r="AB478" s="719"/>
      <c r="AC478" s="720"/>
    </row>
    <row r="479" spans="1:29" ht="13">
      <c r="A479" s="83"/>
      <c r="B479" s="22"/>
      <c r="C479" s="22"/>
      <c r="G479" s="719"/>
      <c r="H479" s="720"/>
      <c r="I479" s="107">
        <v>45424</v>
      </c>
      <c r="J479" s="22">
        <v>6360</v>
      </c>
      <c r="K479" s="22"/>
      <c r="L479" s="23" t="s">
        <v>1131</v>
      </c>
      <c r="M479" s="23" t="s">
        <v>1427</v>
      </c>
      <c r="N479" s="719"/>
      <c r="O479" s="720"/>
      <c r="U479" s="719"/>
      <c r="V479" s="720"/>
      <c r="AB479" s="719"/>
      <c r="AC479" s="720"/>
    </row>
    <row r="480" spans="1:29" ht="13">
      <c r="A480" s="83"/>
      <c r="B480" s="22"/>
      <c r="C480" s="22"/>
      <c r="G480" s="719"/>
      <c r="H480" s="720"/>
      <c r="I480" s="107">
        <v>45547</v>
      </c>
      <c r="J480" s="22"/>
      <c r="K480" s="22">
        <v>200.56</v>
      </c>
      <c r="L480" s="23" t="s">
        <v>1252</v>
      </c>
      <c r="N480" s="719"/>
      <c r="O480" s="720"/>
      <c r="U480" s="719"/>
      <c r="V480" s="720"/>
      <c r="AB480" s="719"/>
      <c r="AC480" s="720"/>
    </row>
    <row r="481" spans="1:29" ht="13">
      <c r="A481" s="83"/>
      <c r="B481" s="22"/>
      <c r="C481" s="22"/>
      <c r="G481" s="719"/>
      <c r="H481" s="720"/>
      <c r="I481" s="107">
        <v>45547</v>
      </c>
      <c r="J481" s="22"/>
      <c r="K481" s="22">
        <v>1640.01</v>
      </c>
      <c r="L481" s="23" t="s">
        <v>1252</v>
      </c>
      <c r="N481" s="719"/>
      <c r="O481" s="720"/>
      <c r="U481" s="719"/>
      <c r="V481" s="720"/>
      <c r="AB481" s="719"/>
      <c r="AC481" s="720"/>
    </row>
    <row r="482" spans="1:29" ht="13">
      <c r="A482" s="83"/>
      <c r="B482" s="22"/>
      <c r="C482" s="22"/>
      <c r="G482" s="719"/>
      <c r="H482" s="720"/>
      <c r="I482" s="274">
        <v>45608</v>
      </c>
      <c r="J482" s="22">
        <v>5124</v>
      </c>
      <c r="L482" s="23" t="s">
        <v>1104</v>
      </c>
      <c r="M482" s="23" t="s">
        <v>1428</v>
      </c>
      <c r="N482" s="719"/>
      <c r="O482" s="720"/>
      <c r="U482" s="719"/>
      <c r="V482" s="720"/>
      <c r="AB482" s="719"/>
      <c r="AC482" s="720"/>
    </row>
    <row r="483" spans="1:29" ht="13">
      <c r="A483" s="107"/>
      <c r="B483" s="22"/>
      <c r="C483" s="22"/>
      <c r="G483" s="719"/>
      <c r="H483" s="720"/>
      <c r="I483" s="83" t="s">
        <v>1429</v>
      </c>
      <c r="J483" s="22"/>
      <c r="K483" s="23">
        <v>30.59</v>
      </c>
      <c r="L483" s="23" t="s">
        <v>1420</v>
      </c>
      <c r="N483" s="719"/>
      <c r="O483" s="720"/>
      <c r="U483" s="719"/>
      <c r="V483" s="720"/>
      <c r="AB483" s="719"/>
      <c r="AC483" s="720"/>
    </row>
    <row r="484" spans="1:29" ht="13">
      <c r="A484" s="107"/>
      <c r="B484" s="22"/>
      <c r="C484" s="22"/>
      <c r="G484" s="719"/>
      <c r="H484" s="720"/>
      <c r="I484" s="83" t="s">
        <v>1151</v>
      </c>
      <c r="J484" s="22"/>
      <c r="K484" s="22">
        <v>4154</v>
      </c>
      <c r="L484" s="23" t="s">
        <v>1064</v>
      </c>
      <c r="N484" s="719"/>
      <c r="O484" s="720"/>
      <c r="U484" s="719"/>
      <c r="V484" s="720"/>
      <c r="AB484" s="719"/>
      <c r="AC484" s="720"/>
    </row>
    <row r="485" spans="1:29" ht="13">
      <c r="A485" s="107"/>
      <c r="B485" s="22"/>
      <c r="C485" s="22"/>
      <c r="G485" s="719"/>
      <c r="H485" s="720"/>
      <c r="I485" s="83" t="s">
        <v>1151</v>
      </c>
      <c r="J485" s="22"/>
      <c r="K485" s="22">
        <v>1.9</v>
      </c>
      <c r="L485" s="23" t="s">
        <v>838</v>
      </c>
      <c r="N485" s="719"/>
      <c r="O485" s="720"/>
      <c r="U485" s="719"/>
      <c r="V485" s="720"/>
      <c r="AB485" s="719"/>
      <c r="AC485" s="720"/>
    </row>
    <row r="486" spans="1:29" ht="13">
      <c r="A486" s="107"/>
      <c r="B486" s="22"/>
      <c r="C486" s="22"/>
      <c r="G486" s="719"/>
      <c r="H486" s="720"/>
      <c r="I486" s="83" t="s">
        <v>1151</v>
      </c>
      <c r="J486" s="22"/>
      <c r="K486" s="22">
        <v>3900</v>
      </c>
      <c r="L486" s="23" t="s">
        <v>1421</v>
      </c>
      <c r="N486" s="719"/>
      <c r="O486" s="720"/>
      <c r="U486" s="719"/>
      <c r="V486" s="720"/>
      <c r="AB486" s="719"/>
      <c r="AC486" s="720"/>
    </row>
    <row r="487" spans="1:29" ht="13">
      <c r="A487" s="107"/>
      <c r="B487" s="22"/>
      <c r="C487" s="22"/>
      <c r="G487" s="719"/>
      <c r="H487" s="720"/>
      <c r="I487" s="83" t="s">
        <v>1151</v>
      </c>
      <c r="J487" s="22"/>
      <c r="K487" s="22">
        <v>40</v>
      </c>
      <c r="L487" s="23" t="s">
        <v>838</v>
      </c>
      <c r="N487" s="719"/>
      <c r="O487" s="720"/>
      <c r="U487" s="719"/>
      <c r="V487" s="720"/>
      <c r="AB487" s="719"/>
      <c r="AC487" s="720"/>
    </row>
    <row r="488" spans="1:29" ht="13">
      <c r="A488" s="107"/>
      <c r="B488" s="22"/>
      <c r="C488" s="22"/>
      <c r="G488" s="719"/>
      <c r="H488" s="720"/>
      <c r="I488" s="83" t="s">
        <v>62</v>
      </c>
      <c r="J488" s="22"/>
      <c r="K488" s="22">
        <v>1320</v>
      </c>
      <c r="L488" s="23" t="s">
        <v>1078</v>
      </c>
      <c r="N488" s="719"/>
      <c r="O488" s="720"/>
      <c r="U488" s="719"/>
      <c r="V488" s="720"/>
      <c r="AB488" s="719"/>
      <c r="AC488" s="720"/>
    </row>
    <row r="489" spans="1:29" ht="13">
      <c r="A489" s="107"/>
      <c r="B489" s="22"/>
      <c r="C489" s="22"/>
      <c r="G489" s="719"/>
      <c r="H489" s="720"/>
      <c r="I489" s="83" t="s">
        <v>62</v>
      </c>
      <c r="J489" s="22"/>
      <c r="K489" s="22">
        <v>40</v>
      </c>
      <c r="L489" s="23" t="s">
        <v>838</v>
      </c>
      <c r="N489" s="719"/>
      <c r="O489" s="720"/>
      <c r="U489" s="719"/>
      <c r="V489" s="720"/>
      <c r="AB489" s="719"/>
      <c r="AC489" s="720"/>
    </row>
    <row r="490" spans="1:29" ht="13">
      <c r="A490" s="107"/>
      <c r="B490" s="22"/>
      <c r="C490" s="22"/>
      <c r="G490" s="719"/>
      <c r="H490" s="720"/>
      <c r="I490" s="83" t="s">
        <v>62</v>
      </c>
      <c r="J490" s="22"/>
      <c r="K490" s="22">
        <v>7458.5</v>
      </c>
      <c r="L490" s="23" t="s">
        <v>1016</v>
      </c>
      <c r="N490" s="719"/>
      <c r="O490" s="720"/>
      <c r="U490" s="719"/>
      <c r="V490" s="720"/>
      <c r="AB490" s="719"/>
      <c r="AC490" s="720"/>
    </row>
    <row r="491" spans="1:29" ht="13">
      <c r="A491" s="107"/>
      <c r="B491" s="22"/>
      <c r="C491" s="22"/>
      <c r="G491" s="719"/>
      <c r="H491" s="720"/>
      <c r="I491" s="83" t="s">
        <v>62</v>
      </c>
      <c r="J491" s="22"/>
      <c r="K491" s="22">
        <v>7458.5</v>
      </c>
      <c r="L491" s="23" t="s">
        <v>1015</v>
      </c>
      <c r="N491" s="719"/>
      <c r="O491" s="720"/>
      <c r="U491" s="719"/>
      <c r="V491" s="720"/>
      <c r="AB491" s="719"/>
      <c r="AC491" s="720"/>
    </row>
    <row r="492" spans="1:29" ht="13">
      <c r="A492" s="83"/>
      <c r="B492" s="22"/>
      <c r="C492" s="22"/>
      <c r="G492" s="719"/>
      <c r="H492" s="720"/>
      <c r="I492" s="82">
        <v>45839</v>
      </c>
      <c r="J492" s="22"/>
      <c r="K492" s="22">
        <v>1451.25</v>
      </c>
      <c r="L492" s="23" t="s">
        <v>1252</v>
      </c>
      <c r="N492" s="719"/>
      <c r="O492" s="720"/>
      <c r="U492" s="719"/>
      <c r="V492" s="720"/>
      <c r="AB492" s="719"/>
      <c r="AC492" s="720"/>
    </row>
    <row r="493" spans="1:29" ht="13">
      <c r="A493" s="83"/>
      <c r="B493" s="22"/>
      <c r="C493" s="22"/>
      <c r="G493" s="719"/>
      <c r="H493" s="720"/>
      <c r="I493" s="83" t="s">
        <v>1430</v>
      </c>
      <c r="J493" s="22">
        <v>4636</v>
      </c>
      <c r="K493" s="22"/>
      <c r="L493" s="23" t="s">
        <v>1104</v>
      </c>
      <c r="M493" s="23" t="s">
        <v>1431</v>
      </c>
      <c r="N493" s="719"/>
      <c r="O493" s="720"/>
      <c r="U493" s="719"/>
      <c r="V493" s="720"/>
      <c r="AB493" s="719"/>
      <c r="AC493" s="720"/>
    </row>
    <row r="494" spans="1:29" ht="13">
      <c r="A494" s="83"/>
      <c r="B494" s="22"/>
      <c r="C494" s="22"/>
      <c r="G494" s="719"/>
      <c r="H494" s="720"/>
      <c r="I494" s="83" t="s">
        <v>913</v>
      </c>
      <c r="J494" s="22"/>
      <c r="K494" s="22">
        <v>29.42</v>
      </c>
      <c r="L494" s="23" t="s">
        <v>1420</v>
      </c>
      <c r="N494" s="719"/>
      <c r="O494" s="720"/>
      <c r="U494" s="719"/>
      <c r="V494" s="720"/>
      <c r="AB494" s="719"/>
      <c r="AC494" s="720"/>
    </row>
    <row r="495" spans="1:29" ht="13">
      <c r="A495" s="83"/>
      <c r="B495" s="22"/>
      <c r="C495" s="22"/>
      <c r="G495" s="719"/>
      <c r="H495" s="720"/>
      <c r="I495" s="83" t="s">
        <v>1432</v>
      </c>
      <c r="J495" s="22"/>
      <c r="K495" s="22">
        <v>25</v>
      </c>
      <c r="L495" s="23" t="s">
        <v>838</v>
      </c>
      <c r="N495" s="719"/>
      <c r="O495" s="720"/>
      <c r="U495" s="719"/>
      <c r="V495" s="720"/>
      <c r="AB495" s="719"/>
      <c r="AC495" s="720"/>
    </row>
    <row r="496" spans="1:29" ht="13">
      <c r="A496" s="83"/>
      <c r="B496" s="22"/>
      <c r="C496" s="22"/>
      <c r="G496" s="719"/>
      <c r="H496" s="720"/>
      <c r="I496" s="83" t="s">
        <v>1432</v>
      </c>
      <c r="J496" s="22">
        <v>5512</v>
      </c>
      <c r="K496" s="22"/>
      <c r="L496" s="23" t="s">
        <v>1131</v>
      </c>
      <c r="M496" s="23" t="s">
        <v>1433</v>
      </c>
      <c r="N496" s="719"/>
      <c r="O496" s="720"/>
      <c r="U496" s="719"/>
      <c r="V496" s="720"/>
      <c r="AB496" s="719"/>
      <c r="AC496" s="720"/>
    </row>
    <row r="497" spans="1:29" ht="13">
      <c r="A497" s="83"/>
      <c r="B497" s="22"/>
      <c r="C497" s="22"/>
      <c r="G497" s="719"/>
      <c r="H497" s="720"/>
      <c r="I497" s="107">
        <v>45718</v>
      </c>
      <c r="J497" s="22"/>
      <c r="K497" s="22">
        <v>5000</v>
      </c>
      <c r="L497" s="23" t="s">
        <v>1421</v>
      </c>
      <c r="N497" s="719"/>
      <c r="O497" s="720"/>
      <c r="U497" s="719"/>
      <c r="V497" s="720"/>
      <c r="AB497" s="719"/>
      <c r="AC497" s="720"/>
    </row>
    <row r="498" spans="1:29" ht="13">
      <c r="A498" s="83"/>
      <c r="B498" s="22"/>
      <c r="C498" s="22"/>
      <c r="G498" s="719"/>
      <c r="H498" s="720"/>
      <c r="I498" s="107">
        <v>45718</v>
      </c>
      <c r="J498" s="22"/>
      <c r="K498" s="22">
        <v>40</v>
      </c>
      <c r="L498" s="23" t="s">
        <v>838</v>
      </c>
      <c r="N498" s="719"/>
      <c r="O498" s="720"/>
      <c r="U498" s="719"/>
      <c r="V498" s="720"/>
      <c r="AB498" s="719"/>
      <c r="AC498" s="720"/>
    </row>
    <row r="499" spans="1:29" ht="13">
      <c r="A499" s="107"/>
      <c r="B499" s="22"/>
      <c r="C499" s="22"/>
      <c r="G499" s="719"/>
      <c r="H499" s="720"/>
      <c r="I499" s="107">
        <v>45718</v>
      </c>
      <c r="J499" s="22"/>
      <c r="K499" s="22">
        <v>1320</v>
      </c>
      <c r="L499" s="23" t="s">
        <v>1078</v>
      </c>
      <c r="N499" s="719"/>
      <c r="O499" s="720"/>
      <c r="U499" s="719"/>
      <c r="V499" s="720"/>
      <c r="AB499" s="719"/>
      <c r="AC499" s="720"/>
    </row>
    <row r="500" spans="1:29" ht="13">
      <c r="A500" s="107"/>
      <c r="B500" s="22"/>
      <c r="C500" s="22"/>
      <c r="G500" s="719"/>
      <c r="H500" s="720"/>
      <c r="I500" s="107">
        <v>45718</v>
      </c>
      <c r="J500" s="22"/>
      <c r="K500" s="22">
        <v>40</v>
      </c>
      <c r="L500" s="23" t="s">
        <v>838</v>
      </c>
      <c r="N500" s="719"/>
      <c r="O500" s="720"/>
      <c r="U500" s="719"/>
      <c r="V500" s="720"/>
      <c r="AB500" s="719"/>
      <c r="AC500" s="720"/>
    </row>
    <row r="501" spans="1:29" ht="13">
      <c r="A501" s="107"/>
      <c r="B501" s="22"/>
      <c r="C501" s="22"/>
      <c r="G501" s="719"/>
      <c r="H501" s="720"/>
      <c r="I501" s="107">
        <v>45932</v>
      </c>
      <c r="J501" s="22"/>
      <c r="K501" s="22">
        <v>813.8</v>
      </c>
      <c r="L501" s="23" t="s">
        <v>1252</v>
      </c>
      <c r="N501" s="719"/>
      <c r="O501" s="720"/>
      <c r="U501" s="719"/>
      <c r="V501" s="720"/>
      <c r="AB501" s="719"/>
      <c r="AC501" s="720"/>
    </row>
    <row r="502" spans="1:29" ht="13">
      <c r="A502" s="107"/>
      <c r="B502" s="22"/>
      <c r="C502" s="22"/>
      <c r="G502" s="719"/>
      <c r="H502" s="720"/>
      <c r="I502" s="107">
        <v>45963</v>
      </c>
      <c r="J502" s="22">
        <v>5200.25</v>
      </c>
      <c r="K502" s="22"/>
      <c r="L502" s="23" t="s">
        <v>1104</v>
      </c>
      <c r="M502" s="23" t="s">
        <v>1434</v>
      </c>
      <c r="N502" s="719"/>
      <c r="O502" s="720"/>
      <c r="U502" s="719"/>
      <c r="V502" s="720"/>
      <c r="AB502" s="719"/>
      <c r="AC502" s="720"/>
    </row>
    <row r="503" spans="1:29" ht="13">
      <c r="A503" s="107"/>
      <c r="B503" s="22"/>
      <c r="C503" s="22"/>
      <c r="G503" s="719"/>
      <c r="H503" s="720"/>
      <c r="I503" s="107">
        <v>45993</v>
      </c>
      <c r="J503" s="22"/>
      <c r="K503" s="22">
        <v>166.34</v>
      </c>
      <c r="L503" s="23" t="s">
        <v>1252</v>
      </c>
      <c r="N503" s="719"/>
      <c r="O503" s="720"/>
      <c r="U503" s="719"/>
      <c r="V503" s="720"/>
      <c r="AB503" s="719"/>
      <c r="AC503" s="720"/>
    </row>
    <row r="504" spans="1:29" ht="13">
      <c r="A504" s="107"/>
      <c r="B504" s="22"/>
      <c r="C504" s="22"/>
      <c r="G504" s="719"/>
      <c r="H504" s="720"/>
      <c r="I504" s="83" t="s">
        <v>914</v>
      </c>
      <c r="J504" s="22"/>
      <c r="K504" s="22">
        <v>31.39</v>
      </c>
      <c r="L504" s="23" t="s">
        <v>1420</v>
      </c>
      <c r="N504" s="719"/>
      <c r="O504" s="720"/>
      <c r="U504" s="719"/>
      <c r="V504" s="720"/>
      <c r="AB504" s="719"/>
      <c r="AC504" s="720"/>
    </row>
    <row r="505" spans="1:29" ht="13">
      <c r="A505" s="83"/>
      <c r="B505" s="22"/>
      <c r="C505" s="22"/>
      <c r="G505" s="719"/>
      <c r="H505" s="720"/>
      <c r="I505" s="83" t="s">
        <v>1435</v>
      </c>
      <c r="J505" s="22"/>
      <c r="K505" s="22">
        <v>25</v>
      </c>
      <c r="L505" s="23" t="s">
        <v>838</v>
      </c>
      <c r="N505" s="719"/>
      <c r="O505" s="720"/>
      <c r="U505" s="719"/>
      <c r="V505" s="720"/>
      <c r="AB505" s="719"/>
      <c r="AC505" s="720"/>
    </row>
    <row r="506" spans="1:29" ht="13">
      <c r="A506" s="83"/>
      <c r="B506" s="22"/>
      <c r="C506" s="22"/>
      <c r="G506" s="719"/>
      <c r="H506" s="720"/>
      <c r="I506" s="83" t="s">
        <v>1435</v>
      </c>
      <c r="J506" s="22">
        <v>5300</v>
      </c>
      <c r="K506" s="22"/>
      <c r="L506" s="23" t="s">
        <v>1131</v>
      </c>
      <c r="M506" s="23" t="s">
        <v>1436</v>
      </c>
      <c r="N506" s="719"/>
      <c r="O506" s="720"/>
      <c r="U506" s="719"/>
      <c r="V506" s="720"/>
      <c r="AB506" s="719"/>
      <c r="AC506" s="720"/>
    </row>
    <row r="507" spans="1:29" ht="13">
      <c r="A507" s="83"/>
      <c r="B507" s="22"/>
      <c r="C507" s="22"/>
      <c r="G507" s="719"/>
      <c r="H507" s="720"/>
      <c r="I507" s="83" t="s">
        <v>1437</v>
      </c>
      <c r="J507" s="22"/>
      <c r="K507" s="22">
        <v>6414</v>
      </c>
      <c r="L507" s="23" t="s">
        <v>961</v>
      </c>
      <c r="M507" s="23" t="s">
        <v>1438</v>
      </c>
      <c r="N507" s="719"/>
      <c r="O507" s="720"/>
      <c r="U507" s="719"/>
      <c r="V507" s="720"/>
      <c r="AB507" s="719"/>
      <c r="AC507" s="720"/>
    </row>
    <row r="508" spans="1:29" ht="13">
      <c r="A508" s="83"/>
      <c r="B508" s="22"/>
      <c r="C508" s="22"/>
      <c r="G508" s="719"/>
      <c r="H508" s="720"/>
      <c r="I508" s="83" t="s">
        <v>1437</v>
      </c>
      <c r="J508" s="22"/>
      <c r="K508" s="22">
        <v>1.9</v>
      </c>
      <c r="L508" s="23" t="s">
        <v>838</v>
      </c>
      <c r="N508" s="719"/>
      <c r="O508" s="720"/>
      <c r="U508" s="719"/>
      <c r="V508" s="720"/>
      <c r="AB508" s="719"/>
      <c r="AC508" s="720"/>
    </row>
    <row r="509" spans="1:29" ht="13">
      <c r="A509" s="83"/>
      <c r="B509" s="22"/>
      <c r="C509" s="22"/>
      <c r="G509" s="719"/>
      <c r="H509" s="720"/>
      <c r="I509" s="83" t="s">
        <v>345</v>
      </c>
      <c r="J509" s="22"/>
      <c r="K509" s="22">
        <v>4780</v>
      </c>
      <c r="L509" s="23" t="s">
        <v>1421</v>
      </c>
      <c r="N509" s="719"/>
      <c r="O509" s="720"/>
      <c r="U509" s="719"/>
      <c r="V509" s="720"/>
      <c r="AB509" s="719"/>
      <c r="AC509" s="720"/>
    </row>
    <row r="510" spans="1:29" ht="13">
      <c r="A510" s="83"/>
      <c r="B510" s="22"/>
      <c r="C510" s="22"/>
      <c r="G510" s="719"/>
      <c r="H510" s="720"/>
      <c r="I510" s="83" t="s">
        <v>345</v>
      </c>
      <c r="J510" s="22"/>
      <c r="K510" s="22">
        <v>40</v>
      </c>
      <c r="L510" s="23" t="s">
        <v>838</v>
      </c>
      <c r="N510" s="719"/>
      <c r="O510" s="720"/>
      <c r="U510" s="719"/>
      <c r="V510" s="720"/>
      <c r="AB510" s="719"/>
      <c r="AC510" s="720"/>
    </row>
    <row r="511" spans="1:29" ht="13">
      <c r="A511" s="83"/>
      <c r="B511" s="22"/>
      <c r="C511" s="22"/>
      <c r="G511" s="719"/>
      <c r="H511" s="720"/>
      <c r="I511" s="107">
        <v>45780</v>
      </c>
      <c r="J511" s="22"/>
      <c r="K511" s="22">
        <v>1320</v>
      </c>
      <c r="L511" s="23" t="s">
        <v>1078</v>
      </c>
      <c r="N511" s="719"/>
      <c r="O511" s="720"/>
      <c r="U511" s="719"/>
      <c r="V511" s="720"/>
      <c r="AB511" s="719"/>
      <c r="AC511" s="720"/>
    </row>
    <row r="512" spans="1:29" ht="13">
      <c r="A512" s="83"/>
      <c r="B512" s="22"/>
      <c r="C512" s="22"/>
      <c r="G512" s="719"/>
      <c r="H512" s="720"/>
      <c r="I512" s="107">
        <v>45780</v>
      </c>
      <c r="J512" s="22"/>
      <c r="K512" s="22">
        <v>40</v>
      </c>
      <c r="L512" s="23" t="s">
        <v>838</v>
      </c>
      <c r="N512" s="719"/>
      <c r="O512" s="720"/>
      <c r="U512" s="719"/>
      <c r="V512" s="720"/>
      <c r="AB512" s="719"/>
      <c r="AC512" s="720"/>
    </row>
    <row r="513" spans="1:29" ht="13">
      <c r="A513" s="83"/>
      <c r="B513" s="22"/>
      <c r="C513" s="22"/>
      <c r="G513" s="719"/>
      <c r="H513" s="720"/>
      <c r="I513" s="107">
        <v>45780</v>
      </c>
      <c r="J513" s="22">
        <v>4200</v>
      </c>
      <c r="K513" s="22"/>
      <c r="L513" s="23" t="s">
        <v>1439</v>
      </c>
      <c r="N513" s="719"/>
      <c r="O513" s="720"/>
      <c r="U513" s="719"/>
      <c r="V513" s="720"/>
      <c r="AB513" s="719"/>
      <c r="AC513" s="720"/>
    </row>
    <row r="514" spans="1:29" ht="13">
      <c r="A514" s="83"/>
      <c r="B514" s="22"/>
      <c r="C514" s="22"/>
      <c r="G514" s="719"/>
      <c r="H514" s="720"/>
      <c r="I514" s="107">
        <v>45780</v>
      </c>
      <c r="J514" s="22">
        <v>7.0000000000000007E-2</v>
      </c>
      <c r="K514" s="22"/>
      <c r="L514" s="23" t="s">
        <v>1440</v>
      </c>
      <c r="N514" s="719"/>
      <c r="O514" s="720"/>
      <c r="U514" s="719"/>
      <c r="V514" s="720"/>
      <c r="AB514" s="719"/>
      <c r="AC514" s="720"/>
    </row>
    <row r="515" spans="1:29" ht="13">
      <c r="A515" s="107"/>
      <c r="B515" s="22"/>
      <c r="C515" s="22"/>
      <c r="G515" s="719"/>
      <c r="H515" s="720"/>
      <c r="I515" s="107">
        <v>45780</v>
      </c>
      <c r="J515" s="22"/>
      <c r="K515" s="22">
        <v>4.76</v>
      </c>
      <c r="L515" s="23" t="s">
        <v>1441</v>
      </c>
      <c r="N515" s="719"/>
      <c r="O515" s="720"/>
      <c r="U515" s="719"/>
      <c r="V515" s="720"/>
      <c r="AB515" s="719"/>
      <c r="AC515" s="720"/>
    </row>
    <row r="516" spans="1:29" ht="13">
      <c r="A516" s="107"/>
      <c r="B516" s="22"/>
      <c r="C516" s="22"/>
      <c r="G516" s="719"/>
      <c r="H516" s="720"/>
      <c r="I516" s="82">
        <v>45841</v>
      </c>
      <c r="J516" s="22"/>
      <c r="K516" s="22">
        <v>2000</v>
      </c>
      <c r="L516" s="23" t="s">
        <v>744</v>
      </c>
      <c r="M516" s="23" t="s">
        <v>1442</v>
      </c>
      <c r="N516" s="719"/>
      <c r="O516" s="720"/>
      <c r="U516" s="719"/>
      <c r="V516" s="720"/>
      <c r="AB516" s="719"/>
      <c r="AC516" s="720"/>
    </row>
    <row r="517" spans="1:29" ht="13">
      <c r="A517" s="107"/>
      <c r="B517" s="22"/>
      <c r="C517" s="22"/>
      <c r="G517" s="719"/>
      <c r="H517" s="720"/>
      <c r="I517" s="82">
        <v>45841</v>
      </c>
      <c r="J517" s="22"/>
      <c r="K517" s="22">
        <v>40</v>
      </c>
      <c r="L517" s="23" t="s">
        <v>838</v>
      </c>
      <c r="N517" s="719"/>
      <c r="O517" s="720"/>
      <c r="U517" s="719"/>
      <c r="V517" s="720"/>
      <c r="AB517" s="719"/>
      <c r="AC517" s="720"/>
    </row>
    <row r="518" spans="1:29" ht="13">
      <c r="A518" s="107"/>
      <c r="B518" s="22"/>
      <c r="C518" s="22"/>
      <c r="G518" s="719"/>
      <c r="H518" s="720"/>
      <c r="I518" s="82">
        <v>45933</v>
      </c>
      <c r="J518" s="22"/>
      <c r="K518" s="22">
        <v>146.88999999999999</v>
      </c>
      <c r="L518" s="23" t="s">
        <v>1252</v>
      </c>
      <c r="N518" s="719"/>
      <c r="O518" s="720"/>
      <c r="U518" s="719"/>
      <c r="V518" s="720"/>
      <c r="AB518" s="719"/>
      <c r="AC518" s="720"/>
    </row>
    <row r="519" spans="1:29" ht="13">
      <c r="A519" s="107"/>
      <c r="B519" s="22"/>
      <c r="C519" s="22"/>
      <c r="G519" s="719"/>
      <c r="H519" s="720"/>
      <c r="I519" s="82">
        <v>45933</v>
      </c>
      <c r="J519" s="22"/>
      <c r="K519" s="22">
        <v>1986.34</v>
      </c>
      <c r="L519" s="23" t="s">
        <v>1252</v>
      </c>
      <c r="N519" s="719"/>
      <c r="O519" s="720"/>
      <c r="U519" s="719"/>
      <c r="V519" s="720"/>
      <c r="AB519" s="719"/>
      <c r="AC519" s="720"/>
    </row>
    <row r="520" spans="1:29" ht="13">
      <c r="A520" s="107"/>
      <c r="B520" s="22"/>
      <c r="C520" s="22"/>
      <c r="G520" s="719"/>
      <c r="H520" s="720"/>
      <c r="I520" s="83" t="s">
        <v>1443</v>
      </c>
      <c r="J520" s="22"/>
      <c r="K520" s="22">
        <v>25</v>
      </c>
      <c r="L520" s="23" t="s">
        <v>838</v>
      </c>
      <c r="N520" s="719"/>
      <c r="O520" s="720"/>
      <c r="U520" s="719"/>
      <c r="V520" s="720"/>
      <c r="AB520" s="719"/>
      <c r="AC520" s="720"/>
    </row>
    <row r="521" spans="1:29" ht="13">
      <c r="A521" s="83"/>
      <c r="B521" s="22"/>
      <c r="C521" s="22"/>
      <c r="G521" s="719"/>
      <c r="H521" s="720"/>
      <c r="I521" s="83" t="s">
        <v>1443</v>
      </c>
      <c r="J521" s="22">
        <v>6523.24</v>
      </c>
      <c r="K521" s="22"/>
      <c r="L521" s="23" t="s">
        <v>1131</v>
      </c>
      <c r="M521" s="23" t="s">
        <v>1444</v>
      </c>
      <c r="N521" s="719"/>
      <c r="O521" s="720"/>
      <c r="U521" s="719"/>
      <c r="V521" s="720"/>
      <c r="AB521" s="719"/>
      <c r="AC521" s="720"/>
    </row>
    <row r="522" spans="1:29" ht="13">
      <c r="A522" s="83"/>
      <c r="B522" s="22"/>
      <c r="C522" s="22"/>
      <c r="G522" s="719"/>
      <c r="H522" s="720"/>
      <c r="I522" s="83" t="s">
        <v>915</v>
      </c>
      <c r="J522" s="22"/>
      <c r="K522" s="22">
        <v>32.229999999999997</v>
      </c>
      <c r="L522" s="23" t="s">
        <v>1420</v>
      </c>
      <c r="N522" s="719"/>
      <c r="O522" s="720"/>
      <c r="U522" s="719"/>
      <c r="V522" s="720"/>
      <c r="AB522" s="719"/>
      <c r="AC522" s="720"/>
    </row>
    <row r="523" spans="1:29" ht="13">
      <c r="A523" s="83"/>
      <c r="B523" s="22"/>
      <c r="C523" s="22"/>
      <c r="G523" s="719"/>
      <c r="H523" s="720"/>
      <c r="I523" s="83" t="s">
        <v>351</v>
      </c>
      <c r="J523" s="22"/>
      <c r="K523" s="22">
        <v>4880</v>
      </c>
      <c r="L523" s="23" t="s">
        <v>1421</v>
      </c>
      <c r="N523" s="719"/>
      <c r="O523" s="720"/>
      <c r="U523" s="719"/>
      <c r="V523" s="720"/>
      <c r="AB523" s="719"/>
      <c r="AC523" s="720"/>
    </row>
    <row r="524" spans="1:29" ht="13">
      <c r="A524" s="83"/>
      <c r="B524" s="22"/>
      <c r="C524" s="22"/>
      <c r="G524" s="719"/>
      <c r="H524" s="720"/>
      <c r="I524" s="83" t="s">
        <v>351</v>
      </c>
      <c r="J524" s="22"/>
      <c r="K524" s="22">
        <v>40</v>
      </c>
      <c r="L524" s="23" t="s">
        <v>838</v>
      </c>
      <c r="N524" s="719"/>
      <c r="O524" s="720"/>
      <c r="U524" s="719"/>
      <c r="V524" s="720"/>
      <c r="AB524" s="719"/>
      <c r="AC524" s="720"/>
    </row>
    <row r="525" spans="1:29" ht="13">
      <c r="A525" s="83"/>
      <c r="B525" s="22"/>
      <c r="C525" s="22"/>
      <c r="G525" s="719"/>
      <c r="H525" s="720"/>
      <c r="I525" s="107">
        <v>45661</v>
      </c>
      <c r="J525" s="22"/>
      <c r="K525" s="22">
        <v>1320</v>
      </c>
      <c r="L525" s="23" t="s">
        <v>1078</v>
      </c>
      <c r="N525" s="719"/>
      <c r="O525" s="720"/>
      <c r="U525" s="719"/>
      <c r="V525" s="720"/>
      <c r="AB525" s="719"/>
      <c r="AC525" s="720"/>
    </row>
    <row r="526" spans="1:29" ht="13">
      <c r="A526" s="83"/>
      <c r="B526" s="22"/>
      <c r="C526" s="22"/>
      <c r="G526" s="719"/>
      <c r="H526" s="720"/>
      <c r="I526" s="107">
        <v>45661</v>
      </c>
      <c r="J526" s="22"/>
      <c r="K526" s="22">
        <v>40</v>
      </c>
      <c r="L526" s="23" t="s">
        <v>838</v>
      </c>
      <c r="N526" s="719"/>
      <c r="O526" s="720"/>
      <c r="U526" s="719"/>
      <c r="V526" s="720"/>
      <c r="AB526" s="719"/>
      <c r="AC526" s="720"/>
    </row>
    <row r="527" spans="1:29" ht="13">
      <c r="A527" s="83"/>
      <c r="B527" s="22"/>
      <c r="C527" s="22"/>
      <c r="G527" s="719"/>
      <c r="H527" s="720"/>
      <c r="I527" s="107">
        <v>45661</v>
      </c>
      <c r="J527" s="22"/>
      <c r="K527" s="22">
        <v>920</v>
      </c>
      <c r="L527" s="23" t="s">
        <v>1184</v>
      </c>
      <c r="N527" s="719"/>
      <c r="O527" s="720"/>
      <c r="U527" s="719"/>
      <c r="V527" s="720"/>
      <c r="AB527" s="719"/>
      <c r="AC527" s="720"/>
    </row>
    <row r="528" spans="1:29" ht="13">
      <c r="A528" s="83"/>
      <c r="B528" s="22"/>
      <c r="C528" s="22"/>
      <c r="G528" s="719"/>
      <c r="H528" s="720"/>
      <c r="I528" s="107">
        <v>45661</v>
      </c>
      <c r="J528" s="22"/>
      <c r="K528" s="22">
        <v>40</v>
      </c>
      <c r="L528" s="23" t="s">
        <v>838</v>
      </c>
      <c r="N528" s="719"/>
      <c r="O528" s="720"/>
      <c r="U528" s="719"/>
      <c r="V528" s="720"/>
      <c r="AB528" s="719"/>
      <c r="AC528" s="720"/>
    </row>
    <row r="529" spans="1:29" ht="13">
      <c r="A529" s="83"/>
      <c r="B529" s="22"/>
      <c r="C529" s="22"/>
      <c r="G529" s="719"/>
      <c r="H529" s="720"/>
      <c r="I529" s="107">
        <v>45661</v>
      </c>
      <c r="J529" s="22">
        <v>4911</v>
      </c>
      <c r="K529" s="22"/>
      <c r="L529" s="23" t="s">
        <v>1439</v>
      </c>
      <c r="N529" s="719"/>
      <c r="O529" s="720"/>
      <c r="U529" s="719"/>
      <c r="V529" s="720"/>
      <c r="AB529" s="719"/>
      <c r="AC529" s="720"/>
    </row>
    <row r="530" spans="1:29" ht="13">
      <c r="A530" s="83"/>
      <c r="B530" s="22"/>
      <c r="C530" s="22"/>
      <c r="G530" s="719"/>
      <c r="H530" s="720"/>
      <c r="I530" s="107">
        <v>45692</v>
      </c>
      <c r="J530" s="22"/>
      <c r="K530" s="22">
        <v>2500</v>
      </c>
      <c r="L530" s="23" t="s">
        <v>744</v>
      </c>
      <c r="M530" s="23" t="s">
        <v>1445</v>
      </c>
      <c r="N530" s="719"/>
      <c r="O530" s="720"/>
      <c r="U530" s="719"/>
      <c r="V530" s="720"/>
      <c r="AB530" s="719"/>
      <c r="AC530" s="720"/>
    </row>
    <row r="531" spans="1:29" ht="13">
      <c r="A531" s="83"/>
      <c r="B531" s="22"/>
      <c r="C531" s="22"/>
      <c r="G531" s="719"/>
      <c r="H531" s="720"/>
      <c r="I531" s="107">
        <v>45692</v>
      </c>
      <c r="J531" s="22"/>
      <c r="K531" s="22">
        <v>40</v>
      </c>
      <c r="L531" s="23" t="s">
        <v>838</v>
      </c>
      <c r="N531" s="719"/>
      <c r="O531" s="720"/>
      <c r="U531" s="719"/>
      <c r="V531" s="720"/>
      <c r="AB531" s="719"/>
      <c r="AC531" s="720"/>
    </row>
    <row r="532" spans="1:29" ht="13">
      <c r="A532" s="107"/>
      <c r="B532" s="22"/>
      <c r="C532" s="22"/>
      <c r="G532" s="719"/>
      <c r="H532" s="720"/>
      <c r="I532" s="107">
        <v>45842</v>
      </c>
      <c r="J532" s="22"/>
      <c r="K532" s="22">
        <v>2060.75</v>
      </c>
      <c r="L532" s="23" t="s">
        <v>1252</v>
      </c>
      <c r="N532" s="719"/>
      <c r="O532" s="720"/>
      <c r="U532" s="719"/>
      <c r="V532" s="720"/>
      <c r="AB532" s="719"/>
      <c r="AC532" s="720"/>
    </row>
    <row r="533" spans="1:29" ht="13">
      <c r="A533" s="107"/>
      <c r="B533" s="22"/>
      <c r="C533" s="22"/>
      <c r="G533" s="719"/>
      <c r="H533" s="720"/>
      <c r="I533" s="107">
        <v>45873</v>
      </c>
      <c r="J533" s="22">
        <v>4514</v>
      </c>
      <c r="K533" s="22"/>
      <c r="L533" s="23" t="s">
        <v>1104</v>
      </c>
      <c r="M533" s="23" t="s">
        <v>1446</v>
      </c>
      <c r="N533" s="719"/>
      <c r="O533" s="720"/>
      <c r="U533" s="719"/>
      <c r="V533" s="720"/>
      <c r="AB533" s="719"/>
      <c r="AC533" s="720"/>
    </row>
    <row r="534" spans="1:29" ht="13">
      <c r="A534" s="83"/>
      <c r="B534" s="22"/>
      <c r="C534" s="22"/>
      <c r="G534" s="719"/>
      <c r="H534" s="720"/>
      <c r="I534" s="107">
        <v>45873</v>
      </c>
      <c r="J534" s="22"/>
      <c r="K534" s="22">
        <v>351.83</v>
      </c>
      <c r="L534" s="23" t="s">
        <v>1252</v>
      </c>
      <c r="N534" s="719"/>
      <c r="O534" s="720"/>
      <c r="U534" s="719"/>
      <c r="V534" s="720"/>
      <c r="AB534" s="719"/>
      <c r="AC534" s="720"/>
    </row>
    <row r="535" spans="1:29" ht="13">
      <c r="A535" s="83"/>
      <c r="B535" s="22"/>
      <c r="C535" s="22"/>
      <c r="G535" s="719"/>
      <c r="H535" s="720"/>
      <c r="I535" s="107">
        <v>45904</v>
      </c>
      <c r="J535" s="22"/>
      <c r="K535" s="22">
        <v>25</v>
      </c>
      <c r="L535" s="23" t="s">
        <v>838</v>
      </c>
      <c r="N535" s="719"/>
      <c r="O535" s="720"/>
      <c r="U535" s="719"/>
      <c r="V535" s="720"/>
      <c r="AB535" s="719"/>
      <c r="AC535" s="720"/>
    </row>
    <row r="536" spans="1:29" ht="13">
      <c r="A536" s="83"/>
      <c r="B536" s="22"/>
      <c r="C536" s="22"/>
      <c r="G536" s="719"/>
      <c r="H536" s="720"/>
      <c r="I536" s="107">
        <v>45904</v>
      </c>
      <c r="J536" s="22">
        <v>5936</v>
      </c>
      <c r="K536" s="22"/>
      <c r="L536" s="23" t="s">
        <v>1131</v>
      </c>
      <c r="N536" s="719"/>
      <c r="O536" s="720"/>
      <c r="U536" s="719"/>
      <c r="V536" s="720"/>
      <c r="AB536" s="719"/>
      <c r="AC536" s="720"/>
    </row>
    <row r="537" spans="1:29" ht="13">
      <c r="A537" s="83"/>
      <c r="B537" s="22"/>
      <c r="C537" s="22"/>
      <c r="G537" s="719"/>
      <c r="H537" s="720"/>
      <c r="I537" s="82">
        <v>45904</v>
      </c>
      <c r="J537" s="22"/>
      <c r="K537" s="22">
        <v>5590</v>
      </c>
      <c r="L537" s="23" t="s">
        <v>961</v>
      </c>
      <c r="M537" s="23" t="s">
        <v>1447</v>
      </c>
      <c r="N537" s="719"/>
      <c r="O537" s="720"/>
      <c r="U537" s="719"/>
      <c r="V537" s="720"/>
      <c r="AB537" s="719"/>
      <c r="AC537" s="720"/>
    </row>
    <row r="538" spans="1:29" ht="13">
      <c r="A538" s="83"/>
      <c r="B538" s="22"/>
      <c r="C538" s="22"/>
      <c r="G538" s="719"/>
      <c r="H538" s="720"/>
      <c r="I538" s="82">
        <v>45904</v>
      </c>
      <c r="J538" s="22"/>
      <c r="K538" s="22">
        <v>1.9</v>
      </c>
      <c r="L538" s="23" t="s">
        <v>838</v>
      </c>
      <c r="N538" s="719"/>
      <c r="O538" s="720"/>
      <c r="U538" s="719"/>
      <c r="V538" s="720"/>
      <c r="AB538" s="719"/>
      <c r="AC538" s="720"/>
    </row>
    <row r="539" spans="1:29" ht="13">
      <c r="A539" s="83"/>
      <c r="B539" s="22"/>
      <c r="C539" s="22"/>
      <c r="G539" s="719"/>
      <c r="H539" s="720"/>
      <c r="I539" s="82">
        <v>45904</v>
      </c>
      <c r="J539" s="22"/>
      <c r="K539" s="22">
        <v>1860</v>
      </c>
      <c r="L539" s="23" t="s">
        <v>1153</v>
      </c>
      <c r="M539" s="23" t="s">
        <v>1448</v>
      </c>
      <c r="N539" s="719"/>
      <c r="O539" s="720"/>
      <c r="U539" s="719"/>
      <c r="V539" s="720"/>
      <c r="AB539" s="719"/>
      <c r="AC539" s="720"/>
    </row>
    <row r="540" spans="1:29" ht="13">
      <c r="A540" s="83"/>
      <c r="B540" s="22"/>
      <c r="C540" s="22"/>
      <c r="G540" s="719"/>
      <c r="H540" s="720"/>
      <c r="I540" s="82">
        <v>45904</v>
      </c>
      <c r="J540" s="22"/>
      <c r="K540" s="22">
        <v>40</v>
      </c>
      <c r="L540" s="23" t="s">
        <v>838</v>
      </c>
      <c r="N540" s="719"/>
      <c r="O540" s="720"/>
      <c r="U540" s="719"/>
      <c r="V540" s="720"/>
      <c r="AB540" s="719"/>
      <c r="AC540" s="720"/>
    </row>
    <row r="541" spans="1:29" ht="13">
      <c r="A541" s="83"/>
      <c r="B541" s="22"/>
      <c r="C541" s="22"/>
      <c r="G541" s="719"/>
      <c r="H541" s="720"/>
      <c r="I541" s="82">
        <v>45934</v>
      </c>
      <c r="J541" s="22">
        <v>2379</v>
      </c>
      <c r="K541" s="22"/>
      <c r="L541" s="23" t="s">
        <v>1104</v>
      </c>
      <c r="M541" s="23" t="s">
        <v>1449</v>
      </c>
      <c r="N541" s="719"/>
      <c r="O541" s="720"/>
      <c r="U541" s="719"/>
      <c r="V541" s="720"/>
      <c r="AB541" s="719"/>
      <c r="AC541" s="720"/>
    </row>
    <row r="542" spans="1:29" ht="13">
      <c r="A542" s="107"/>
      <c r="B542" s="22"/>
      <c r="C542" s="22"/>
      <c r="G542" s="719"/>
      <c r="H542" s="720"/>
      <c r="I542" s="83" t="s">
        <v>917</v>
      </c>
      <c r="J542" s="22"/>
      <c r="K542" s="22">
        <v>32.11</v>
      </c>
      <c r="L542" s="23" t="s">
        <v>1420</v>
      </c>
      <c r="N542" s="719"/>
      <c r="O542" s="720"/>
      <c r="U542" s="719"/>
      <c r="V542" s="720"/>
      <c r="AB542" s="719"/>
      <c r="AC542" s="720"/>
    </row>
    <row r="543" spans="1:29" ht="13">
      <c r="A543" s="107"/>
      <c r="B543" s="22"/>
      <c r="C543" s="22"/>
      <c r="G543" s="719"/>
      <c r="H543" s="720"/>
      <c r="I543" s="83" t="s">
        <v>1450</v>
      </c>
      <c r="K543" s="22">
        <v>2033</v>
      </c>
      <c r="L543" s="23" t="s">
        <v>961</v>
      </c>
      <c r="M543" s="23" t="s">
        <v>502</v>
      </c>
      <c r="N543" s="719"/>
      <c r="O543" s="720"/>
      <c r="U543" s="719"/>
      <c r="V543" s="720"/>
      <c r="AB543" s="719"/>
      <c r="AC543" s="720"/>
    </row>
    <row r="544" spans="1:29" ht="13">
      <c r="A544" s="107"/>
      <c r="B544" s="22"/>
      <c r="C544" s="22"/>
      <c r="G544" s="719"/>
      <c r="H544" s="720"/>
      <c r="I544" s="83" t="s">
        <v>65</v>
      </c>
      <c r="J544" s="22"/>
      <c r="K544" s="22">
        <v>2673</v>
      </c>
      <c r="L544" s="23" t="s">
        <v>961</v>
      </c>
      <c r="M544" s="23" t="s">
        <v>512</v>
      </c>
      <c r="N544" s="719"/>
      <c r="O544" s="720"/>
      <c r="U544" s="719"/>
      <c r="V544" s="720"/>
      <c r="AB544" s="719"/>
      <c r="AC544" s="720"/>
    </row>
    <row r="545" spans="1:29" ht="13">
      <c r="A545" s="107"/>
      <c r="B545" s="22"/>
      <c r="C545" s="22"/>
      <c r="G545" s="719"/>
      <c r="H545" s="720"/>
      <c r="I545" s="83" t="s">
        <v>65</v>
      </c>
      <c r="J545" s="22">
        <v>9036.7199999999993</v>
      </c>
      <c r="L545" s="23" t="s">
        <v>1451</v>
      </c>
      <c r="N545" s="719"/>
      <c r="O545" s="720"/>
      <c r="U545" s="719"/>
      <c r="V545" s="720"/>
      <c r="AB545" s="719"/>
      <c r="AC545" s="720"/>
    </row>
    <row r="546" spans="1:29" ht="13">
      <c r="A546" s="107"/>
      <c r="B546" s="22"/>
      <c r="C546" s="22"/>
      <c r="G546" s="719"/>
      <c r="H546" s="720"/>
      <c r="I546" s="107">
        <v>45782</v>
      </c>
      <c r="J546" s="22"/>
      <c r="K546" s="22">
        <v>5769</v>
      </c>
      <c r="L546" s="23" t="s">
        <v>961</v>
      </c>
      <c r="M546" s="23" t="s">
        <v>1452</v>
      </c>
      <c r="N546" s="719"/>
      <c r="O546" s="720"/>
      <c r="U546" s="719"/>
      <c r="V546" s="720"/>
      <c r="AB546" s="719"/>
      <c r="AC546" s="720"/>
    </row>
    <row r="547" spans="1:29" ht="13">
      <c r="A547" s="740"/>
      <c r="B547" s="22"/>
      <c r="C547" s="22"/>
      <c r="G547" s="719"/>
      <c r="H547" s="720"/>
      <c r="I547" s="107">
        <v>45782</v>
      </c>
      <c r="J547" s="22"/>
      <c r="K547" s="22">
        <v>1.9</v>
      </c>
      <c r="L547" s="23" t="s">
        <v>838</v>
      </c>
      <c r="N547" s="719"/>
      <c r="O547" s="720"/>
      <c r="U547" s="719"/>
      <c r="V547" s="720"/>
      <c r="AB547" s="719"/>
      <c r="AC547" s="720"/>
    </row>
    <row r="548" spans="1:29" ht="13">
      <c r="A548" s="274"/>
      <c r="B548" s="22"/>
      <c r="C548" s="22"/>
      <c r="G548" s="719"/>
      <c r="H548" s="720"/>
      <c r="I548" s="107">
        <v>45905</v>
      </c>
      <c r="J548" s="22">
        <v>3660</v>
      </c>
      <c r="K548" s="22"/>
      <c r="L548" s="23" t="s">
        <v>1104</v>
      </c>
      <c r="M548" s="23" t="s">
        <v>1453</v>
      </c>
      <c r="N548" s="719"/>
      <c r="O548" s="720"/>
      <c r="U548" s="719"/>
      <c r="V548" s="720"/>
      <c r="AB548" s="719"/>
      <c r="AC548" s="720"/>
    </row>
    <row r="549" spans="1:29" ht="13">
      <c r="A549" s="274"/>
      <c r="B549" s="22"/>
      <c r="C549" s="22"/>
      <c r="G549" s="719"/>
      <c r="H549" s="720"/>
      <c r="I549" s="82">
        <v>45996</v>
      </c>
      <c r="J549" s="22"/>
      <c r="K549" s="22">
        <v>728.98</v>
      </c>
      <c r="L549" s="23" t="s">
        <v>1252</v>
      </c>
      <c r="N549" s="719"/>
      <c r="O549" s="720"/>
      <c r="U549" s="719"/>
      <c r="V549" s="720"/>
      <c r="AB549" s="719"/>
      <c r="AC549" s="720"/>
    </row>
    <row r="550" spans="1:29" ht="13">
      <c r="A550" s="83"/>
      <c r="B550" s="22"/>
      <c r="C550" s="22"/>
      <c r="G550" s="719"/>
      <c r="H550" s="720"/>
      <c r="I550" s="82">
        <v>45694</v>
      </c>
      <c r="J550" s="22"/>
      <c r="K550" s="22">
        <v>4010</v>
      </c>
      <c r="L550" s="23" t="s">
        <v>1404</v>
      </c>
      <c r="N550" s="719"/>
      <c r="O550" s="720"/>
      <c r="U550" s="719"/>
      <c r="V550" s="720"/>
      <c r="AB550" s="719"/>
      <c r="AC550" s="720"/>
    </row>
    <row r="551" spans="1:29" ht="13">
      <c r="A551" s="83"/>
      <c r="B551" s="22"/>
      <c r="C551" s="22"/>
      <c r="G551" s="719"/>
      <c r="H551" s="720"/>
      <c r="I551" s="82">
        <v>45694</v>
      </c>
      <c r="J551" s="22"/>
      <c r="K551" s="22">
        <v>40</v>
      </c>
      <c r="L551" s="23" t="s">
        <v>838</v>
      </c>
      <c r="N551" s="719"/>
      <c r="O551" s="720"/>
      <c r="U551" s="719"/>
      <c r="V551" s="720"/>
      <c r="AB551" s="719"/>
      <c r="AC551" s="720"/>
    </row>
    <row r="552" spans="1:29" ht="13">
      <c r="A552" s="83"/>
      <c r="B552" s="22"/>
      <c r="C552" s="22"/>
      <c r="G552" s="719"/>
      <c r="H552" s="720"/>
      <c r="I552" s="82">
        <v>45906</v>
      </c>
      <c r="J552" s="22">
        <v>5124</v>
      </c>
      <c r="K552" s="22"/>
      <c r="L552" s="23" t="s">
        <v>1104</v>
      </c>
      <c r="M552" s="23" t="s">
        <v>1454</v>
      </c>
      <c r="N552" s="719"/>
      <c r="O552" s="720"/>
      <c r="U552" s="719"/>
      <c r="V552" s="720"/>
      <c r="AB552" s="719"/>
      <c r="AC552" s="720"/>
    </row>
    <row r="553" spans="1:29" ht="13">
      <c r="A553" s="83"/>
      <c r="B553" s="22"/>
      <c r="C553" s="22"/>
      <c r="G553" s="719"/>
      <c r="H553" s="720"/>
      <c r="I553" s="82">
        <v>45936</v>
      </c>
      <c r="K553" s="23">
        <v>564.88</v>
      </c>
      <c r="L553" s="23" t="s">
        <v>1252</v>
      </c>
      <c r="N553" s="719"/>
      <c r="O553" s="720"/>
      <c r="U553" s="719"/>
      <c r="V553" s="720"/>
      <c r="AB553" s="719"/>
      <c r="AC553" s="720"/>
    </row>
    <row r="554" spans="1:29" ht="13">
      <c r="A554" s="83"/>
      <c r="B554" s="22"/>
      <c r="C554" s="22"/>
      <c r="G554" s="719"/>
      <c r="H554" s="720"/>
      <c r="I554" s="82">
        <v>45936</v>
      </c>
      <c r="K554" s="23">
        <v>153.80000000000001</v>
      </c>
      <c r="L554" s="23" t="s">
        <v>1252</v>
      </c>
      <c r="N554" s="719"/>
      <c r="O554" s="720"/>
      <c r="U554" s="719"/>
      <c r="V554" s="720"/>
      <c r="AB554" s="719"/>
      <c r="AC554" s="720"/>
    </row>
    <row r="555" spans="1:29" ht="13">
      <c r="A555" s="83"/>
      <c r="B555" s="22"/>
      <c r="C555" s="22"/>
      <c r="G555" s="719"/>
      <c r="H555" s="720"/>
      <c r="I555" s="82">
        <v>45997</v>
      </c>
      <c r="J555" s="22">
        <v>13250</v>
      </c>
      <c r="K555" s="22"/>
      <c r="L555" s="23" t="s">
        <v>1131</v>
      </c>
      <c r="M555" s="23" t="s">
        <v>1455</v>
      </c>
      <c r="N555" s="719"/>
      <c r="O555" s="720"/>
      <c r="U555" s="719"/>
      <c r="V555" s="720"/>
      <c r="AB555" s="719"/>
      <c r="AC555" s="720"/>
    </row>
    <row r="556" spans="1:29" ht="13">
      <c r="A556" s="83"/>
      <c r="B556" s="22"/>
      <c r="C556" s="22"/>
      <c r="G556" s="719"/>
      <c r="H556" s="720"/>
      <c r="I556" s="82">
        <v>45997</v>
      </c>
      <c r="J556" s="22"/>
      <c r="K556" s="22">
        <v>25</v>
      </c>
      <c r="L556" s="23" t="s">
        <v>838</v>
      </c>
      <c r="N556" s="719"/>
      <c r="O556" s="720"/>
      <c r="U556" s="719"/>
      <c r="V556" s="720"/>
      <c r="AB556" s="719"/>
      <c r="AC556" s="720"/>
    </row>
    <row r="557" spans="1:29" ht="13">
      <c r="A557" s="83"/>
      <c r="B557" s="22"/>
      <c r="C557" s="22"/>
      <c r="G557" s="719"/>
      <c r="H557" s="720"/>
      <c r="I557" s="83" t="s">
        <v>921</v>
      </c>
      <c r="J557" s="22">
        <v>2391.1999999999998</v>
      </c>
      <c r="K557" s="22"/>
      <c r="L557" s="23" t="s">
        <v>1456</v>
      </c>
      <c r="M557" s="23" t="s">
        <v>1457</v>
      </c>
      <c r="N557" s="719"/>
      <c r="O557" s="720"/>
      <c r="U557" s="719"/>
      <c r="V557" s="720"/>
      <c r="AB557" s="719"/>
      <c r="AC557" s="720"/>
    </row>
    <row r="558" spans="1:29" ht="13">
      <c r="A558" s="83"/>
      <c r="B558" s="22"/>
      <c r="C558" s="22"/>
      <c r="G558" s="719"/>
      <c r="H558" s="720"/>
      <c r="I558" s="83" t="s">
        <v>921</v>
      </c>
      <c r="J558" s="22"/>
      <c r="K558" s="22">
        <v>21.24</v>
      </c>
      <c r="L558" s="23" t="s">
        <v>1420</v>
      </c>
      <c r="N558" s="719"/>
      <c r="O558" s="720"/>
      <c r="U558" s="719"/>
      <c r="V558" s="720"/>
      <c r="AB558" s="719"/>
      <c r="AC558" s="720"/>
    </row>
    <row r="559" spans="1:29" ht="13">
      <c r="A559" s="83"/>
      <c r="B559" s="22"/>
      <c r="C559" s="22"/>
      <c r="G559" s="719"/>
      <c r="H559" s="720"/>
      <c r="I559" s="83" t="s">
        <v>373</v>
      </c>
      <c r="J559" s="22"/>
      <c r="K559" s="22">
        <v>8800</v>
      </c>
      <c r="L559" s="23" t="s">
        <v>1421</v>
      </c>
      <c r="N559" s="719"/>
      <c r="O559" s="720"/>
      <c r="U559" s="719"/>
      <c r="V559" s="720"/>
      <c r="AB559" s="719"/>
      <c r="AC559" s="720"/>
    </row>
    <row r="560" spans="1:29" ht="13">
      <c r="A560" s="83"/>
      <c r="B560" s="22"/>
      <c r="C560" s="22"/>
      <c r="G560" s="719"/>
      <c r="H560" s="720"/>
      <c r="I560" s="83" t="s">
        <v>373</v>
      </c>
      <c r="J560" s="22"/>
      <c r="K560" s="22">
        <v>40</v>
      </c>
      <c r="L560" s="23" t="s">
        <v>838</v>
      </c>
      <c r="N560" s="719"/>
      <c r="O560" s="720"/>
      <c r="U560" s="719"/>
      <c r="V560" s="720"/>
      <c r="AB560" s="719"/>
      <c r="AC560" s="720"/>
    </row>
    <row r="561" spans="1:29" ht="13">
      <c r="A561" s="107"/>
      <c r="B561" s="22"/>
      <c r="C561" s="22"/>
      <c r="G561" s="719"/>
      <c r="H561" s="720"/>
      <c r="I561" s="107">
        <v>45664</v>
      </c>
      <c r="J561" s="22"/>
      <c r="K561" s="22">
        <v>2500</v>
      </c>
      <c r="L561" s="23" t="s">
        <v>1082</v>
      </c>
      <c r="N561" s="719"/>
      <c r="O561" s="720"/>
      <c r="U561" s="719"/>
      <c r="V561" s="720"/>
      <c r="AB561" s="719"/>
      <c r="AC561" s="720"/>
    </row>
    <row r="562" spans="1:29" ht="13">
      <c r="A562" s="107"/>
      <c r="B562" s="22"/>
      <c r="C562" s="22"/>
      <c r="G562" s="719"/>
      <c r="H562" s="720"/>
      <c r="I562" s="107">
        <v>45664</v>
      </c>
      <c r="K562" s="22">
        <v>40</v>
      </c>
      <c r="L562" s="23" t="s">
        <v>838</v>
      </c>
      <c r="N562" s="719"/>
      <c r="O562" s="720"/>
      <c r="U562" s="719"/>
      <c r="V562" s="720"/>
      <c r="AB562" s="719"/>
      <c r="AC562" s="720"/>
    </row>
    <row r="563" spans="1:29" ht="13">
      <c r="A563" s="107"/>
      <c r="B563" s="22"/>
      <c r="C563" s="22"/>
      <c r="G563" s="719"/>
      <c r="H563" s="720"/>
      <c r="I563" s="107">
        <v>45845</v>
      </c>
      <c r="K563" s="22">
        <v>127.82</v>
      </c>
      <c r="L563" s="23" t="s">
        <v>1252</v>
      </c>
      <c r="N563" s="719"/>
      <c r="O563" s="720"/>
      <c r="U563" s="719"/>
      <c r="V563" s="720"/>
      <c r="AB563" s="719"/>
      <c r="AC563" s="720"/>
    </row>
    <row r="564" spans="1:29" ht="13">
      <c r="A564" s="83"/>
      <c r="B564" s="22"/>
      <c r="C564" s="22"/>
      <c r="G564" s="719"/>
      <c r="H564" s="720"/>
      <c r="I564" s="107">
        <v>45845</v>
      </c>
      <c r="K564" s="22">
        <v>718.14</v>
      </c>
      <c r="L564" s="23" t="s">
        <v>1252</v>
      </c>
      <c r="N564" s="719"/>
      <c r="O564" s="720"/>
      <c r="U564" s="719"/>
      <c r="V564" s="720"/>
      <c r="AB564" s="719"/>
      <c r="AC564" s="720"/>
    </row>
    <row r="565" spans="1:29" ht="13">
      <c r="A565" s="83"/>
      <c r="B565" s="22"/>
      <c r="C565" s="22"/>
      <c r="G565" s="719"/>
      <c r="H565" s="720"/>
      <c r="I565" s="82">
        <v>45937</v>
      </c>
      <c r="J565" s="22">
        <v>4200</v>
      </c>
      <c r="K565" s="22"/>
      <c r="L565" s="23" t="s">
        <v>1104</v>
      </c>
      <c r="M565" s="23" t="s">
        <v>1458</v>
      </c>
      <c r="N565" s="719"/>
      <c r="O565" s="720"/>
      <c r="U565" s="719"/>
      <c r="V565" s="720"/>
      <c r="AB565" s="719"/>
      <c r="AC565" s="720"/>
    </row>
    <row r="566" spans="1:29" ht="13">
      <c r="A566" s="83"/>
      <c r="B566" s="22"/>
      <c r="C566" s="22"/>
      <c r="G566" s="719"/>
      <c r="H566" s="720"/>
      <c r="I566" s="83" t="s">
        <v>922</v>
      </c>
      <c r="J566" s="22"/>
      <c r="K566" s="22">
        <v>33.75</v>
      </c>
      <c r="L566" s="23" t="s">
        <v>1420</v>
      </c>
      <c r="N566" s="719"/>
      <c r="O566" s="720"/>
      <c r="U566" s="719"/>
      <c r="V566" s="720"/>
      <c r="AB566" s="719"/>
      <c r="AC566" s="720"/>
    </row>
    <row r="567" spans="1:29" ht="13">
      <c r="A567" s="83"/>
      <c r="B567" s="22"/>
      <c r="C567" s="22"/>
      <c r="G567" s="719"/>
      <c r="H567" s="720"/>
      <c r="I567" s="83" t="s">
        <v>1039</v>
      </c>
      <c r="J567" s="22">
        <v>6832</v>
      </c>
      <c r="K567" s="22"/>
      <c r="L567" s="23" t="s">
        <v>1456</v>
      </c>
      <c r="M567" s="23" t="s">
        <v>1459</v>
      </c>
      <c r="N567" s="719"/>
      <c r="O567" s="720"/>
      <c r="U567" s="719"/>
      <c r="V567" s="720"/>
      <c r="AB567" s="719"/>
      <c r="AC567" s="720"/>
    </row>
    <row r="568" spans="1:29" ht="13">
      <c r="A568" s="83"/>
      <c r="B568" s="22"/>
      <c r="C568" s="22"/>
      <c r="G568" s="719"/>
      <c r="H568" s="720"/>
      <c r="I568" s="83" t="s">
        <v>1460</v>
      </c>
      <c r="J568" s="22"/>
      <c r="K568" s="22">
        <v>3000</v>
      </c>
      <c r="L568" s="23" t="s">
        <v>1461</v>
      </c>
      <c r="M568" s="23" t="s">
        <v>1462</v>
      </c>
      <c r="N568" s="719"/>
      <c r="O568" s="720"/>
      <c r="U568" s="719"/>
      <c r="V568" s="720"/>
      <c r="AB568" s="719"/>
      <c r="AC568" s="720"/>
    </row>
    <row r="569" spans="1:29" ht="13">
      <c r="A569" s="83"/>
      <c r="B569" s="22"/>
      <c r="C569" s="22"/>
      <c r="G569" s="719"/>
      <c r="H569" s="720"/>
      <c r="I569" s="83" t="s">
        <v>1460</v>
      </c>
      <c r="J569" s="22"/>
      <c r="K569" s="22">
        <v>40</v>
      </c>
      <c r="L569" s="23" t="s">
        <v>838</v>
      </c>
      <c r="N569" s="719"/>
      <c r="O569" s="720"/>
      <c r="U569" s="719"/>
      <c r="V569" s="720"/>
      <c r="AB569" s="719"/>
      <c r="AC569" s="720"/>
    </row>
    <row r="570" spans="1:29" ht="13">
      <c r="A570" s="83"/>
      <c r="B570" s="22"/>
      <c r="C570" s="22"/>
      <c r="G570" s="719"/>
      <c r="H570" s="720"/>
      <c r="I570" s="83" t="s">
        <v>1041</v>
      </c>
      <c r="J570" s="22">
        <v>4782.3999999999996</v>
      </c>
      <c r="K570" s="22"/>
      <c r="L570" s="23" t="s">
        <v>1456</v>
      </c>
      <c r="M570" s="23" t="s">
        <v>1463</v>
      </c>
      <c r="N570" s="719"/>
      <c r="O570" s="720"/>
      <c r="U570" s="719"/>
      <c r="V570" s="720"/>
      <c r="AB570" s="719"/>
      <c r="AC570" s="720"/>
    </row>
    <row r="571" spans="1:29" ht="13">
      <c r="A571" s="83"/>
      <c r="B571" s="22"/>
      <c r="C571" s="22"/>
      <c r="G571" s="719"/>
      <c r="H571" s="720"/>
      <c r="I571" s="83" t="s">
        <v>67</v>
      </c>
      <c r="J571" s="22"/>
      <c r="K571" s="22">
        <v>7300</v>
      </c>
      <c r="L571" s="23" t="s">
        <v>1404</v>
      </c>
      <c r="N571" s="719"/>
      <c r="O571" s="720"/>
      <c r="U571" s="719"/>
      <c r="V571" s="720"/>
      <c r="AB571" s="719"/>
      <c r="AC571" s="720"/>
    </row>
    <row r="572" spans="1:29" ht="13">
      <c r="A572" s="83"/>
      <c r="B572" s="22"/>
      <c r="C572" s="22"/>
      <c r="G572" s="719"/>
      <c r="H572" s="720"/>
      <c r="I572" s="83" t="s">
        <v>67</v>
      </c>
      <c r="J572" s="22"/>
      <c r="K572" s="22">
        <v>40</v>
      </c>
      <c r="L572" s="23" t="s">
        <v>838</v>
      </c>
      <c r="N572" s="719"/>
      <c r="O572" s="720"/>
      <c r="U572" s="719"/>
      <c r="V572" s="720"/>
      <c r="AB572" s="719"/>
      <c r="AC572" s="720"/>
    </row>
    <row r="573" spans="1:29" ht="13">
      <c r="A573" s="83"/>
      <c r="B573" s="22"/>
      <c r="C573" s="22"/>
      <c r="G573" s="719"/>
      <c r="H573" s="720"/>
      <c r="I573" s="83" t="s">
        <v>67</v>
      </c>
      <c r="J573" s="22">
        <v>2120</v>
      </c>
      <c r="K573" s="22"/>
      <c r="L573" s="23" t="s">
        <v>1131</v>
      </c>
      <c r="M573" s="23" t="s">
        <v>1464</v>
      </c>
      <c r="N573" s="719"/>
      <c r="O573" s="720"/>
      <c r="U573" s="719"/>
      <c r="V573" s="720"/>
      <c r="AB573" s="719"/>
      <c r="AC573" s="720"/>
    </row>
    <row r="574" spans="1:29" ht="13">
      <c r="A574" s="83"/>
      <c r="B574" s="22"/>
      <c r="C574" s="22"/>
      <c r="G574" s="719"/>
      <c r="H574" s="720"/>
      <c r="I574" s="83" t="s">
        <v>67</v>
      </c>
      <c r="J574" s="22"/>
      <c r="K574" s="22">
        <v>25</v>
      </c>
      <c r="L574" s="23" t="s">
        <v>838</v>
      </c>
      <c r="N574" s="719"/>
      <c r="O574" s="720"/>
      <c r="U574" s="719"/>
      <c r="V574" s="720"/>
      <c r="AB574" s="719"/>
      <c r="AC574" s="720"/>
    </row>
    <row r="575" spans="1:29" ht="13">
      <c r="A575" s="83"/>
      <c r="B575" s="22"/>
      <c r="C575" s="22"/>
      <c r="G575" s="719"/>
      <c r="H575" s="720"/>
      <c r="I575" s="83" t="s">
        <v>67</v>
      </c>
      <c r="J575" s="22"/>
      <c r="K575" s="22">
        <v>2500</v>
      </c>
      <c r="L575" s="23" t="s">
        <v>1082</v>
      </c>
      <c r="N575" s="719"/>
      <c r="O575" s="720"/>
      <c r="U575" s="719"/>
      <c r="V575" s="720"/>
      <c r="AB575" s="719"/>
      <c r="AC575" s="720"/>
    </row>
    <row r="576" spans="1:29" ht="13">
      <c r="A576" s="83"/>
      <c r="B576" s="22"/>
      <c r="C576" s="22"/>
      <c r="G576" s="719"/>
      <c r="H576" s="720"/>
      <c r="I576" s="83" t="s">
        <v>67</v>
      </c>
      <c r="J576" s="22"/>
      <c r="K576" s="22">
        <v>40</v>
      </c>
      <c r="L576" s="23" t="s">
        <v>838</v>
      </c>
      <c r="N576" s="719"/>
      <c r="O576" s="720"/>
      <c r="U576" s="719"/>
      <c r="V576" s="720"/>
      <c r="AB576" s="719"/>
      <c r="AC576" s="720"/>
    </row>
    <row r="577" spans="1:29" ht="13">
      <c r="A577" s="83"/>
      <c r="B577" s="22"/>
      <c r="C577" s="22"/>
      <c r="G577" s="719"/>
      <c r="H577" s="720"/>
      <c r="I577" s="82">
        <v>45665</v>
      </c>
      <c r="J577" s="22"/>
      <c r="K577" s="22">
        <v>1300</v>
      </c>
      <c r="L577" s="23" t="s">
        <v>1078</v>
      </c>
      <c r="N577" s="719"/>
      <c r="O577" s="720"/>
      <c r="U577" s="719"/>
      <c r="V577" s="720"/>
      <c r="AB577" s="719"/>
      <c r="AC577" s="720"/>
    </row>
    <row r="578" spans="1:29" ht="13">
      <c r="A578" s="83"/>
      <c r="B578" s="22"/>
      <c r="C578" s="22"/>
      <c r="G578" s="719"/>
      <c r="H578" s="720"/>
      <c r="I578" s="82">
        <v>45665</v>
      </c>
      <c r="J578" s="22"/>
      <c r="K578" s="22">
        <v>40</v>
      </c>
      <c r="L578" s="23" t="s">
        <v>838</v>
      </c>
      <c r="N578" s="719"/>
      <c r="O578" s="720"/>
      <c r="U578" s="719"/>
      <c r="V578" s="720"/>
      <c r="AB578" s="719"/>
      <c r="AC578" s="720"/>
    </row>
    <row r="579" spans="1:29" ht="13">
      <c r="A579" s="83"/>
      <c r="B579" s="22"/>
      <c r="C579" s="22"/>
      <c r="G579" s="719"/>
      <c r="H579" s="720"/>
      <c r="I579" s="82">
        <v>45969</v>
      </c>
      <c r="J579" s="22">
        <v>3600</v>
      </c>
      <c r="K579" s="22"/>
      <c r="L579" s="23" t="s">
        <v>1104</v>
      </c>
      <c r="M579" s="23" t="s">
        <v>1465</v>
      </c>
      <c r="N579" s="719"/>
      <c r="O579" s="720"/>
      <c r="U579" s="719"/>
      <c r="V579" s="720"/>
      <c r="AB579" s="719"/>
      <c r="AC579" s="720"/>
    </row>
    <row r="580" spans="1:29" ht="13">
      <c r="A580" s="83"/>
      <c r="B580" s="22"/>
      <c r="C580" s="22"/>
      <c r="G580" s="719"/>
      <c r="H580" s="720"/>
      <c r="I580" s="82">
        <v>45969</v>
      </c>
      <c r="J580" s="22"/>
      <c r="K580" s="22">
        <v>120.33</v>
      </c>
      <c r="L580" s="23" t="s">
        <v>1252</v>
      </c>
      <c r="N580" s="719"/>
      <c r="O580" s="720"/>
      <c r="U580" s="719"/>
      <c r="V580" s="720"/>
      <c r="AB580" s="719"/>
      <c r="AC580" s="720"/>
    </row>
    <row r="581" spans="1:29" ht="13">
      <c r="A581" s="83"/>
      <c r="B581" s="22"/>
      <c r="C581" s="22"/>
      <c r="G581" s="719"/>
      <c r="H581" s="720"/>
      <c r="I581" s="82">
        <v>45969</v>
      </c>
      <c r="J581" s="22"/>
      <c r="K581" s="22">
        <v>510.39</v>
      </c>
      <c r="L581" s="23" t="s">
        <v>1252</v>
      </c>
      <c r="N581" s="719"/>
      <c r="O581" s="720"/>
      <c r="U581" s="719"/>
      <c r="V581" s="720"/>
      <c r="AB581" s="719"/>
      <c r="AC581" s="720"/>
    </row>
    <row r="582" spans="1:29" ht="13">
      <c r="A582" s="83"/>
      <c r="B582" s="22"/>
      <c r="C582" s="22"/>
      <c r="G582" s="719"/>
      <c r="H582" s="720"/>
      <c r="I582" s="83" t="s">
        <v>1466</v>
      </c>
      <c r="J582" s="22">
        <v>6490.4</v>
      </c>
      <c r="K582" s="22"/>
      <c r="L582" s="23" t="s">
        <v>1456</v>
      </c>
      <c r="M582" s="23" t="s">
        <v>1467</v>
      </c>
      <c r="N582" s="719"/>
      <c r="O582" s="720"/>
      <c r="U582" s="719"/>
      <c r="V582" s="720"/>
      <c r="AB582" s="719"/>
      <c r="AC582" s="720"/>
    </row>
    <row r="583" spans="1:29" ht="13">
      <c r="A583" s="83"/>
      <c r="B583" s="22"/>
      <c r="C583" s="22"/>
      <c r="G583" s="719"/>
      <c r="H583" s="720"/>
      <c r="I583" s="83" t="s">
        <v>924</v>
      </c>
      <c r="J583" s="22"/>
      <c r="K583" s="22">
        <v>33.880000000000003</v>
      </c>
      <c r="L583" s="23" t="s">
        <v>1420</v>
      </c>
      <c r="N583" s="719"/>
      <c r="O583" s="720"/>
      <c r="U583" s="719"/>
      <c r="V583" s="720"/>
      <c r="AB583" s="719"/>
      <c r="AC583" s="720"/>
    </row>
    <row r="584" spans="1:29" ht="13">
      <c r="A584" s="83"/>
      <c r="B584" s="22"/>
      <c r="C584" s="22"/>
      <c r="G584" s="719"/>
      <c r="H584" s="720"/>
      <c r="I584" s="83" t="s">
        <v>1043</v>
      </c>
      <c r="J584" s="22"/>
      <c r="K584" s="22">
        <v>25</v>
      </c>
      <c r="L584" s="23" t="s">
        <v>838</v>
      </c>
      <c r="N584" s="719"/>
      <c r="O584" s="720"/>
      <c r="U584" s="719"/>
      <c r="V584" s="720"/>
      <c r="AB584" s="719"/>
      <c r="AC584" s="720"/>
    </row>
    <row r="585" spans="1:29" ht="13">
      <c r="A585" s="83"/>
      <c r="B585" s="22"/>
      <c r="C585" s="22"/>
      <c r="G585" s="719"/>
      <c r="H585" s="720"/>
      <c r="I585" s="83" t="s">
        <v>1043</v>
      </c>
      <c r="J585" s="22">
        <v>2120</v>
      </c>
      <c r="K585" s="22"/>
      <c r="L585" s="23" t="s">
        <v>1131</v>
      </c>
      <c r="M585" s="23" t="s">
        <v>1468</v>
      </c>
      <c r="N585" s="719"/>
      <c r="O585" s="720"/>
      <c r="U585" s="719"/>
      <c r="V585" s="720"/>
      <c r="AB585" s="719"/>
      <c r="AC585" s="720"/>
    </row>
    <row r="586" spans="1:29" ht="13">
      <c r="A586" s="83"/>
      <c r="B586" s="22"/>
      <c r="C586" s="22"/>
      <c r="G586" s="719"/>
      <c r="H586" s="720"/>
      <c r="I586" s="83" t="s">
        <v>1048</v>
      </c>
      <c r="J586" s="22"/>
      <c r="K586" s="22">
        <v>4500</v>
      </c>
      <c r="L586" s="23" t="s">
        <v>1421</v>
      </c>
      <c r="N586" s="719"/>
      <c r="O586" s="720"/>
      <c r="U586" s="719"/>
      <c r="V586" s="720"/>
      <c r="AB586" s="719"/>
      <c r="AC586" s="720"/>
    </row>
    <row r="587" spans="1:29" ht="13">
      <c r="A587" s="83"/>
      <c r="B587" s="22"/>
      <c r="C587" s="22"/>
      <c r="G587" s="719"/>
      <c r="H587" s="720"/>
      <c r="I587" s="83" t="s">
        <v>1048</v>
      </c>
      <c r="J587" s="22"/>
      <c r="K587" s="22">
        <v>40</v>
      </c>
      <c r="L587" s="23" t="s">
        <v>838</v>
      </c>
      <c r="N587" s="719"/>
      <c r="O587" s="720"/>
      <c r="U587" s="719"/>
      <c r="V587" s="720"/>
      <c r="AB587" s="719"/>
      <c r="AC587" s="720"/>
    </row>
    <row r="588" spans="1:29" ht="13">
      <c r="A588" s="83"/>
      <c r="B588" s="22"/>
      <c r="C588" s="22"/>
      <c r="G588" s="719"/>
      <c r="H588" s="720"/>
      <c r="I588" s="83" t="s">
        <v>1048</v>
      </c>
      <c r="J588" s="22"/>
      <c r="K588" s="22">
        <v>10</v>
      </c>
      <c r="L588" s="23" t="s">
        <v>838</v>
      </c>
      <c r="N588" s="719"/>
      <c r="O588" s="720"/>
      <c r="U588" s="719"/>
      <c r="V588" s="720"/>
      <c r="AB588" s="719"/>
      <c r="AC588" s="720"/>
    </row>
    <row r="589" spans="1:29" ht="13">
      <c r="A589" s="83"/>
      <c r="B589" s="22"/>
      <c r="C589" s="22"/>
      <c r="G589" s="719"/>
      <c r="H589" s="720"/>
      <c r="I589" s="83" t="s">
        <v>1048</v>
      </c>
      <c r="J589" s="22">
        <v>15030.4</v>
      </c>
      <c r="K589" s="22"/>
      <c r="L589" s="23" t="s">
        <v>1456</v>
      </c>
      <c r="M589" s="23" t="s">
        <v>1469</v>
      </c>
      <c r="N589" s="719"/>
      <c r="O589" s="720"/>
      <c r="U589" s="719"/>
      <c r="V589" s="720"/>
      <c r="AB589" s="719"/>
      <c r="AC589" s="720"/>
    </row>
    <row r="590" spans="1:29" ht="13">
      <c r="A590" s="83"/>
      <c r="B590" s="22"/>
      <c r="C590" s="22"/>
      <c r="G590" s="719"/>
      <c r="H590" s="720"/>
      <c r="I590" s="107">
        <v>45666</v>
      </c>
      <c r="J590" s="22"/>
      <c r="K590" s="22">
        <v>2323</v>
      </c>
      <c r="L590" s="23" t="s">
        <v>1078</v>
      </c>
      <c r="N590" s="719"/>
      <c r="O590" s="720"/>
      <c r="U590" s="719"/>
      <c r="V590" s="720"/>
      <c r="AB590" s="719"/>
      <c r="AC590" s="720"/>
    </row>
    <row r="591" spans="1:29" ht="13">
      <c r="A591" s="83"/>
      <c r="B591" s="22"/>
      <c r="C591" s="22"/>
      <c r="G591" s="719"/>
      <c r="H591" s="720"/>
      <c r="I591" s="107">
        <v>45666</v>
      </c>
      <c r="J591" s="22"/>
      <c r="K591" s="22">
        <v>40</v>
      </c>
      <c r="L591" s="23" t="s">
        <v>838</v>
      </c>
      <c r="N591" s="719"/>
      <c r="O591" s="720"/>
      <c r="U591" s="719"/>
      <c r="V591" s="720"/>
      <c r="AB591" s="719"/>
      <c r="AC591" s="720"/>
    </row>
    <row r="592" spans="1:29" ht="13">
      <c r="A592" s="83"/>
      <c r="B592" s="22"/>
      <c r="C592" s="22"/>
      <c r="G592" s="719"/>
      <c r="H592" s="720"/>
      <c r="I592" s="107">
        <v>45666</v>
      </c>
      <c r="J592" s="22"/>
      <c r="K592" s="22">
        <v>2500</v>
      </c>
      <c r="L592" s="23" t="s">
        <v>1082</v>
      </c>
      <c r="N592" s="719"/>
      <c r="O592" s="720"/>
      <c r="U592" s="719"/>
      <c r="V592" s="720"/>
      <c r="AB592" s="719"/>
      <c r="AC592" s="720"/>
    </row>
    <row r="593" spans="1:29" ht="13">
      <c r="A593" s="83"/>
      <c r="B593" s="22"/>
      <c r="C593" s="22"/>
      <c r="G593" s="719"/>
      <c r="H593" s="720"/>
      <c r="I593" s="107">
        <v>45666</v>
      </c>
      <c r="J593" s="22"/>
      <c r="K593" s="22">
        <v>40</v>
      </c>
      <c r="L593" s="23" t="s">
        <v>838</v>
      </c>
      <c r="N593" s="719"/>
      <c r="O593" s="720"/>
      <c r="U593" s="719"/>
      <c r="V593" s="720"/>
      <c r="AB593" s="719"/>
      <c r="AC593" s="720"/>
    </row>
    <row r="594" spans="1:29" ht="13">
      <c r="A594" s="83"/>
      <c r="B594" s="22"/>
      <c r="C594" s="22"/>
      <c r="G594" s="719"/>
      <c r="H594" s="720"/>
      <c r="I594" s="107">
        <v>45878</v>
      </c>
      <c r="J594" s="22"/>
      <c r="K594" s="22">
        <v>190.75</v>
      </c>
      <c r="L594" s="23" t="s">
        <v>1252</v>
      </c>
      <c r="N594" s="719"/>
      <c r="O594" s="720"/>
      <c r="U594" s="719"/>
      <c r="V594" s="720"/>
      <c r="AB594" s="719"/>
      <c r="AC594" s="720"/>
    </row>
    <row r="595" spans="1:29" ht="13">
      <c r="A595" s="83"/>
      <c r="B595" s="22"/>
      <c r="C595" s="22"/>
      <c r="G595" s="719"/>
      <c r="H595" s="720"/>
      <c r="I595" s="107">
        <v>45878</v>
      </c>
      <c r="K595" s="23">
        <v>816.69</v>
      </c>
      <c r="L595" s="23" t="s">
        <v>1252</v>
      </c>
      <c r="N595" s="719"/>
      <c r="O595" s="720"/>
      <c r="U595" s="719"/>
      <c r="V595" s="720"/>
      <c r="AB595" s="719"/>
      <c r="AC595" s="720"/>
    </row>
    <row r="596" spans="1:29" ht="13">
      <c r="A596" s="83"/>
      <c r="B596" s="22"/>
      <c r="C596" s="22"/>
      <c r="G596" s="719"/>
      <c r="H596" s="720"/>
      <c r="I596" s="107">
        <v>45939</v>
      </c>
      <c r="J596" s="22">
        <v>3150</v>
      </c>
      <c r="K596" s="22"/>
      <c r="L596" s="23" t="s">
        <v>1470</v>
      </c>
      <c r="M596" s="23" t="s">
        <v>1471</v>
      </c>
      <c r="N596" s="719"/>
      <c r="O596" s="720"/>
      <c r="U596" s="719"/>
      <c r="V596" s="720"/>
      <c r="AB596" s="719"/>
      <c r="AC596" s="720"/>
    </row>
    <row r="597" spans="1:29" ht="13">
      <c r="A597" s="83"/>
      <c r="B597" s="22"/>
      <c r="C597" s="22"/>
      <c r="G597" s="719"/>
      <c r="H597" s="720"/>
      <c r="I597" s="83" t="s">
        <v>926</v>
      </c>
      <c r="J597" s="22"/>
      <c r="K597" s="22">
        <v>34.06</v>
      </c>
      <c r="L597" s="23" t="s">
        <v>1420</v>
      </c>
      <c r="N597" s="719"/>
      <c r="O597" s="720"/>
      <c r="U597" s="719"/>
      <c r="V597" s="720"/>
      <c r="AB597" s="719"/>
      <c r="AC597" s="720"/>
    </row>
    <row r="598" spans="1:29" ht="13">
      <c r="A598" s="83"/>
      <c r="B598" s="22"/>
      <c r="C598" s="22"/>
      <c r="G598" s="719"/>
      <c r="H598" s="720"/>
      <c r="I598" s="83" t="s">
        <v>401</v>
      </c>
      <c r="J598" s="22"/>
      <c r="K598" s="22">
        <v>10800</v>
      </c>
      <c r="L598" s="23" t="s">
        <v>1421</v>
      </c>
      <c r="N598" s="719"/>
      <c r="O598" s="720"/>
      <c r="U598" s="719"/>
      <c r="V598" s="720"/>
      <c r="AB598" s="719"/>
      <c r="AC598" s="720"/>
    </row>
    <row r="599" spans="1:29" ht="13">
      <c r="A599" s="83"/>
      <c r="B599" s="22"/>
      <c r="C599" s="22"/>
      <c r="G599" s="719"/>
      <c r="H599" s="720"/>
      <c r="I599" s="83" t="s">
        <v>401</v>
      </c>
      <c r="J599" s="22"/>
      <c r="K599" s="22">
        <v>40</v>
      </c>
      <c r="L599" s="23" t="s">
        <v>838</v>
      </c>
      <c r="N599" s="719"/>
      <c r="O599" s="720"/>
      <c r="U599" s="719"/>
      <c r="V599" s="720"/>
      <c r="AB599" s="719"/>
      <c r="AC599" s="720"/>
    </row>
    <row r="600" spans="1:29" ht="13">
      <c r="A600" s="83"/>
      <c r="B600" s="22"/>
      <c r="C600" s="22"/>
      <c r="G600" s="719"/>
      <c r="H600" s="720"/>
      <c r="I600" s="107">
        <v>45667</v>
      </c>
      <c r="J600" s="22"/>
      <c r="K600" s="22">
        <v>2500</v>
      </c>
      <c r="L600" s="23" t="s">
        <v>1082</v>
      </c>
      <c r="N600" s="719"/>
      <c r="O600" s="720"/>
      <c r="U600" s="719"/>
      <c r="V600" s="720"/>
      <c r="AB600" s="719"/>
      <c r="AC600" s="720"/>
    </row>
    <row r="601" spans="1:29" ht="13">
      <c r="A601" s="83"/>
      <c r="B601" s="22"/>
      <c r="C601" s="22"/>
      <c r="G601" s="719"/>
      <c r="H601" s="720"/>
      <c r="I601" s="107">
        <v>45667</v>
      </c>
      <c r="J601" s="22"/>
      <c r="K601" s="22">
        <v>40</v>
      </c>
      <c r="L601" s="23" t="s">
        <v>838</v>
      </c>
      <c r="N601" s="719"/>
      <c r="O601" s="720"/>
      <c r="U601" s="719"/>
      <c r="V601" s="720"/>
      <c r="AB601" s="719"/>
      <c r="AC601" s="720"/>
    </row>
    <row r="602" spans="1:29" ht="13">
      <c r="A602" s="83"/>
      <c r="B602" s="22"/>
      <c r="C602" s="22"/>
      <c r="G602" s="719"/>
      <c r="H602" s="720"/>
      <c r="I602" s="107">
        <v>45667</v>
      </c>
      <c r="J602" s="22"/>
      <c r="K602" s="22">
        <v>9523.81</v>
      </c>
      <c r="L602" s="23" t="s">
        <v>919</v>
      </c>
      <c r="N602" s="719"/>
      <c r="O602" s="720"/>
      <c r="U602" s="719"/>
      <c r="V602" s="720"/>
      <c r="AB602" s="719"/>
      <c r="AC602" s="720"/>
    </row>
    <row r="603" spans="1:29" ht="13">
      <c r="A603" s="83"/>
      <c r="B603" s="22"/>
      <c r="C603" s="22"/>
      <c r="G603" s="719"/>
      <c r="H603" s="720"/>
      <c r="I603" s="107">
        <v>45848</v>
      </c>
      <c r="J603" s="22"/>
      <c r="K603" s="22">
        <v>116.65</v>
      </c>
      <c r="L603" s="23" t="s">
        <v>1252</v>
      </c>
      <c r="N603" s="719"/>
      <c r="O603" s="720"/>
      <c r="U603" s="719"/>
      <c r="V603" s="720"/>
      <c r="AB603" s="719"/>
      <c r="AC603" s="720"/>
    </row>
    <row r="604" spans="1:29" ht="13">
      <c r="A604" s="83"/>
      <c r="B604" s="22"/>
      <c r="C604" s="22"/>
      <c r="G604" s="719"/>
      <c r="H604" s="720"/>
      <c r="I604" s="107">
        <v>45848</v>
      </c>
      <c r="J604" s="22"/>
      <c r="K604" s="22">
        <v>909.87</v>
      </c>
      <c r="L604" s="23" t="s">
        <v>1252</v>
      </c>
      <c r="N604" s="719"/>
      <c r="O604" s="720"/>
      <c r="U604" s="719"/>
      <c r="V604" s="720"/>
      <c r="AB604" s="719"/>
      <c r="AC604" s="720"/>
    </row>
    <row r="605" spans="1:29" ht="13">
      <c r="A605" s="83"/>
      <c r="B605" s="22"/>
      <c r="C605" s="22"/>
      <c r="G605" s="719"/>
      <c r="H605" s="720"/>
      <c r="I605" s="107">
        <v>42257</v>
      </c>
      <c r="J605" s="22">
        <v>4375</v>
      </c>
      <c r="K605" s="22"/>
      <c r="L605" s="23" t="s">
        <v>1104</v>
      </c>
      <c r="M605" s="23" t="s">
        <v>1472</v>
      </c>
      <c r="N605" s="719"/>
      <c r="O605" s="720"/>
      <c r="U605" s="719"/>
      <c r="V605" s="720"/>
      <c r="AB605" s="719"/>
      <c r="AC605" s="720"/>
    </row>
    <row r="606" spans="1:29" ht="13">
      <c r="A606" s="83"/>
      <c r="B606" s="22"/>
      <c r="C606" s="22"/>
      <c r="G606" s="719"/>
      <c r="H606" s="720"/>
      <c r="I606" s="107">
        <v>42257</v>
      </c>
      <c r="J606" s="22"/>
      <c r="K606" s="22">
        <v>3000</v>
      </c>
      <c r="L606" s="23" t="s">
        <v>1461</v>
      </c>
      <c r="N606" s="719"/>
      <c r="O606" s="720"/>
      <c r="U606" s="719"/>
      <c r="V606" s="720"/>
      <c r="AB606" s="719"/>
      <c r="AC606" s="720"/>
    </row>
    <row r="607" spans="1:29" ht="13">
      <c r="A607" s="83"/>
      <c r="B607" s="22"/>
      <c r="C607" s="22"/>
      <c r="G607" s="719"/>
      <c r="H607" s="720"/>
      <c r="I607" s="107">
        <v>42257</v>
      </c>
      <c r="J607" s="22"/>
      <c r="K607" s="22">
        <v>40</v>
      </c>
      <c r="L607" s="23" t="s">
        <v>838</v>
      </c>
      <c r="N607" s="719"/>
      <c r="O607" s="720"/>
      <c r="U607" s="719"/>
      <c r="V607" s="720"/>
      <c r="AB607" s="719"/>
      <c r="AC607" s="720"/>
    </row>
    <row r="608" spans="1:29" ht="13">
      <c r="A608" s="83"/>
      <c r="B608" s="22"/>
      <c r="C608" s="22"/>
      <c r="G608" s="719"/>
      <c r="H608" s="720"/>
      <c r="I608" s="107">
        <v>42257</v>
      </c>
      <c r="J608" s="22"/>
      <c r="K608" s="22">
        <v>2750</v>
      </c>
      <c r="L608" s="23" t="s">
        <v>1233</v>
      </c>
      <c r="N608" s="719"/>
      <c r="O608" s="720"/>
      <c r="U608" s="719"/>
      <c r="V608" s="720"/>
      <c r="AB608" s="719"/>
      <c r="AC608" s="720"/>
    </row>
    <row r="609" spans="1:29" ht="13">
      <c r="A609" s="83"/>
      <c r="B609" s="22"/>
      <c r="C609" s="22"/>
      <c r="G609" s="719"/>
      <c r="H609" s="720"/>
      <c r="I609" s="107">
        <v>42257</v>
      </c>
      <c r="J609" s="22"/>
      <c r="K609" s="22">
        <v>40</v>
      </c>
      <c r="L609" s="23" t="s">
        <v>838</v>
      </c>
      <c r="N609" s="719"/>
      <c r="O609" s="720"/>
      <c r="U609" s="719"/>
      <c r="V609" s="720"/>
      <c r="AB609" s="719"/>
      <c r="AC609" s="720"/>
    </row>
    <row r="610" spans="1:29" ht="13">
      <c r="A610" s="83"/>
      <c r="B610" s="22"/>
      <c r="C610" s="22"/>
      <c r="G610" s="719"/>
      <c r="H610" s="720"/>
      <c r="I610" s="107">
        <v>42257</v>
      </c>
      <c r="J610" s="22">
        <v>13664</v>
      </c>
      <c r="K610" s="22"/>
      <c r="L610" s="23" t="s">
        <v>1456</v>
      </c>
      <c r="M610" s="23" t="s">
        <v>1473</v>
      </c>
      <c r="N610" s="719"/>
      <c r="O610" s="720"/>
      <c r="U610" s="719"/>
      <c r="V610" s="720"/>
      <c r="AB610" s="719"/>
      <c r="AC610" s="720"/>
    </row>
    <row r="611" spans="1:29" ht="13">
      <c r="A611" s="83"/>
      <c r="B611" s="22"/>
      <c r="C611" s="22"/>
      <c r="G611" s="719"/>
      <c r="H611" s="720"/>
      <c r="I611" s="107">
        <v>42257</v>
      </c>
      <c r="J611" s="22"/>
      <c r="K611" s="22">
        <v>10</v>
      </c>
      <c r="L611" s="23" t="s">
        <v>838</v>
      </c>
      <c r="N611" s="719"/>
      <c r="O611" s="720"/>
      <c r="U611" s="719"/>
      <c r="V611" s="720"/>
      <c r="AB611" s="719"/>
      <c r="AC611" s="720"/>
    </row>
    <row r="612" spans="1:29" ht="13">
      <c r="A612" s="83"/>
      <c r="B612" s="22"/>
      <c r="C612" s="22"/>
      <c r="G612" s="719"/>
      <c r="H612" s="720"/>
      <c r="I612" s="83" t="s">
        <v>1474</v>
      </c>
      <c r="J612" s="22">
        <v>2720</v>
      </c>
      <c r="K612" s="22"/>
      <c r="L612" s="23" t="s">
        <v>1475</v>
      </c>
      <c r="N612" s="719"/>
      <c r="O612" s="720"/>
      <c r="U612" s="719"/>
      <c r="V612" s="720"/>
      <c r="AB612" s="719"/>
      <c r="AC612" s="720"/>
    </row>
    <row r="613" spans="1:29" ht="13">
      <c r="A613" s="83"/>
      <c r="B613" s="22"/>
      <c r="C613" s="22"/>
      <c r="G613" s="719"/>
      <c r="H613" s="720"/>
      <c r="I613" s="83" t="s">
        <v>929</v>
      </c>
      <c r="J613" s="22"/>
      <c r="K613" s="22">
        <v>35.5</v>
      </c>
      <c r="L613" s="23" t="s">
        <v>1420</v>
      </c>
      <c r="N613" s="719"/>
      <c r="O613" s="720"/>
      <c r="U613" s="719"/>
      <c r="V613" s="720"/>
      <c r="AB613" s="719"/>
      <c r="AC613" s="720"/>
    </row>
    <row r="614" spans="1:29" ht="13">
      <c r="A614" s="83"/>
      <c r="B614" s="22"/>
      <c r="C614" s="22"/>
      <c r="G614" s="719"/>
      <c r="H614" s="720"/>
      <c r="I614" s="83" t="s">
        <v>1476</v>
      </c>
      <c r="J614" s="22">
        <v>7271.2</v>
      </c>
      <c r="K614" s="22"/>
      <c r="L614" s="23" t="s">
        <v>1477</v>
      </c>
      <c r="M614" s="23" t="s">
        <v>1478</v>
      </c>
      <c r="N614" s="719"/>
      <c r="O614" s="720"/>
      <c r="U614" s="719"/>
      <c r="V614" s="720"/>
      <c r="AB614" s="719"/>
      <c r="AC614" s="720"/>
    </row>
    <row r="615" spans="1:29" ht="13">
      <c r="A615" s="83"/>
      <c r="B615" s="22"/>
      <c r="C615" s="22"/>
      <c r="G615" s="719"/>
      <c r="H615" s="720"/>
      <c r="I615" s="83" t="s">
        <v>1479</v>
      </c>
      <c r="J615" s="22"/>
      <c r="K615" s="22">
        <v>2181.36</v>
      </c>
      <c r="L615" s="23" t="s">
        <v>1480</v>
      </c>
      <c r="M615" s="23" t="s">
        <v>1481</v>
      </c>
      <c r="N615" s="719"/>
      <c r="O615" s="720"/>
      <c r="U615" s="719"/>
      <c r="V615" s="720"/>
      <c r="AB615" s="719"/>
      <c r="AC615" s="720"/>
    </row>
    <row r="616" spans="1:29" ht="13">
      <c r="A616" s="83"/>
      <c r="B616" s="22"/>
      <c r="C616" s="22"/>
      <c r="G616" s="719"/>
      <c r="H616" s="720"/>
      <c r="I616" s="83"/>
      <c r="J616" s="22"/>
      <c r="K616" s="22"/>
      <c r="N616" s="719"/>
      <c r="O616" s="720"/>
      <c r="U616" s="719"/>
      <c r="V616" s="720"/>
      <c r="AB616" s="719"/>
      <c r="AC616" s="720"/>
    </row>
    <row r="617" spans="1:29" ht="13">
      <c r="A617" s="83"/>
      <c r="B617" s="22"/>
      <c r="C617" s="22"/>
      <c r="G617" s="719"/>
      <c r="H617" s="720"/>
      <c r="I617" s="83"/>
      <c r="J617" s="22"/>
      <c r="K617" s="22"/>
      <c r="N617" s="719"/>
      <c r="O617" s="720"/>
      <c r="U617" s="719"/>
      <c r="V617" s="720"/>
      <c r="AB617" s="719"/>
      <c r="AC617" s="720"/>
    </row>
    <row r="618" spans="1:29" ht="13">
      <c r="A618" s="83"/>
      <c r="B618" s="22"/>
      <c r="C618" s="22"/>
      <c r="G618" s="719"/>
      <c r="H618" s="720"/>
      <c r="I618" s="83"/>
      <c r="J618" s="22"/>
      <c r="K618" s="22"/>
      <c r="N618" s="719"/>
      <c r="O618" s="720"/>
      <c r="U618" s="719"/>
      <c r="V618" s="720"/>
      <c r="AB618" s="719"/>
      <c r="AC618" s="720"/>
    </row>
    <row r="619" spans="1:29" ht="13">
      <c r="A619" s="83"/>
      <c r="B619" s="22"/>
      <c r="C619" s="22"/>
      <c r="G619" s="719"/>
      <c r="H619" s="720"/>
      <c r="I619" s="83"/>
      <c r="J619" s="22"/>
      <c r="K619" s="22"/>
      <c r="N619" s="719"/>
      <c r="O619" s="720"/>
      <c r="U619" s="719"/>
      <c r="V619" s="720"/>
      <c r="AB619" s="714"/>
      <c r="AC619" s="714"/>
    </row>
  </sheetData>
  <customSheetViews>
    <customSheetView guid="{37306B67-734E-4E55-90C3-DA23EA5F66FD}" filter="1" showAutoFilter="1">
      <pageMargins left="0.7" right="0.7" top="0.75" bottom="0.75" header="0.3" footer="0.3"/>
      <autoFilter ref="A6:AC619" xr:uid="{E29BF42E-1BC2-944E-9257-0E49BED23450}">
        <filterColumn colId="3">
          <filters>
            <filter val="BPS"/>
            <filter val="BSE seguro notebook"/>
            <filter val="comision retiro exterior"/>
            <filter val="compra camioneta toyota"/>
            <filter val="compra mac maquina rodo"/>
            <filter val="Cosmo - agencia - 50% por el final"/>
            <filter val="Cosmo - agencia - 50% por inicio"/>
            <filter val="costo transferencia"/>
            <filter val="devolucion a javier por deposito sueldo a Camilo Arboleda"/>
            <filter val="devolucion compra mac a javier"/>
            <filter val="devolucion de gastos"/>
            <filter val="devolucion Horacio Vico"/>
            <filter val="devolucion prestamo signum (aporte socio)"/>
            <filter val="devolucion retiro exterior"/>
            <filter val="enviado a pragmatic itau"/>
            <filter val="honorarios Cameto"/>
            <filter val="Honorarios Gonzalo Cameto"/>
            <filter val="Honorarios Medina"/>
            <filter val="Honorarios Vico"/>
            <filter val="Hospedaje Miami"/>
            <filter val="pago BPS"/>
            <filter val="pago BPS julio"/>
            <filter val="Pago Contador USA FB"/>
            <filter val="pago escribano BCU"/>
            <filter val="pago Ingesol"/>
            <filter val="Pago monitor Apple MOX"/>
            <filter val="pago notebooks colombia"/>
            <filter val="pago Palser"/>
            <filter val="pago Signum"/>
            <filter val="pago tarjeta visa itau pragmatic"/>
            <filter val="pago Uruware"/>
            <filter val="Pago UXDivers"/>
            <filter val="pasaje y viatico Amelia venida al uy"/>
            <filter val="prestamo socio"/>
            <filter val="retiro efectivo colombia"/>
            <filter val="seña compra camioneta toyota"/>
            <filter val="transferencia a cuenta itau pragmatic"/>
            <filter val="transferencia a rodo (horacio/amelia)"/>
            <filter val="transferencia compra camioneta toyota"/>
            <filter val="transferencia de cuenta itau"/>
            <filter val="utiliades Javier"/>
            <filter val="utilidades anuales javier"/>
            <filter val="utilidades anuales Rodolfo"/>
            <filter val="utilidades rodolfo"/>
            <filter val="venta dol pago DGI"/>
            <filter val="venta dolares para pago IVA"/>
            <filter val="viaticos cali Cameto"/>
            <filter val="viaticos cali Javier"/>
          </filters>
        </filterColumn>
      </autoFilter>
    </customSheetView>
  </customSheetView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100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7.1640625" customWidth="1"/>
    <col min="6" max="6" width="14.33203125" customWidth="1"/>
    <col min="9" max="9" width="11.1640625" customWidth="1"/>
    <col min="13" max="13" width="8.1640625" customWidth="1"/>
    <col min="15" max="15" width="9.1640625" customWidth="1"/>
  </cols>
  <sheetData>
    <row r="1" spans="1:19" ht="15.75" customHeight="1">
      <c r="A1" s="743"/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4"/>
      <c r="O1" s="744"/>
      <c r="P1" s="744"/>
      <c r="Q1" s="743"/>
      <c r="R1" s="743"/>
      <c r="S1" s="743"/>
    </row>
    <row r="2" spans="1:19" ht="15.75" customHeight="1">
      <c r="A2" s="745"/>
      <c r="B2" s="745"/>
      <c r="C2" s="745" t="s">
        <v>1482</v>
      </c>
      <c r="D2" s="745"/>
      <c r="E2" s="745"/>
      <c r="F2" s="746"/>
      <c r="G2" s="747"/>
      <c r="H2" s="747" t="s">
        <v>24</v>
      </c>
      <c r="I2" s="748"/>
      <c r="J2" s="749"/>
      <c r="K2" s="743"/>
      <c r="L2" s="750"/>
      <c r="M2" s="743"/>
      <c r="N2" s="744"/>
      <c r="O2" s="744"/>
      <c r="P2" s="744"/>
      <c r="Q2" s="743"/>
      <c r="R2" s="743"/>
      <c r="S2" s="743"/>
    </row>
    <row r="3" spans="1:19" ht="15.75" customHeight="1">
      <c r="B3" s="751" t="s">
        <v>72</v>
      </c>
      <c r="C3" s="751" t="s">
        <v>1483</v>
      </c>
      <c r="D3" s="752" t="s">
        <v>106</v>
      </c>
      <c r="E3" s="751" t="s">
        <v>1484</v>
      </c>
      <c r="F3" s="753" t="s">
        <v>1485</v>
      </c>
      <c r="G3" s="751" t="s">
        <v>1486</v>
      </c>
      <c r="H3" s="752" t="s">
        <v>1487</v>
      </c>
      <c r="I3" s="751" t="s">
        <v>1488</v>
      </c>
      <c r="J3" s="754" t="s">
        <v>1489</v>
      </c>
      <c r="K3" s="755" t="s">
        <v>1490</v>
      </c>
      <c r="L3" s="755" t="s">
        <v>1491</v>
      </c>
      <c r="M3" s="756" t="s">
        <v>528</v>
      </c>
      <c r="N3" s="757" t="s">
        <v>582</v>
      </c>
      <c r="O3" s="757" t="s">
        <v>1492</v>
      </c>
      <c r="P3" s="757" t="s">
        <v>502</v>
      </c>
      <c r="Q3" s="743"/>
      <c r="R3" s="743"/>
      <c r="S3" s="743"/>
    </row>
    <row r="4" spans="1:19" ht="15.75" customHeight="1">
      <c r="A4" s="743"/>
      <c r="B4" s="758">
        <v>44562</v>
      </c>
      <c r="C4" s="744">
        <v>192099.09</v>
      </c>
      <c r="D4" s="743" t="s">
        <v>122</v>
      </c>
      <c r="E4" s="744">
        <f>C4-F4</f>
        <v>55101.09</v>
      </c>
      <c r="F4" s="759">
        <v>136998</v>
      </c>
      <c r="G4" s="743">
        <v>291253</v>
      </c>
      <c r="H4" s="760" t="s">
        <v>146</v>
      </c>
      <c r="I4" s="743">
        <v>8255501</v>
      </c>
      <c r="J4" s="761">
        <v>62904616410</v>
      </c>
      <c r="K4" s="743" t="s">
        <v>125</v>
      </c>
      <c r="L4" s="743"/>
      <c r="M4" s="744"/>
      <c r="N4" s="762"/>
      <c r="O4" s="762"/>
      <c r="P4" s="762"/>
      <c r="Q4" s="743"/>
      <c r="R4" s="743"/>
      <c r="S4" s="743"/>
    </row>
    <row r="5" spans="1:19" ht="15.75" customHeight="1">
      <c r="A5" s="743"/>
      <c r="B5" s="743"/>
      <c r="C5" s="744"/>
      <c r="D5" s="743" t="s">
        <v>122</v>
      </c>
      <c r="E5" s="744">
        <f>E4-F5</f>
        <v>7217.0899999999965</v>
      </c>
      <c r="F5" s="759">
        <v>47884</v>
      </c>
      <c r="G5" s="743">
        <v>313608</v>
      </c>
      <c r="H5" s="760" t="s">
        <v>1493</v>
      </c>
      <c r="I5" s="743">
        <v>8428724</v>
      </c>
      <c r="J5" s="761">
        <v>62904716520</v>
      </c>
      <c r="K5" s="743" t="s">
        <v>125</v>
      </c>
      <c r="L5" s="743"/>
      <c r="M5" s="744"/>
      <c r="N5" s="762"/>
      <c r="O5" s="762"/>
      <c r="P5" s="762"/>
      <c r="Q5" s="743"/>
      <c r="R5" s="743"/>
      <c r="S5" s="743"/>
    </row>
    <row r="6" spans="1:19" ht="15.75" customHeight="1">
      <c r="A6" s="743"/>
      <c r="B6" s="758">
        <v>44562</v>
      </c>
      <c r="C6" s="744">
        <v>134823.38</v>
      </c>
      <c r="D6" s="743" t="s">
        <v>122</v>
      </c>
      <c r="E6" s="744">
        <f>E5+C6-F6</f>
        <v>24953.47</v>
      </c>
      <c r="F6" s="759">
        <v>117087</v>
      </c>
      <c r="G6" s="743">
        <v>344151</v>
      </c>
      <c r="H6" s="760" t="s">
        <v>1494</v>
      </c>
      <c r="I6" s="743">
        <v>8685387</v>
      </c>
      <c r="J6" s="761">
        <v>62904853730</v>
      </c>
      <c r="K6" s="743" t="s">
        <v>125</v>
      </c>
      <c r="L6" s="743"/>
      <c r="M6" s="744"/>
      <c r="N6" s="762"/>
      <c r="O6" s="762"/>
      <c r="P6" s="762"/>
      <c r="Q6" s="743"/>
      <c r="R6" s="743"/>
      <c r="S6" s="743"/>
    </row>
    <row r="7" spans="1:19" ht="15.75" customHeight="1">
      <c r="A7" s="743"/>
      <c r="B7" s="743"/>
      <c r="C7" s="744"/>
      <c r="D7" s="743" t="s">
        <v>122</v>
      </c>
      <c r="E7" s="744">
        <f>E6-F7</f>
        <v>0.47000000000116415</v>
      </c>
      <c r="F7" s="759">
        <v>24953</v>
      </c>
      <c r="G7" s="743">
        <v>344152</v>
      </c>
      <c r="H7" s="760" t="s">
        <v>1495</v>
      </c>
      <c r="I7" s="743">
        <v>8943599</v>
      </c>
      <c r="J7" s="761">
        <v>62904853730</v>
      </c>
      <c r="K7" s="743" t="s">
        <v>125</v>
      </c>
      <c r="L7" s="743"/>
      <c r="M7" s="744"/>
      <c r="N7" s="762"/>
      <c r="O7" s="762"/>
      <c r="P7" s="762"/>
      <c r="Q7" s="743"/>
      <c r="R7" s="743"/>
      <c r="S7" s="743"/>
    </row>
    <row r="8" spans="1:19" ht="15.75" customHeight="1">
      <c r="A8" s="743"/>
      <c r="B8" s="758">
        <v>44593</v>
      </c>
      <c r="C8" s="744">
        <v>157013.71</v>
      </c>
      <c r="D8" s="743" t="s">
        <v>122</v>
      </c>
      <c r="E8" s="744">
        <f t="shared" ref="E8:E11" si="0">E7+C8-F8</f>
        <v>0.17999999999301508</v>
      </c>
      <c r="F8" s="759">
        <v>157014</v>
      </c>
      <c r="G8" s="743">
        <v>3905941</v>
      </c>
      <c r="H8" s="760" t="s">
        <v>1495</v>
      </c>
      <c r="I8" s="743">
        <v>8943599</v>
      </c>
      <c r="J8" s="761">
        <v>96203017850</v>
      </c>
      <c r="K8" s="743" t="s">
        <v>125</v>
      </c>
      <c r="L8" s="743"/>
      <c r="M8" s="744"/>
      <c r="N8" s="762"/>
      <c r="O8" s="762"/>
      <c r="P8" s="762"/>
      <c r="Q8" s="743"/>
      <c r="R8" s="743"/>
      <c r="S8" s="743"/>
    </row>
    <row r="9" spans="1:19" ht="15.75" customHeight="1">
      <c r="A9" s="743"/>
      <c r="B9" s="758">
        <v>44621</v>
      </c>
      <c r="C9" s="744">
        <v>186599.86</v>
      </c>
      <c r="D9" s="743" t="s">
        <v>122</v>
      </c>
      <c r="E9" s="744">
        <f t="shared" si="0"/>
        <v>88594.039999999979</v>
      </c>
      <c r="F9" s="759">
        <v>98006</v>
      </c>
      <c r="G9" s="743">
        <v>397881</v>
      </c>
      <c r="H9" s="760" t="s">
        <v>1496</v>
      </c>
      <c r="I9" s="743">
        <v>9123366</v>
      </c>
      <c r="J9" s="761">
        <v>62905093910</v>
      </c>
      <c r="K9" s="743" t="s">
        <v>125</v>
      </c>
      <c r="L9" s="743"/>
      <c r="M9" s="744"/>
      <c r="N9" s="762"/>
      <c r="O9" s="762"/>
      <c r="P9" s="762"/>
      <c r="Q9" s="743"/>
      <c r="R9" s="743"/>
      <c r="S9" s="743"/>
    </row>
    <row r="10" spans="1:19" ht="15.75" customHeight="1">
      <c r="A10" s="743"/>
      <c r="B10" s="743"/>
      <c r="C10" s="744"/>
      <c r="D10" s="743" t="s">
        <v>122</v>
      </c>
      <c r="E10" s="744">
        <f t="shared" si="0"/>
        <v>1.0399999999790452</v>
      </c>
      <c r="F10" s="759">
        <v>88593</v>
      </c>
      <c r="G10" s="743">
        <v>397882</v>
      </c>
      <c r="H10" s="760">
        <v>44813</v>
      </c>
      <c r="I10" s="743">
        <v>9248746</v>
      </c>
      <c r="J10" s="761">
        <v>62905093910</v>
      </c>
      <c r="K10" s="743" t="s">
        <v>125</v>
      </c>
      <c r="L10" s="743"/>
      <c r="M10" s="744"/>
      <c r="N10" s="762"/>
      <c r="O10" s="762"/>
      <c r="P10" s="762"/>
      <c r="Q10" s="743"/>
      <c r="R10" s="743"/>
      <c r="S10" s="743"/>
    </row>
    <row r="11" spans="1:19" ht="15.75" customHeight="1">
      <c r="A11" s="743"/>
      <c r="B11" s="758">
        <v>44652</v>
      </c>
      <c r="C11" s="744">
        <v>88238.58</v>
      </c>
      <c r="D11" s="743" t="s">
        <v>122</v>
      </c>
      <c r="E11" s="744">
        <f t="shared" si="0"/>
        <v>53453.619999999981</v>
      </c>
      <c r="F11" s="759">
        <v>34786</v>
      </c>
      <c r="G11" s="743">
        <v>413083</v>
      </c>
      <c r="H11" s="760">
        <v>44813</v>
      </c>
      <c r="I11" s="743">
        <v>9248746</v>
      </c>
      <c r="J11" s="761">
        <v>62905161700</v>
      </c>
      <c r="K11" s="743" t="s">
        <v>125</v>
      </c>
      <c r="L11" s="743"/>
      <c r="M11" s="744"/>
      <c r="N11" s="762"/>
      <c r="O11" s="762"/>
      <c r="P11" s="762"/>
      <c r="Q11" s="743"/>
      <c r="R11" s="743"/>
      <c r="S11" s="743"/>
    </row>
    <row r="12" spans="1:19" ht="15.75" customHeight="1">
      <c r="A12" s="743"/>
      <c r="B12" s="743"/>
      <c r="C12" s="744"/>
      <c r="D12" s="743" t="s">
        <v>122</v>
      </c>
      <c r="E12" s="744">
        <f t="shared" ref="E12:E20" si="1">(E11+C12)-F12</f>
        <v>1.6199999999807915</v>
      </c>
      <c r="F12" s="759">
        <v>53452</v>
      </c>
      <c r="G12" s="743">
        <v>413084</v>
      </c>
      <c r="H12" s="763" t="s">
        <v>1497</v>
      </c>
      <c r="I12" s="743">
        <v>9520500</v>
      </c>
      <c r="J12" s="761">
        <v>62905161700</v>
      </c>
      <c r="K12" s="743" t="s">
        <v>125</v>
      </c>
      <c r="L12" s="743"/>
      <c r="M12" s="744"/>
      <c r="N12" s="762"/>
      <c r="O12" s="762"/>
      <c r="P12" s="762"/>
      <c r="Q12" s="743"/>
      <c r="R12" s="743"/>
      <c r="S12" s="743"/>
    </row>
    <row r="13" spans="1:19" ht="15.75" customHeight="1">
      <c r="A13" s="758"/>
      <c r="B13" s="758">
        <v>44682</v>
      </c>
      <c r="C13" s="744">
        <v>136356.06</v>
      </c>
      <c r="D13" s="743" t="s">
        <v>122</v>
      </c>
      <c r="E13" s="744">
        <f t="shared" si="1"/>
        <v>89716.68</v>
      </c>
      <c r="F13" s="759">
        <v>46641</v>
      </c>
      <c r="G13" s="743">
        <v>447180</v>
      </c>
      <c r="H13" s="763" t="s">
        <v>1497</v>
      </c>
      <c r="I13" s="743">
        <v>9520500</v>
      </c>
      <c r="J13" s="761">
        <v>62905315780</v>
      </c>
      <c r="K13" s="743" t="s">
        <v>125</v>
      </c>
      <c r="L13" s="743"/>
      <c r="M13" s="744"/>
      <c r="N13" s="762"/>
      <c r="O13" s="762"/>
      <c r="P13" s="762"/>
      <c r="Q13" s="743"/>
      <c r="R13" s="743"/>
      <c r="S13" s="743"/>
    </row>
    <row r="14" spans="1:19" ht="15.75" customHeight="1">
      <c r="A14" s="743"/>
      <c r="B14" s="743"/>
      <c r="C14" s="744"/>
      <c r="D14" s="743" t="s">
        <v>122</v>
      </c>
      <c r="E14" s="744">
        <f t="shared" si="1"/>
        <v>1.6799999999930151</v>
      </c>
      <c r="F14" s="759">
        <v>89715</v>
      </c>
      <c r="G14" s="743">
        <v>447181</v>
      </c>
      <c r="H14" s="763" t="s">
        <v>930</v>
      </c>
      <c r="I14" s="743">
        <v>9737275</v>
      </c>
      <c r="J14" s="761">
        <v>62905315780</v>
      </c>
      <c r="K14" s="743" t="s">
        <v>125</v>
      </c>
      <c r="L14" s="743"/>
      <c r="M14" s="744"/>
      <c r="N14" s="762"/>
      <c r="O14" s="762"/>
      <c r="P14" s="762"/>
      <c r="Q14" s="743"/>
      <c r="R14" s="743"/>
      <c r="S14" s="743"/>
    </row>
    <row r="15" spans="1:19" ht="15.75" customHeight="1">
      <c r="A15" s="743"/>
      <c r="B15" s="758">
        <v>44713</v>
      </c>
      <c r="C15" s="744">
        <v>137776.87</v>
      </c>
      <c r="D15" s="743" t="s">
        <v>122</v>
      </c>
      <c r="E15" s="744">
        <f t="shared" si="1"/>
        <v>137070.54999999999</v>
      </c>
      <c r="F15" s="759">
        <v>708</v>
      </c>
      <c r="G15" s="743">
        <v>474095</v>
      </c>
      <c r="H15" s="763" t="s">
        <v>930</v>
      </c>
      <c r="I15" s="743">
        <v>9737275</v>
      </c>
      <c r="J15" s="761">
        <v>62905437900</v>
      </c>
      <c r="K15" s="743" t="s">
        <v>125</v>
      </c>
      <c r="L15" s="743"/>
      <c r="M15" s="744"/>
      <c r="N15" s="762"/>
      <c r="O15" s="762"/>
      <c r="P15" s="762"/>
      <c r="Q15" s="743"/>
      <c r="R15" s="743"/>
      <c r="S15" s="743"/>
    </row>
    <row r="16" spans="1:19" ht="15.75" customHeight="1">
      <c r="A16" s="743"/>
      <c r="B16" s="743"/>
      <c r="C16" s="744"/>
      <c r="D16" s="743" t="s">
        <v>122</v>
      </c>
      <c r="E16" s="744">
        <f t="shared" si="1"/>
        <v>39639.549999999988</v>
      </c>
      <c r="F16" s="759">
        <v>97431</v>
      </c>
      <c r="G16" s="743">
        <v>489362</v>
      </c>
      <c r="H16" s="763" t="s">
        <v>1498</v>
      </c>
      <c r="I16" s="743">
        <v>9854492</v>
      </c>
      <c r="J16" s="761">
        <v>62905506400</v>
      </c>
      <c r="K16" s="743" t="s">
        <v>125</v>
      </c>
      <c r="L16" s="743"/>
      <c r="M16" s="744"/>
      <c r="N16" s="762"/>
      <c r="O16" s="762"/>
      <c r="P16" s="762"/>
      <c r="Q16" s="743"/>
      <c r="R16" s="743"/>
      <c r="S16" s="743"/>
    </row>
    <row r="17" spans="1:19" ht="15.75" customHeight="1">
      <c r="A17" s="743"/>
      <c r="B17" s="743"/>
      <c r="C17" s="744"/>
      <c r="D17" s="743" t="s">
        <v>122</v>
      </c>
      <c r="E17" s="744">
        <f t="shared" si="1"/>
        <v>1.5499999999883585</v>
      </c>
      <c r="F17" s="759">
        <v>39638</v>
      </c>
      <c r="G17" s="743">
        <v>489363</v>
      </c>
      <c r="H17" s="763" t="s">
        <v>1499</v>
      </c>
      <c r="I17" s="743">
        <v>10205516</v>
      </c>
      <c r="J17" s="761">
        <v>62905506400</v>
      </c>
      <c r="K17" s="743" t="s">
        <v>125</v>
      </c>
      <c r="L17" s="743"/>
      <c r="M17" s="744"/>
      <c r="N17" s="762"/>
      <c r="O17" s="762"/>
      <c r="P17" s="762"/>
      <c r="Q17" s="743"/>
      <c r="R17" s="743"/>
      <c r="S17" s="743"/>
    </row>
    <row r="18" spans="1:19" ht="15.75" customHeight="1">
      <c r="A18" s="743"/>
      <c r="B18" s="758">
        <v>44743</v>
      </c>
      <c r="C18" s="744">
        <v>116719.02</v>
      </c>
      <c r="D18" s="743" t="s">
        <v>122</v>
      </c>
      <c r="E18" s="744">
        <f t="shared" si="1"/>
        <v>1.569999999992433</v>
      </c>
      <c r="F18" s="759">
        <v>116719</v>
      </c>
      <c r="G18" s="743">
        <v>3983783</v>
      </c>
      <c r="H18" s="763" t="s">
        <v>1499</v>
      </c>
      <c r="I18" s="743">
        <v>10205516</v>
      </c>
      <c r="J18" s="761">
        <v>96203460260</v>
      </c>
      <c r="K18" s="743" t="s">
        <v>125</v>
      </c>
      <c r="L18" s="743"/>
      <c r="M18" s="744"/>
      <c r="N18" s="762"/>
      <c r="O18" s="762"/>
      <c r="P18" s="762"/>
      <c r="Q18" s="743"/>
      <c r="R18" s="743"/>
      <c r="S18" s="743"/>
    </row>
    <row r="19" spans="1:19" ht="15.75" customHeight="1">
      <c r="A19" s="743"/>
      <c r="B19" s="758">
        <v>44774</v>
      </c>
      <c r="C19" s="744">
        <v>137962.99</v>
      </c>
      <c r="D19" s="743" t="s">
        <v>122</v>
      </c>
      <c r="E19" s="744">
        <f t="shared" si="1"/>
        <v>-66.440000000002328</v>
      </c>
      <c r="F19" s="759">
        <v>138031</v>
      </c>
      <c r="G19" s="743">
        <v>3989493</v>
      </c>
      <c r="H19" s="763" t="s">
        <v>1499</v>
      </c>
      <c r="I19" s="743">
        <v>10205516</v>
      </c>
      <c r="J19" s="761">
        <v>96203489430</v>
      </c>
      <c r="K19" s="743" t="s">
        <v>125</v>
      </c>
      <c r="L19" s="743"/>
      <c r="M19" s="764"/>
      <c r="N19" s="765"/>
      <c r="O19" s="765"/>
      <c r="P19" s="762"/>
      <c r="Q19" s="743"/>
      <c r="R19" s="743"/>
      <c r="S19" s="743"/>
    </row>
    <row r="20" spans="1:19" ht="15.75" customHeight="1">
      <c r="A20" s="743"/>
      <c r="B20" s="758">
        <v>44805</v>
      </c>
      <c r="C20" s="744">
        <v>108306.18</v>
      </c>
      <c r="D20" s="743" t="s">
        <v>122</v>
      </c>
      <c r="E20" s="744">
        <f t="shared" si="1"/>
        <v>68935.739999999991</v>
      </c>
      <c r="F20" s="759">
        <v>39304</v>
      </c>
      <c r="G20" s="743">
        <v>534179</v>
      </c>
      <c r="H20" s="763" t="s">
        <v>1499</v>
      </c>
      <c r="I20" s="743">
        <v>10205516</v>
      </c>
      <c r="J20" s="761">
        <v>62905709150</v>
      </c>
      <c r="K20" s="743" t="s">
        <v>125</v>
      </c>
      <c r="L20" s="743"/>
      <c r="M20" s="744"/>
      <c r="N20" s="762"/>
      <c r="O20" s="762"/>
      <c r="P20" s="762"/>
      <c r="Q20" s="743"/>
      <c r="R20" s="743"/>
      <c r="S20" s="743"/>
    </row>
    <row r="21" spans="1:19" ht="15.75" customHeight="1">
      <c r="A21" s="758"/>
      <c r="B21" s="743"/>
      <c r="C21" s="744"/>
      <c r="D21" s="743" t="s">
        <v>122</v>
      </c>
      <c r="E21" s="743"/>
      <c r="F21" s="759">
        <v>69002</v>
      </c>
      <c r="G21" s="743">
        <v>534180</v>
      </c>
      <c r="H21" s="763" t="s">
        <v>1499</v>
      </c>
      <c r="I21" s="743">
        <v>10205532</v>
      </c>
      <c r="J21" s="761">
        <v>62905709150</v>
      </c>
      <c r="K21" s="743" t="s">
        <v>125</v>
      </c>
      <c r="L21" s="743" t="s">
        <v>438</v>
      </c>
      <c r="M21" s="744">
        <v>55853</v>
      </c>
      <c r="N21" s="744">
        <v>13149</v>
      </c>
      <c r="O21" s="762"/>
      <c r="P21" s="762"/>
      <c r="Q21" s="743"/>
      <c r="R21" s="743"/>
      <c r="S21" s="743"/>
    </row>
    <row r="22" spans="1:19" ht="15.75" customHeight="1">
      <c r="A22" s="743"/>
      <c r="B22" s="766">
        <v>44835</v>
      </c>
      <c r="C22" s="744">
        <v>98020.79</v>
      </c>
      <c r="D22" s="743" t="s">
        <v>122</v>
      </c>
      <c r="E22" s="744">
        <f t="shared" ref="E22:E30" si="2">(E21+C22)-F22</f>
        <v>32989.789999999994</v>
      </c>
      <c r="F22" s="759">
        <v>65031</v>
      </c>
      <c r="G22" s="743">
        <v>557367</v>
      </c>
      <c r="H22" s="763" t="s">
        <v>1500</v>
      </c>
      <c r="I22" s="743">
        <v>10385956</v>
      </c>
      <c r="J22" s="761">
        <v>62905814100</v>
      </c>
      <c r="K22" s="743" t="s">
        <v>125</v>
      </c>
      <c r="L22" s="743" t="s">
        <v>81</v>
      </c>
      <c r="M22" s="744">
        <v>49911</v>
      </c>
      <c r="N22" s="744">
        <v>15120</v>
      </c>
      <c r="O22" s="762"/>
      <c r="P22" s="762"/>
      <c r="Q22" s="743"/>
      <c r="R22" s="743"/>
      <c r="S22" s="743"/>
    </row>
    <row r="23" spans="1:19" ht="15.75" customHeight="1">
      <c r="A23" s="743"/>
      <c r="B23" s="766">
        <v>44866</v>
      </c>
      <c r="C23" s="744"/>
      <c r="D23" s="743" t="s">
        <v>122</v>
      </c>
      <c r="E23" s="744">
        <f t="shared" si="2"/>
        <v>17348.789999999994</v>
      </c>
      <c r="F23" s="759">
        <v>15641</v>
      </c>
      <c r="G23" s="743">
        <v>557368</v>
      </c>
      <c r="H23" s="763" t="s">
        <v>1501</v>
      </c>
      <c r="I23" s="743">
        <v>10921807</v>
      </c>
      <c r="J23" s="761">
        <v>62905814100</v>
      </c>
      <c r="K23" s="743" t="s">
        <v>125</v>
      </c>
      <c r="L23" s="743" t="s">
        <v>82</v>
      </c>
      <c r="M23" s="744">
        <v>-20889</v>
      </c>
      <c r="N23" s="762">
        <v>15641</v>
      </c>
      <c r="O23" s="762"/>
      <c r="P23" s="762"/>
      <c r="Q23" s="743"/>
      <c r="R23" s="743"/>
      <c r="S23" s="743"/>
    </row>
    <row r="24" spans="1:19" ht="15.75" customHeight="1">
      <c r="A24" s="743"/>
      <c r="B24" s="766"/>
      <c r="C24" s="744"/>
      <c r="D24" s="743"/>
      <c r="E24" s="744">
        <f t="shared" si="2"/>
        <v>1804.7899999999936</v>
      </c>
      <c r="F24" s="759">
        <v>15544</v>
      </c>
      <c r="G24" s="743">
        <v>557368</v>
      </c>
      <c r="H24" s="763" t="s">
        <v>1501</v>
      </c>
      <c r="I24" s="743">
        <v>10921807</v>
      </c>
      <c r="J24" s="761">
        <v>62906121330</v>
      </c>
      <c r="K24" s="743" t="s">
        <v>125</v>
      </c>
      <c r="O24" s="762"/>
      <c r="P24" s="762"/>
      <c r="Q24" s="743"/>
      <c r="R24" s="743"/>
      <c r="S24" s="743"/>
    </row>
    <row r="25" spans="1:19" ht="15.75" customHeight="1">
      <c r="A25" s="743"/>
      <c r="B25" s="766">
        <v>44866</v>
      </c>
      <c r="C25" s="744">
        <v>104120.83</v>
      </c>
      <c r="D25" s="743" t="s">
        <v>122</v>
      </c>
      <c r="E25" s="744">
        <f t="shared" si="2"/>
        <v>58594.619999999995</v>
      </c>
      <c r="F25" s="759">
        <v>47331</v>
      </c>
      <c r="G25" s="743">
        <v>624330</v>
      </c>
      <c r="H25" s="763" t="s">
        <v>1501</v>
      </c>
      <c r="I25" s="743">
        <v>10921807</v>
      </c>
      <c r="J25" s="761">
        <v>62906121330</v>
      </c>
      <c r="K25" s="743" t="s">
        <v>125</v>
      </c>
      <c r="L25" s="743" t="s">
        <v>84</v>
      </c>
      <c r="M25" s="744">
        <v>68220</v>
      </c>
      <c r="N25" s="744">
        <v>15544</v>
      </c>
      <c r="P25" s="762"/>
      <c r="Q25" s="743"/>
      <c r="R25" s="743"/>
      <c r="S25" s="743"/>
    </row>
    <row r="26" spans="1:19" ht="15.75" customHeight="1">
      <c r="A26" s="743"/>
      <c r="B26" s="766">
        <v>44896</v>
      </c>
      <c r="C26" s="744">
        <v>100787.4</v>
      </c>
      <c r="D26" s="743" t="s">
        <v>122</v>
      </c>
      <c r="E26" s="744">
        <f t="shared" si="2"/>
        <v>146759.01999999999</v>
      </c>
      <c r="F26" s="759">
        <v>12623</v>
      </c>
      <c r="G26" s="743">
        <v>654436</v>
      </c>
      <c r="H26" s="763" t="s">
        <v>1502</v>
      </c>
      <c r="I26" s="743">
        <v>11157051</v>
      </c>
      <c r="J26" s="761"/>
      <c r="K26" s="743" t="s">
        <v>125</v>
      </c>
      <c r="L26" s="743" t="s">
        <v>1503</v>
      </c>
      <c r="O26" s="762">
        <v>12623</v>
      </c>
      <c r="P26" s="762"/>
      <c r="Q26" s="743"/>
      <c r="R26" s="743"/>
      <c r="S26" s="743"/>
    </row>
    <row r="27" spans="1:19" ht="15.75" customHeight="1">
      <c r="A27" s="743"/>
      <c r="B27" s="758">
        <v>44927</v>
      </c>
      <c r="C27" s="744">
        <v>38363.49</v>
      </c>
      <c r="D27" s="743" t="s">
        <v>122</v>
      </c>
      <c r="E27" s="744">
        <f t="shared" si="2"/>
        <v>139151.50999999998</v>
      </c>
      <c r="F27" s="759">
        <v>45971</v>
      </c>
      <c r="G27" s="743">
        <v>654435</v>
      </c>
      <c r="H27" s="763" t="s">
        <v>1502</v>
      </c>
      <c r="I27" s="743">
        <v>11157205</v>
      </c>
      <c r="J27" s="761"/>
      <c r="K27" s="743" t="s">
        <v>125</v>
      </c>
      <c r="L27" s="743" t="s">
        <v>85</v>
      </c>
      <c r="M27" s="744">
        <v>30384</v>
      </c>
      <c r="N27" s="744">
        <v>16506</v>
      </c>
      <c r="O27" s="762">
        <f>1389*3</f>
        <v>4167</v>
      </c>
      <c r="P27" s="762"/>
      <c r="Q27" s="743"/>
      <c r="R27" s="743"/>
      <c r="S27" s="743"/>
    </row>
    <row r="28" spans="1:19" ht="15.75" customHeight="1">
      <c r="A28" s="758"/>
      <c r="B28" s="758">
        <v>44958</v>
      </c>
      <c r="C28" s="744">
        <f>Facturacion!I55</f>
        <v>10305.768</v>
      </c>
      <c r="D28" s="743" t="s">
        <v>122</v>
      </c>
      <c r="E28" s="744">
        <f t="shared" si="2"/>
        <v>144371.27799999999</v>
      </c>
      <c r="F28" s="759">
        <v>5086</v>
      </c>
      <c r="G28" s="743">
        <v>654439</v>
      </c>
      <c r="H28" s="763" t="s">
        <v>1502</v>
      </c>
      <c r="I28" s="743">
        <v>11157205</v>
      </c>
      <c r="J28" s="761"/>
      <c r="K28" s="743" t="s">
        <v>125</v>
      </c>
      <c r="L28" s="743" t="s">
        <v>85</v>
      </c>
      <c r="M28" s="743"/>
      <c r="N28" s="762"/>
      <c r="O28" s="762"/>
      <c r="P28" s="762"/>
      <c r="Q28" s="743"/>
      <c r="R28" s="743"/>
      <c r="S28" s="743"/>
    </row>
    <row r="29" spans="1:19" ht="15.75" customHeight="1">
      <c r="A29" s="758"/>
      <c r="B29" s="758">
        <v>44986</v>
      </c>
      <c r="C29" s="744">
        <f>Facturacion!I58</f>
        <v>30330.134999999998</v>
      </c>
      <c r="D29" s="743" t="s">
        <v>122</v>
      </c>
      <c r="E29" s="744">
        <f t="shared" si="2"/>
        <v>155646.413</v>
      </c>
      <c r="F29" s="759">
        <v>19055</v>
      </c>
      <c r="G29" s="743">
        <v>681613</v>
      </c>
      <c r="H29" s="763" t="s">
        <v>1504</v>
      </c>
      <c r="I29" s="743">
        <v>11373870</v>
      </c>
      <c r="J29" s="761"/>
      <c r="K29" s="743" t="s">
        <v>125</v>
      </c>
      <c r="L29" s="743" t="s">
        <v>86</v>
      </c>
      <c r="M29" s="743">
        <v>0</v>
      </c>
      <c r="N29" s="762">
        <v>17666</v>
      </c>
      <c r="O29" s="762">
        <v>1389</v>
      </c>
      <c r="P29" s="762"/>
      <c r="Q29" s="743"/>
      <c r="R29" s="743"/>
      <c r="S29" s="743"/>
    </row>
    <row r="30" spans="1:19" ht="15.75" customHeight="1">
      <c r="A30" s="758"/>
      <c r="B30" s="758">
        <v>45017</v>
      </c>
      <c r="C30" s="744">
        <f>Facturacion!I61</f>
        <v>30502.8295</v>
      </c>
      <c r="D30" s="743" t="s">
        <v>122</v>
      </c>
      <c r="E30" s="744">
        <f t="shared" si="2"/>
        <v>183382.24249999999</v>
      </c>
      <c r="F30" s="759">
        <v>2767</v>
      </c>
      <c r="G30" s="743">
        <v>686821</v>
      </c>
      <c r="H30" s="763" t="s">
        <v>1505</v>
      </c>
      <c r="I30" s="743">
        <v>11415190</v>
      </c>
      <c r="J30" s="761"/>
      <c r="K30" s="743" t="s">
        <v>125</v>
      </c>
      <c r="L30" s="743" t="s">
        <v>1506</v>
      </c>
      <c r="M30" s="762">
        <v>2767</v>
      </c>
      <c r="N30" s="762"/>
      <c r="O30" s="762"/>
      <c r="P30" s="762"/>
      <c r="Q30" s="743"/>
      <c r="R30" s="743"/>
      <c r="S30" s="743"/>
    </row>
    <row r="31" spans="1:19" ht="15.75" customHeight="1">
      <c r="A31" s="758"/>
      <c r="B31" s="758">
        <v>45047</v>
      </c>
      <c r="C31" s="744">
        <f>Facturacion!I64</f>
        <v>31959.674999999999</v>
      </c>
      <c r="D31" s="743" t="s">
        <v>122</v>
      </c>
      <c r="E31" s="744">
        <f t="shared" ref="E31:E32" si="3">(E30-F31)</f>
        <v>164188.24249999999</v>
      </c>
      <c r="F31" s="759">
        <v>19194</v>
      </c>
      <c r="G31" s="743">
        <v>697640</v>
      </c>
      <c r="H31" s="760">
        <v>45177</v>
      </c>
      <c r="I31" s="743">
        <v>11500619</v>
      </c>
      <c r="J31" s="761"/>
      <c r="K31" s="743" t="s">
        <v>125</v>
      </c>
      <c r="L31" s="743" t="s">
        <v>87</v>
      </c>
      <c r="M31" s="744"/>
      <c r="N31" s="762">
        <v>19194</v>
      </c>
      <c r="O31" s="762"/>
      <c r="P31" s="762"/>
      <c r="Q31" s="743"/>
      <c r="R31" s="743"/>
      <c r="S31" s="743"/>
    </row>
    <row r="32" spans="1:19" ht="15.75" customHeight="1">
      <c r="A32" s="758"/>
      <c r="B32" s="758">
        <v>45078</v>
      </c>
      <c r="C32" s="744">
        <v>0</v>
      </c>
      <c r="D32" s="743" t="s">
        <v>122</v>
      </c>
      <c r="E32" s="744">
        <f t="shared" si="3"/>
        <v>142216.24249999999</v>
      </c>
      <c r="F32" s="759">
        <v>21972</v>
      </c>
      <c r="G32" s="743">
        <v>739771</v>
      </c>
      <c r="H32" s="763" t="s">
        <v>1507</v>
      </c>
      <c r="I32" s="743">
        <v>11832875</v>
      </c>
      <c r="J32" s="761"/>
      <c r="K32" s="743" t="s">
        <v>125</v>
      </c>
      <c r="L32" s="743" t="s">
        <v>88</v>
      </c>
      <c r="M32" s="744"/>
      <c r="N32" s="762">
        <v>21972</v>
      </c>
      <c r="O32" s="22"/>
      <c r="P32" s="22"/>
      <c r="Q32" s="743"/>
      <c r="R32" s="743"/>
      <c r="S32" s="743"/>
    </row>
    <row r="33" spans="1:19" ht="15.75" customHeight="1">
      <c r="A33" s="758"/>
      <c r="B33" s="758">
        <v>45108</v>
      </c>
      <c r="C33" s="744">
        <f>Facturacion!I65</f>
        <v>34231.109000000004</v>
      </c>
      <c r="D33" s="743" t="s">
        <v>122</v>
      </c>
      <c r="E33" s="744">
        <f>(E32-F33)+C31</f>
        <v>171397.91749999998</v>
      </c>
      <c r="F33" s="759">
        <v>2778</v>
      </c>
      <c r="G33" s="743" t="s">
        <v>1508</v>
      </c>
      <c r="H33" s="763" t="s">
        <v>1507</v>
      </c>
      <c r="I33" s="743">
        <v>11832972</v>
      </c>
      <c r="J33" s="761"/>
      <c r="K33" s="743" t="s">
        <v>125</v>
      </c>
      <c r="L33" s="743" t="s">
        <v>88</v>
      </c>
      <c r="M33" s="744"/>
      <c r="N33" s="762"/>
      <c r="O33" s="762">
        <f>1389*2</f>
        <v>2778</v>
      </c>
      <c r="P33" s="22"/>
      <c r="Q33" s="762" t="s">
        <v>1509</v>
      </c>
      <c r="R33" s="743"/>
      <c r="S33" s="743"/>
    </row>
    <row r="34" spans="1:19" ht="15.75" customHeight="1">
      <c r="A34" s="758"/>
      <c r="B34" s="758">
        <v>45108</v>
      </c>
      <c r="C34" s="744">
        <f>Facturacion!I67</f>
        <v>28172.672000000002</v>
      </c>
      <c r="D34" s="743" t="s">
        <v>122</v>
      </c>
      <c r="E34" s="744">
        <f t="shared" ref="E34:E35" si="4">(E33-F34)+C33</f>
        <v>42629.026499999985</v>
      </c>
      <c r="F34" s="759">
        <v>163000</v>
      </c>
      <c r="G34" s="743" t="s">
        <v>1510</v>
      </c>
      <c r="H34" s="763" t="s">
        <v>1356</v>
      </c>
      <c r="J34" s="767"/>
      <c r="K34" s="743" t="s">
        <v>125</v>
      </c>
      <c r="L34" s="743" t="s">
        <v>91</v>
      </c>
      <c r="M34" s="744"/>
      <c r="N34" s="762"/>
      <c r="O34" s="762"/>
      <c r="P34" s="762">
        <v>163000</v>
      </c>
      <c r="Q34" s="743"/>
      <c r="R34" s="743"/>
      <c r="S34" s="743"/>
    </row>
    <row r="35" spans="1:19" ht="15.75" customHeight="1">
      <c r="A35" s="758"/>
      <c r="B35" s="758">
        <v>45139</v>
      </c>
      <c r="C35" s="744">
        <f>Facturacion!I69</f>
        <v>33574.662000000004</v>
      </c>
      <c r="D35" s="743" t="s">
        <v>122</v>
      </c>
      <c r="E35" s="744">
        <f t="shared" si="4"/>
        <v>68023.698499999984</v>
      </c>
      <c r="F35" s="759">
        <v>2778</v>
      </c>
      <c r="G35" s="743">
        <v>797303</v>
      </c>
      <c r="H35" s="763" t="s">
        <v>1511</v>
      </c>
      <c r="I35" s="743">
        <v>12275406</v>
      </c>
      <c r="J35" s="761"/>
      <c r="K35" s="743" t="s">
        <v>125</v>
      </c>
      <c r="L35" s="23" t="s">
        <v>91</v>
      </c>
      <c r="M35" s="22"/>
      <c r="N35" s="22"/>
      <c r="O35" s="762">
        <v>2778</v>
      </c>
      <c r="P35" s="22"/>
      <c r="Q35" s="762" t="s">
        <v>1512</v>
      </c>
      <c r="R35" s="743"/>
      <c r="S35" s="743"/>
    </row>
    <row r="36" spans="1:19" ht="15.75" customHeight="1">
      <c r="A36" s="758"/>
      <c r="B36" s="758">
        <v>45170</v>
      </c>
      <c r="C36" s="744">
        <f>Facturacion!I72</f>
        <v>35201.627999999997</v>
      </c>
      <c r="D36" s="743" t="s">
        <v>122</v>
      </c>
      <c r="E36" s="744">
        <f>(E35-F36)+C35+C36</f>
        <v>35201.988499999985</v>
      </c>
      <c r="F36" s="759">
        <f>5619+62404+33575</f>
        <v>101598</v>
      </c>
      <c r="G36" s="768">
        <v>199119921993</v>
      </c>
      <c r="H36" s="763" t="s">
        <v>1513</v>
      </c>
      <c r="J36" s="761"/>
      <c r="K36" s="743" t="s">
        <v>125</v>
      </c>
      <c r="L36" s="743" t="s">
        <v>92</v>
      </c>
      <c r="M36" s="744"/>
      <c r="N36" s="762"/>
      <c r="O36" s="762"/>
      <c r="P36" s="744">
        <f>5619+62404+33575</f>
        <v>101598</v>
      </c>
      <c r="Q36" s="743"/>
      <c r="R36" s="743"/>
      <c r="S36" s="743"/>
    </row>
    <row r="37" spans="1:19" ht="15.75" customHeight="1">
      <c r="A37" s="758"/>
      <c r="B37" s="758">
        <v>45200</v>
      </c>
      <c r="C37" s="744">
        <f>Facturacion!I74</f>
        <v>38673.536</v>
      </c>
      <c r="D37" s="743" t="s">
        <v>122</v>
      </c>
      <c r="E37" s="744">
        <f>E36-F37</f>
        <v>-1.1500000015075784E-2</v>
      </c>
      <c r="F37" s="759">
        <v>35202</v>
      </c>
      <c r="G37" s="743">
        <v>3070</v>
      </c>
      <c r="H37" s="763" t="s">
        <v>969</v>
      </c>
      <c r="J37" s="761"/>
      <c r="K37" s="743" t="s">
        <v>125</v>
      </c>
      <c r="L37" s="743" t="s">
        <v>1514</v>
      </c>
      <c r="M37" s="744"/>
      <c r="N37" s="762"/>
      <c r="O37" s="762"/>
      <c r="P37" s="762">
        <v>35202</v>
      </c>
      <c r="Q37" s="743" t="s">
        <v>1515</v>
      </c>
      <c r="R37" s="743"/>
      <c r="S37" s="743"/>
    </row>
    <row r="38" spans="1:19" ht="15.75" customHeight="1">
      <c r="A38" s="758"/>
      <c r="B38" s="758">
        <v>45231</v>
      </c>
      <c r="C38" s="744">
        <f>Facturacion!I76</f>
        <v>35260.082000000002</v>
      </c>
      <c r="D38" s="743" t="s">
        <v>122</v>
      </c>
      <c r="E38" s="744">
        <f>E37-F38+C37+C38</f>
        <v>536.60649999997986</v>
      </c>
      <c r="F38" s="759">
        <v>73397</v>
      </c>
      <c r="G38" s="743">
        <v>754392</v>
      </c>
      <c r="H38" s="763" t="s">
        <v>1516</v>
      </c>
      <c r="J38" s="761"/>
      <c r="K38" s="743" t="s">
        <v>125</v>
      </c>
      <c r="L38" s="743" t="s">
        <v>81</v>
      </c>
      <c r="M38" s="744"/>
      <c r="N38" s="762"/>
      <c r="O38" s="762"/>
      <c r="P38" s="762">
        <v>73397</v>
      </c>
      <c r="Q38" s="743" t="s">
        <v>1517</v>
      </c>
      <c r="R38" s="743"/>
      <c r="S38" s="743"/>
    </row>
    <row r="39" spans="1:19" ht="15.75" customHeight="1">
      <c r="A39" s="758"/>
      <c r="B39" s="758">
        <v>45261</v>
      </c>
      <c r="C39" s="744">
        <f>Facturacion!I80</f>
        <v>33051.633999999998</v>
      </c>
      <c r="D39" s="743" t="s">
        <v>122</v>
      </c>
      <c r="E39" s="744">
        <f t="shared" ref="E39:E42" si="5">E38-F39+C39</f>
        <v>536.24049999997806</v>
      </c>
      <c r="F39" s="759">
        <v>33052</v>
      </c>
      <c r="G39" s="743">
        <v>4277</v>
      </c>
      <c r="H39" s="760">
        <v>45569</v>
      </c>
      <c r="J39" s="761"/>
      <c r="K39" s="743" t="s">
        <v>125</v>
      </c>
      <c r="L39" s="743" t="s">
        <v>82</v>
      </c>
      <c r="M39" s="744"/>
      <c r="N39" s="762"/>
      <c r="O39" s="762"/>
      <c r="P39" s="762">
        <f>F39+F40</f>
        <v>33589</v>
      </c>
      <c r="Q39" s="743" t="s">
        <v>1518</v>
      </c>
      <c r="R39" s="743"/>
      <c r="S39" s="743"/>
    </row>
    <row r="40" spans="1:19" ht="15.75" customHeight="1">
      <c r="A40" s="758"/>
      <c r="B40" s="758"/>
      <c r="C40" s="744"/>
      <c r="D40" s="743"/>
      <c r="E40" s="744">
        <f t="shared" si="5"/>
        <v>-0.75950000002194429</v>
      </c>
      <c r="F40" s="759">
        <v>537</v>
      </c>
      <c r="G40" s="743">
        <v>880420</v>
      </c>
      <c r="H40" s="760">
        <v>45569</v>
      </c>
      <c r="J40" s="761"/>
      <c r="K40" s="743"/>
      <c r="L40" s="743"/>
      <c r="M40" s="744"/>
      <c r="N40" s="762"/>
      <c r="O40" s="762"/>
      <c r="P40" s="762"/>
      <c r="Q40" s="743"/>
      <c r="R40" s="743"/>
      <c r="S40" s="743"/>
    </row>
    <row r="41" spans="1:19" ht="15.75" customHeight="1">
      <c r="A41" s="758"/>
      <c r="B41" s="758">
        <v>45444</v>
      </c>
      <c r="C41" s="744">
        <f>Facturacion!I101</f>
        <v>27862.911999999997</v>
      </c>
      <c r="D41" s="743" t="s">
        <v>122</v>
      </c>
      <c r="E41" s="744">
        <f t="shared" si="5"/>
        <v>-0.84750000002532033</v>
      </c>
      <c r="F41" s="759">
        <v>27863</v>
      </c>
      <c r="G41" s="743">
        <v>14446984</v>
      </c>
      <c r="H41" s="763" t="s">
        <v>1519</v>
      </c>
      <c r="J41" s="761"/>
      <c r="K41" s="743" t="s">
        <v>125</v>
      </c>
      <c r="L41" s="743" t="s">
        <v>88</v>
      </c>
      <c r="M41" s="744">
        <v>27863</v>
      </c>
      <c r="N41" s="762"/>
      <c r="O41" s="762"/>
      <c r="P41" s="762"/>
      <c r="Q41" s="743"/>
      <c r="R41" s="743"/>
      <c r="S41" s="743"/>
    </row>
    <row r="42" spans="1:19" ht="15.75" customHeight="1">
      <c r="A42" s="758"/>
      <c r="B42" s="758">
        <v>45809</v>
      </c>
      <c r="C42" s="744">
        <f>Facturacion!I170</f>
        <v>36900.864000000001</v>
      </c>
      <c r="D42" s="743"/>
      <c r="E42" s="744">
        <f t="shared" si="5"/>
        <v>36900.016499999976</v>
      </c>
      <c r="F42" s="759"/>
      <c r="G42" s="743">
        <v>4483370</v>
      </c>
      <c r="H42" s="763" t="s">
        <v>1043</v>
      </c>
      <c r="I42" s="743">
        <v>16994180</v>
      </c>
      <c r="J42" s="761"/>
      <c r="K42" s="743"/>
      <c r="L42" s="743"/>
      <c r="M42" s="744"/>
      <c r="N42" s="762"/>
      <c r="O42" s="762"/>
      <c r="P42" s="762"/>
      <c r="Q42" s="743"/>
      <c r="R42" s="743"/>
      <c r="S42" s="743"/>
    </row>
    <row r="43" spans="1:19" ht="15.75" customHeight="1">
      <c r="A43" s="758"/>
      <c r="B43" s="758">
        <v>45809</v>
      </c>
      <c r="C43" s="744">
        <v>16657</v>
      </c>
      <c r="D43" s="743"/>
      <c r="E43" s="744">
        <v>16657</v>
      </c>
      <c r="F43" s="759">
        <f>E42+E43</f>
        <v>53557.016499999976</v>
      </c>
      <c r="G43" s="743">
        <v>1416934</v>
      </c>
      <c r="H43" s="763" t="s">
        <v>1043</v>
      </c>
      <c r="I43" s="743">
        <v>16994180</v>
      </c>
      <c r="J43" s="761"/>
      <c r="K43" s="743" t="s">
        <v>125</v>
      </c>
      <c r="L43" s="743" t="s">
        <v>1520</v>
      </c>
      <c r="M43" s="744">
        <v>53558</v>
      </c>
      <c r="N43" s="762"/>
      <c r="O43" s="762"/>
      <c r="P43" s="762"/>
      <c r="Q43" s="743"/>
      <c r="R43" s="743"/>
      <c r="S43" s="743"/>
    </row>
    <row r="44" spans="1:19" ht="15.75" customHeight="1">
      <c r="A44" s="758"/>
      <c r="B44" s="758">
        <v>45839</v>
      </c>
      <c r="C44" s="744">
        <f>Facturacion!I176</f>
        <v>31808.303999999996</v>
      </c>
      <c r="D44" s="743"/>
      <c r="E44" s="744">
        <f>E42+E43-F43+C44</f>
        <v>31808.303999999996</v>
      </c>
      <c r="F44" s="759">
        <v>31808</v>
      </c>
      <c r="G44" s="743">
        <v>17222459</v>
      </c>
      <c r="H44" s="763" t="s">
        <v>1055</v>
      </c>
      <c r="I44" s="743">
        <v>14346634</v>
      </c>
      <c r="J44" s="761"/>
      <c r="K44" s="743" t="s">
        <v>125</v>
      </c>
      <c r="L44" s="743" t="s">
        <v>1521</v>
      </c>
      <c r="M44" s="744">
        <v>31808</v>
      </c>
      <c r="N44" s="762"/>
      <c r="O44" s="762"/>
      <c r="P44" s="762"/>
      <c r="Q44" s="743"/>
      <c r="R44" s="743"/>
      <c r="S44" s="743"/>
    </row>
    <row r="45" spans="1:19" ht="15.75" customHeight="1">
      <c r="A45" s="758"/>
      <c r="B45" s="758">
        <v>45870</v>
      </c>
      <c r="C45" s="744">
        <f>Facturacion!I184</f>
        <v>27716.534999999996</v>
      </c>
      <c r="D45" s="743"/>
      <c r="E45" s="744">
        <f t="shared" ref="E45:E46" si="6">E44-F44+C45</f>
        <v>27716.838999999993</v>
      </c>
      <c r="F45" s="759"/>
      <c r="G45" s="743"/>
      <c r="H45" s="763"/>
      <c r="I45" s="743"/>
      <c r="J45" s="761"/>
      <c r="K45" s="743"/>
      <c r="L45" s="743"/>
      <c r="M45" s="744"/>
      <c r="N45" s="762"/>
      <c r="O45" s="762"/>
      <c r="P45" s="762"/>
      <c r="Q45" s="743"/>
      <c r="R45" s="743"/>
      <c r="S45" s="743"/>
    </row>
    <row r="46" spans="1:19" ht="15.75" customHeight="1">
      <c r="A46" s="758"/>
      <c r="B46" s="758">
        <v>45901</v>
      </c>
      <c r="C46" s="744">
        <f>Facturacion!I191</f>
        <v>38354.662499999991</v>
      </c>
      <c r="D46" s="743"/>
      <c r="E46" s="744">
        <f t="shared" si="6"/>
        <v>66071.501499999984</v>
      </c>
      <c r="F46" s="759"/>
      <c r="G46" s="743"/>
      <c r="H46" s="763"/>
      <c r="I46" s="743"/>
      <c r="J46" s="761"/>
      <c r="K46" s="743"/>
      <c r="L46" s="743"/>
      <c r="M46" s="744"/>
      <c r="N46" s="762"/>
      <c r="O46" s="762"/>
      <c r="P46" s="762"/>
      <c r="Q46" s="743"/>
      <c r="R46" s="743"/>
      <c r="S46" s="743"/>
    </row>
    <row r="47" spans="1:19" ht="15.75" customHeight="1">
      <c r="A47" s="758"/>
      <c r="B47" s="758"/>
      <c r="C47" s="744"/>
      <c r="D47" s="743"/>
      <c r="E47" s="743"/>
      <c r="F47" s="759"/>
      <c r="G47" s="743"/>
      <c r="H47" s="763"/>
      <c r="I47" s="743"/>
      <c r="J47" s="761"/>
      <c r="K47" s="743"/>
      <c r="L47" s="743"/>
      <c r="M47" s="744"/>
      <c r="N47" s="762"/>
      <c r="O47" s="762"/>
      <c r="P47" s="762"/>
      <c r="Q47" s="743"/>
      <c r="R47" s="743"/>
      <c r="S47" s="743"/>
    </row>
    <row r="48" spans="1:19" ht="15.75" customHeight="1">
      <c r="A48" s="743"/>
      <c r="C48" s="744"/>
      <c r="D48" s="743"/>
      <c r="E48" s="743"/>
      <c r="F48" s="769"/>
      <c r="H48" s="763"/>
      <c r="I48" s="743"/>
      <c r="J48" s="761"/>
      <c r="K48" s="743"/>
      <c r="L48" s="743"/>
      <c r="M48" s="744"/>
      <c r="N48" s="762"/>
      <c r="O48" s="762"/>
      <c r="P48" s="762"/>
      <c r="Q48" s="743"/>
      <c r="R48" s="743"/>
      <c r="S48" s="743"/>
    </row>
    <row r="49" spans="1:23" ht="15.75" customHeight="1">
      <c r="A49" s="758"/>
      <c r="C49" s="770" t="s">
        <v>1522</v>
      </c>
      <c r="D49" s="743"/>
      <c r="E49" s="745" t="s">
        <v>1523</v>
      </c>
      <c r="F49" s="745" t="s">
        <v>1524</v>
      </c>
      <c r="H49" s="763"/>
      <c r="I49" s="743"/>
      <c r="K49" s="743"/>
      <c r="L49" s="743"/>
      <c r="M49" s="744"/>
      <c r="N49" s="762"/>
      <c r="O49" s="762"/>
      <c r="P49" s="762"/>
      <c r="Q49" s="743"/>
      <c r="R49" s="743"/>
      <c r="S49" s="743"/>
    </row>
    <row r="50" spans="1:23" ht="15.75" customHeight="1">
      <c r="A50" s="771"/>
      <c r="B50" s="73"/>
      <c r="C50" s="772">
        <f>SUM(C4:C49)</f>
        <v>2257752.2579999999</v>
      </c>
      <c r="D50" s="771"/>
      <c r="E50" s="772">
        <f>E46</f>
        <v>66071.501499999984</v>
      </c>
      <c r="F50" s="772">
        <f>SUM(F4:F48)</f>
        <v>2191747.0164999999</v>
      </c>
      <c r="G50" s="73"/>
      <c r="H50" s="771"/>
      <c r="I50" s="73"/>
      <c r="J50" s="73"/>
      <c r="K50" s="771"/>
      <c r="L50" s="771"/>
      <c r="M50" s="772"/>
      <c r="N50" s="773"/>
      <c r="O50" s="773"/>
      <c r="P50" s="773"/>
      <c r="Q50" s="771"/>
      <c r="R50" s="771"/>
      <c r="S50" s="771"/>
      <c r="T50" s="73"/>
      <c r="U50" s="73"/>
      <c r="V50" s="73"/>
      <c r="W50" s="73"/>
    </row>
    <row r="51" spans="1:23" ht="15.75" customHeight="1">
      <c r="A51" s="743"/>
      <c r="C51" s="744"/>
      <c r="D51" s="743"/>
      <c r="E51" s="743"/>
      <c r="F51" s="743"/>
      <c r="H51" s="743"/>
      <c r="K51" s="743"/>
      <c r="L51" s="743"/>
      <c r="M51" s="744"/>
      <c r="N51" s="762"/>
      <c r="O51" s="762"/>
      <c r="P51" s="762"/>
      <c r="Q51" s="743"/>
      <c r="R51" s="743"/>
      <c r="S51" s="743"/>
    </row>
    <row r="52" spans="1:23" ht="15.75" customHeight="1">
      <c r="A52" s="758"/>
      <c r="B52" s="744"/>
      <c r="C52" s="744"/>
      <c r="D52" s="743"/>
      <c r="E52" s="743"/>
      <c r="F52" s="743"/>
      <c r="G52" s="743"/>
      <c r="H52" s="743"/>
      <c r="I52" s="743"/>
      <c r="J52" s="743"/>
      <c r="K52" s="743"/>
      <c r="L52" s="743"/>
      <c r="M52" s="744"/>
      <c r="N52" s="762"/>
      <c r="O52" s="762"/>
      <c r="P52" s="762"/>
      <c r="Q52" s="743"/>
      <c r="R52" s="743"/>
      <c r="S52" s="743"/>
    </row>
    <row r="53" spans="1:23" ht="15.75" customHeight="1">
      <c r="A53" s="758"/>
      <c r="B53" s="744"/>
      <c r="C53" s="744"/>
      <c r="D53" s="743"/>
      <c r="E53" s="743"/>
      <c r="F53" s="743"/>
      <c r="G53" s="743"/>
      <c r="H53" s="774"/>
      <c r="I53" s="743"/>
      <c r="J53" s="743"/>
      <c r="K53" s="743"/>
      <c r="L53" s="743"/>
      <c r="M53" s="744"/>
      <c r="N53" s="762"/>
      <c r="O53" s="762"/>
      <c r="P53" s="762"/>
      <c r="Q53" s="743"/>
      <c r="R53" s="743"/>
      <c r="S53" s="743"/>
    </row>
    <row r="54" spans="1:23" ht="15.75" customHeight="1">
      <c r="A54" s="766"/>
      <c r="B54" s="744"/>
      <c r="C54" s="744"/>
      <c r="D54" s="743"/>
      <c r="E54" s="743"/>
      <c r="F54" s="743"/>
      <c r="G54" s="743"/>
      <c r="H54" s="774"/>
      <c r="I54" s="743"/>
      <c r="J54" s="743"/>
      <c r="K54" s="743"/>
      <c r="L54" s="743"/>
      <c r="M54" s="744"/>
      <c r="N54" s="762"/>
      <c r="O54" s="762"/>
      <c r="P54" s="762"/>
      <c r="Q54" s="743"/>
      <c r="R54" s="743"/>
      <c r="S54" s="743"/>
    </row>
    <row r="55" spans="1:23" ht="15.75" customHeight="1">
      <c r="A55" s="766"/>
      <c r="B55" s="744"/>
      <c r="C55" s="744"/>
      <c r="D55" s="744"/>
      <c r="E55" s="744"/>
      <c r="F55" s="744"/>
      <c r="G55" s="743"/>
      <c r="K55" s="743"/>
      <c r="L55" s="743"/>
      <c r="M55" s="744"/>
      <c r="N55" s="762"/>
      <c r="O55" s="762"/>
      <c r="P55" s="762"/>
      <c r="Q55" s="743"/>
      <c r="R55" s="743"/>
      <c r="S55" s="743"/>
    </row>
    <row r="56" spans="1:23" ht="15.75" customHeight="1">
      <c r="A56" s="766"/>
      <c r="B56" s="744"/>
      <c r="C56" s="744"/>
      <c r="D56" s="744"/>
      <c r="E56" s="744"/>
      <c r="F56" s="744"/>
      <c r="G56" s="743"/>
      <c r="K56" s="743"/>
      <c r="L56" s="743"/>
      <c r="M56" s="744"/>
      <c r="N56" s="762"/>
      <c r="O56" s="762"/>
      <c r="P56" s="762"/>
      <c r="Q56" s="743"/>
      <c r="R56" s="743"/>
      <c r="S56" s="743"/>
    </row>
    <row r="57" spans="1:23" ht="15.75" customHeight="1">
      <c r="A57" s="743"/>
      <c r="B57" s="743"/>
      <c r="C57" s="743"/>
      <c r="D57" s="743"/>
      <c r="E57" s="743"/>
      <c r="F57" s="743"/>
      <c r="G57" s="743"/>
      <c r="H57" s="743"/>
      <c r="I57" s="743"/>
      <c r="J57" s="743"/>
      <c r="K57" s="743"/>
      <c r="L57" s="743"/>
      <c r="M57" s="744"/>
      <c r="N57" s="744"/>
      <c r="O57" s="744"/>
      <c r="P57" s="744"/>
      <c r="Q57" s="743"/>
      <c r="R57" s="743"/>
      <c r="S57" s="743"/>
    </row>
    <row r="58" spans="1:23" ht="15.75" customHeight="1">
      <c r="A58" s="743"/>
      <c r="B58" s="743"/>
      <c r="C58" s="743"/>
      <c r="D58" s="743"/>
      <c r="E58" s="743"/>
      <c r="F58" s="743"/>
      <c r="G58" s="743"/>
      <c r="H58" s="743"/>
      <c r="I58" s="743"/>
      <c r="J58" s="743"/>
      <c r="K58" s="743"/>
      <c r="L58" s="743"/>
      <c r="M58" s="743"/>
      <c r="N58" s="744"/>
      <c r="O58" s="744"/>
      <c r="P58" s="744"/>
      <c r="Q58" s="743"/>
      <c r="R58" s="743"/>
      <c r="S58" s="743"/>
    </row>
    <row r="59" spans="1:23" ht="15.75" customHeight="1">
      <c r="A59" s="743"/>
      <c r="B59" s="743"/>
      <c r="C59" s="743"/>
      <c r="D59" s="743"/>
      <c r="E59" s="743"/>
      <c r="F59" s="743"/>
      <c r="G59" s="743"/>
      <c r="H59" s="743"/>
      <c r="I59" s="743"/>
      <c r="J59" s="743"/>
      <c r="K59" s="743"/>
      <c r="L59" s="743"/>
      <c r="M59" s="743"/>
      <c r="N59" s="744"/>
      <c r="O59" s="744"/>
      <c r="P59" s="744"/>
      <c r="Q59" s="743"/>
      <c r="R59" s="743"/>
      <c r="S59" s="743"/>
    </row>
    <row r="60" spans="1:23" ht="15.75" customHeight="1">
      <c r="A60" s="743"/>
      <c r="B60" s="743"/>
      <c r="C60" s="743"/>
      <c r="D60" s="743"/>
      <c r="E60" s="743"/>
      <c r="F60" s="743"/>
      <c r="G60" s="743"/>
      <c r="H60" s="743"/>
      <c r="I60" s="743"/>
      <c r="J60" s="743"/>
      <c r="K60" s="743"/>
      <c r="L60" s="743"/>
      <c r="M60" s="743"/>
      <c r="N60" s="744"/>
      <c r="O60" s="744"/>
      <c r="P60" s="744"/>
      <c r="Q60" s="743"/>
      <c r="R60" s="743"/>
      <c r="S60" s="743"/>
    </row>
    <row r="61" spans="1:23" ht="15.75" customHeight="1">
      <c r="A61" s="743"/>
      <c r="B61" s="743"/>
      <c r="C61" s="743"/>
      <c r="D61" s="743"/>
      <c r="E61" s="743"/>
      <c r="F61" s="743"/>
      <c r="G61" s="743"/>
      <c r="H61" s="743"/>
      <c r="I61" s="743"/>
      <c r="J61" s="743"/>
      <c r="K61" s="743"/>
      <c r="L61" s="743"/>
      <c r="M61" s="743"/>
      <c r="N61" s="744"/>
      <c r="O61" s="744"/>
      <c r="P61" s="744"/>
      <c r="Q61" s="743"/>
      <c r="R61" s="743"/>
      <c r="S61" s="743"/>
    </row>
    <row r="62" spans="1:23" ht="15.75" customHeight="1">
      <c r="A62" s="743"/>
      <c r="B62" s="743"/>
      <c r="C62" s="743"/>
      <c r="D62" s="743"/>
      <c r="E62" s="743"/>
      <c r="F62" s="743"/>
      <c r="G62" s="743"/>
      <c r="H62" s="743"/>
      <c r="I62" s="743"/>
      <c r="J62" s="743"/>
      <c r="K62" s="743"/>
      <c r="L62" s="743"/>
      <c r="M62" s="743"/>
      <c r="N62" s="744"/>
      <c r="O62" s="744"/>
      <c r="P62" s="744"/>
      <c r="Q62" s="743"/>
      <c r="R62" s="743"/>
      <c r="S62" s="743"/>
    </row>
    <row r="63" spans="1:23" ht="15.75" customHeight="1">
      <c r="A63" s="743"/>
      <c r="B63" s="743"/>
      <c r="C63" s="743"/>
      <c r="D63" s="743"/>
      <c r="E63" s="743"/>
      <c r="F63" s="743"/>
      <c r="G63" s="743"/>
      <c r="H63" s="743"/>
      <c r="I63" s="743"/>
      <c r="J63" s="743"/>
      <c r="K63" s="743"/>
      <c r="L63" s="743"/>
      <c r="M63" s="743"/>
      <c r="N63" s="744"/>
      <c r="O63" s="744"/>
      <c r="P63" s="744"/>
      <c r="Q63" s="743"/>
      <c r="R63" s="743"/>
      <c r="S63" s="743"/>
    </row>
    <row r="64" spans="1:23" ht="15.75" customHeight="1">
      <c r="A64" s="743"/>
      <c r="B64" s="743"/>
      <c r="C64" s="743"/>
      <c r="D64" s="743"/>
      <c r="E64" s="743"/>
      <c r="F64" s="743"/>
      <c r="G64" s="743"/>
      <c r="H64" s="743"/>
      <c r="I64" s="743"/>
      <c r="J64" s="743"/>
      <c r="K64" s="743"/>
      <c r="L64" s="743"/>
      <c r="M64" s="743"/>
      <c r="N64" s="744"/>
      <c r="O64" s="744"/>
      <c r="P64" s="744"/>
      <c r="Q64" s="743"/>
      <c r="R64" s="743"/>
      <c r="S64" s="743"/>
    </row>
    <row r="65" spans="1:19" ht="15.75" customHeight="1">
      <c r="A65" s="743"/>
      <c r="B65" s="743"/>
      <c r="C65" s="743"/>
      <c r="D65" s="743"/>
      <c r="E65" s="743"/>
      <c r="F65" s="743"/>
      <c r="G65" s="743"/>
      <c r="H65" s="743"/>
      <c r="I65" s="743"/>
      <c r="J65" s="743"/>
      <c r="K65" s="743"/>
      <c r="L65" s="743"/>
      <c r="M65" s="743"/>
      <c r="N65" s="744"/>
      <c r="O65" s="744"/>
      <c r="P65" s="744"/>
      <c r="Q65" s="743"/>
      <c r="R65" s="743"/>
      <c r="S65" s="743"/>
    </row>
    <row r="66" spans="1:19" ht="15.75" customHeight="1">
      <c r="A66" s="743"/>
      <c r="B66" s="743"/>
      <c r="C66" s="743"/>
      <c r="D66" s="743"/>
      <c r="E66" s="743"/>
      <c r="F66" s="743"/>
      <c r="G66" s="743"/>
      <c r="H66" s="743"/>
      <c r="I66" s="743"/>
      <c r="J66" s="743"/>
      <c r="K66" s="743"/>
      <c r="L66" s="743"/>
      <c r="M66" s="743"/>
      <c r="N66" s="744"/>
      <c r="O66" s="744"/>
      <c r="P66" s="744"/>
      <c r="Q66" s="743"/>
      <c r="R66" s="743"/>
      <c r="S66" s="743"/>
    </row>
    <row r="67" spans="1:19" ht="15.75" customHeight="1">
      <c r="A67" s="743"/>
      <c r="B67" s="743"/>
      <c r="C67" s="743"/>
      <c r="D67" s="743"/>
      <c r="E67" s="743"/>
      <c r="F67" s="743"/>
      <c r="G67" s="743"/>
      <c r="H67" s="743"/>
      <c r="I67" s="743"/>
      <c r="J67" s="743"/>
      <c r="K67" s="743"/>
      <c r="L67" s="743"/>
      <c r="M67" s="743"/>
      <c r="N67" s="744"/>
      <c r="O67" s="744"/>
      <c r="P67" s="744"/>
      <c r="Q67" s="743"/>
      <c r="R67" s="743"/>
      <c r="S67" s="743"/>
    </row>
    <row r="68" spans="1:19" ht="15.75" customHeight="1">
      <c r="A68" s="743"/>
      <c r="B68" s="743"/>
      <c r="C68" s="743"/>
      <c r="D68" s="743"/>
      <c r="E68" s="743"/>
      <c r="F68" s="743"/>
      <c r="G68" s="743"/>
      <c r="H68" s="743"/>
      <c r="I68" s="743"/>
      <c r="J68" s="743"/>
      <c r="K68" s="743"/>
      <c r="L68" s="743"/>
      <c r="M68" s="743"/>
      <c r="N68" s="744"/>
      <c r="O68" s="744"/>
      <c r="P68" s="744"/>
      <c r="Q68" s="743"/>
      <c r="R68" s="743"/>
      <c r="S68" s="743"/>
    </row>
    <row r="69" spans="1:19" ht="13">
      <c r="A69" s="743"/>
      <c r="B69" s="743"/>
      <c r="C69" s="743"/>
      <c r="D69" s="743"/>
      <c r="E69" s="743"/>
      <c r="F69" s="743"/>
      <c r="G69" s="743"/>
      <c r="H69" s="743"/>
      <c r="I69" s="743"/>
      <c r="J69" s="743"/>
      <c r="K69" s="743"/>
      <c r="L69" s="743"/>
      <c r="M69" s="743"/>
      <c r="N69" s="744"/>
      <c r="O69" s="744"/>
      <c r="P69" s="744"/>
      <c r="Q69" s="743"/>
      <c r="R69" s="743"/>
      <c r="S69" s="743"/>
    </row>
    <row r="70" spans="1:19" ht="13">
      <c r="A70" s="743"/>
      <c r="B70" s="743"/>
      <c r="C70" s="743"/>
      <c r="D70" s="743"/>
      <c r="E70" s="743"/>
      <c r="F70" s="743"/>
      <c r="G70" s="743"/>
      <c r="H70" s="743"/>
      <c r="I70" s="743"/>
      <c r="J70" s="743"/>
      <c r="K70" s="743"/>
      <c r="L70" s="743"/>
      <c r="M70" s="743"/>
      <c r="N70" s="744"/>
      <c r="O70" s="744"/>
      <c r="P70" s="744"/>
      <c r="Q70" s="743"/>
      <c r="R70" s="743"/>
      <c r="S70" s="743"/>
    </row>
    <row r="71" spans="1:19" ht="13">
      <c r="A71" s="743"/>
      <c r="B71" s="743"/>
      <c r="C71" s="743"/>
      <c r="D71" s="743"/>
      <c r="E71" s="743"/>
      <c r="F71" s="743"/>
      <c r="G71" s="743"/>
      <c r="H71" s="743"/>
      <c r="I71" s="743"/>
      <c r="J71" s="743"/>
      <c r="K71" s="743"/>
      <c r="L71" s="743"/>
      <c r="M71" s="743"/>
      <c r="N71" s="744"/>
      <c r="O71" s="744"/>
      <c r="P71" s="744"/>
      <c r="Q71" s="743"/>
      <c r="R71" s="743"/>
      <c r="S71" s="743"/>
    </row>
    <row r="72" spans="1:19" ht="13">
      <c r="A72" s="743"/>
      <c r="B72" s="743"/>
      <c r="C72" s="743"/>
      <c r="D72" s="743"/>
      <c r="E72" s="743"/>
      <c r="F72" s="743"/>
      <c r="G72" s="743"/>
      <c r="H72" s="743"/>
      <c r="I72" s="743"/>
      <c r="J72" s="743"/>
      <c r="K72" s="743"/>
      <c r="L72" s="743"/>
      <c r="M72" s="743"/>
      <c r="N72" s="744"/>
      <c r="O72" s="744"/>
      <c r="P72" s="744"/>
      <c r="Q72" s="743"/>
      <c r="R72" s="743"/>
      <c r="S72" s="743"/>
    </row>
    <row r="73" spans="1:19" ht="13">
      <c r="A73" s="743"/>
      <c r="B73" s="743"/>
      <c r="C73" s="743"/>
      <c r="D73" s="743"/>
      <c r="E73" s="743"/>
      <c r="F73" s="743"/>
      <c r="G73" s="743"/>
      <c r="H73" s="743"/>
      <c r="I73" s="743"/>
      <c r="J73" s="743"/>
      <c r="K73" s="743"/>
      <c r="L73" s="743"/>
      <c r="M73" s="743"/>
      <c r="N73" s="744"/>
      <c r="O73" s="744"/>
      <c r="P73" s="744"/>
      <c r="Q73" s="743"/>
      <c r="R73" s="743"/>
      <c r="S73" s="743"/>
    </row>
    <row r="74" spans="1:19" ht="13">
      <c r="A74" s="743"/>
      <c r="B74" s="743"/>
      <c r="C74" s="743"/>
      <c r="D74" s="743"/>
      <c r="E74" s="743"/>
      <c r="F74" s="743"/>
      <c r="G74" s="743"/>
      <c r="H74" s="743"/>
      <c r="I74" s="743"/>
      <c r="J74" s="743"/>
      <c r="K74" s="743"/>
      <c r="L74" s="743"/>
      <c r="M74" s="743"/>
      <c r="N74" s="744"/>
      <c r="O74" s="744"/>
      <c r="P74" s="744"/>
      <c r="Q74" s="743"/>
      <c r="R74" s="743"/>
      <c r="S74" s="743"/>
    </row>
    <row r="75" spans="1:19" ht="13">
      <c r="A75" s="743"/>
      <c r="B75" s="743"/>
      <c r="C75" s="743"/>
      <c r="D75" s="743"/>
      <c r="E75" s="743"/>
      <c r="F75" s="743"/>
      <c r="G75" s="743"/>
      <c r="H75" s="743"/>
      <c r="I75" s="743"/>
      <c r="J75" s="743"/>
      <c r="K75" s="743"/>
      <c r="L75" s="743"/>
      <c r="M75" s="743"/>
      <c r="N75" s="744"/>
      <c r="O75" s="744"/>
      <c r="P75" s="744"/>
      <c r="Q75" s="743"/>
      <c r="R75" s="743"/>
      <c r="S75" s="743"/>
    </row>
    <row r="76" spans="1:19" ht="13">
      <c r="A76" s="743"/>
      <c r="B76" s="743"/>
      <c r="C76" s="743"/>
      <c r="D76" s="743"/>
      <c r="E76" s="743"/>
      <c r="F76" s="743"/>
      <c r="G76" s="743"/>
      <c r="H76" s="743"/>
      <c r="I76" s="743"/>
      <c r="J76" s="743"/>
      <c r="K76" s="743"/>
      <c r="L76" s="743"/>
      <c r="M76" s="743"/>
      <c r="N76" s="744"/>
      <c r="O76" s="744"/>
      <c r="P76" s="744"/>
      <c r="Q76" s="743"/>
      <c r="R76" s="743"/>
      <c r="S76" s="743"/>
    </row>
    <row r="77" spans="1:19" ht="13">
      <c r="A77" s="743"/>
      <c r="B77" s="743"/>
      <c r="C77" s="743"/>
      <c r="D77" s="743"/>
      <c r="E77" s="743"/>
      <c r="F77" s="743"/>
      <c r="G77" s="743"/>
      <c r="H77" s="743"/>
      <c r="I77" s="743"/>
      <c r="J77" s="743"/>
      <c r="K77" s="743"/>
      <c r="L77" s="743"/>
      <c r="M77" s="743"/>
      <c r="N77" s="744"/>
      <c r="O77" s="744"/>
      <c r="P77" s="744"/>
      <c r="Q77" s="743"/>
      <c r="R77" s="743"/>
      <c r="S77" s="743"/>
    </row>
    <row r="78" spans="1:19" ht="13">
      <c r="A78" s="743"/>
      <c r="B78" s="743"/>
      <c r="C78" s="743"/>
      <c r="D78" s="743"/>
      <c r="E78" s="743"/>
      <c r="F78" s="743"/>
      <c r="G78" s="743"/>
      <c r="H78" s="743"/>
      <c r="I78" s="743"/>
      <c r="J78" s="743"/>
      <c r="K78" s="743"/>
      <c r="L78" s="743"/>
      <c r="M78" s="743"/>
      <c r="N78" s="744"/>
      <c r="O78" s="744"/>
      <c r="P78" s="744"/>
      <c r="Q78" s="743"/>
      <c r="R78" s="743"/>
      <c r="S78" s="743"/>
    </row>
    <row r="79" spans="1:19" ht="13">
      <c r="A79" s="743"/>
      <c r="B79" s="743"/>
      <c r="C79" s="743"/>
      <c r="D79" s="743"/>
      <c r="E79" s="743"/>
      <c r="F79" s="743"/>
      <c r="G79" s="743"/>
      <c r="H79" s="743"/>
      <c r="I79" s="743"/>
      <c r="J79" s="743"/>
      <c r="K79" s="743"/>
      <c r="L79" s="743"/>
      <c r="M79" s="743"/>
      <c r="N79" s="744"/>
      <c r="O79" s="744"/>
      <c r="P79" s="744"/>
      <c r="Q79" s="743"/>
      <c r="R79" s="743"/>
      <c r="S79" s="743"/>
    </row>
    <row r="80" spans="1:19" ht="13">
      <c r="A80" s="743"/>
      <c r="B80" s="743"/>
      <c r="C80" s="743"/>
      <c r="D80" s="743"/>
      <c r="E80" s="743"/>
      <c r="F80" s="743"/>
      <c r="G80" s="743"/>
      <c r="H80" s="743"/>
      <c r="I80" s="743"/>
      <c r="J80" s="743"/>
      <c r="K80" s="743"/>
      <c r="L80" s="743"/>
      <c r="M80" s="743"/>
      <c r="N80" s="744"/>
      <c r="O80" s="744"/>
      <c r="P80" s="744"/>
      <c r="Q80" s="743"/>
      <c r="R80" s="743"/>
      <c r="S80" s="743"/>
    </row>
    <row r="81" spans="1:19" ht="13">
      <c r="A81" s="743"/>
      <c r="B81" s="743"/>
      <c r="C81" s="743"/>
      <c r="D81" s="743"/>
      <c r="E81" s="743"/>
      <c r="F81" s="743"/>
      <c r="G81" s="743"/>
      <c r="H81" s="743"/>
      <c r="I81" s="743"/>
      <c r="J81" s="743"/>
      <c r="K81" s="743"/>
      <c r="L81" s="743"/>
      <c r="M81" s="743"/>
      <c r="N81" s="744"/>
      <c r="O81" s="744"/>
      <c r="P81" s="744"/>
      <c r="Q81" s="743"/>
      <c r="R81" s="743"/>
      <c r="S81" s="743"/>
    </row>
    <row r="82" spans="1:19" ht="13">
      <c r="A82" s="743"/>
      <c r="B82" s="743"/>
      <c r="C82" s="743"/>
      <c r="D82" s="743"/>
      <c r="E82" s="743"/>
      <c r="F82" s="743"/>
      <c r="G82" s="743"/>
      <c r="H82" s="743"/>
      <c r="I82" s="743"/>
      <c r="J82" s="743"/>
      <c r="K82" s="743"/>
      <c r="L82" s="743"/>
      <c r="M82" s="743"/>
      <c r="N82" s="744"/>
      <c r="O82" s="744"/>
      <c r="P82" s="744"/>
      <c r="Q82" s="743"/>
      <c r="R82" s="743"/>
      <c r="S82" s="743"/>
    </row>
    <row r="83" spans="1:19" ht="13">
      <c r="A83" s="743"/>
      <c r="B83" s="743"/>
      <c r="C83" s="743"/>
      <c r="D83" s="743"/>
      <c r="E83" s="743"/>
      <c r="F83" s="743"/>
      <c r="G83" s="743"/>
      <c r="H83" s="743"/>
      <c r="I83" s="743"/>
      <c r="J83" s="743"/>
      <c r="K83" s="743"/>
      <c r="L83" s="743"/>
      <c r="M83" s="743"/>
      <c r="N83" s="744"/>
      <c r="O83" s="744"/>
      <c r="P83" s="744"/>
      <c r="Q83" s="743"/>
      <c r="R83" s="743"/>
      <c r="S83" s="743"/>
    </row>
    <row r="84" spans="1:19" ht="13">
      <c r="A84" s="743"/>
      <c r="B84" s="743"/>
      <c r="C84" s="743"/>
      <c r="D84" s="743"/>
      <c r="E84" s="743"/>
      <c r="F84" s="743"/>
      <c r="G84" s="743"/>
      <c r="H84" s="743"/>
      <c r="I84" s="743"/>
      <c r="J84" s="743"/>
      <c r="K84" s="743"/>
      <c r="L84" s="743"/>
      <c r="M84" s="743"/>
      <c r="N84" s="744"/>
      <c r="O84" s="744"/>
      <c r="P84" s="744"/>
      <c r="Q84" s="743"/>
      <c r="R84" s="743"/>
      <c r="S84" s="743"/>
    </row>
    <row r="85" spans="1:19" ht="13">
      <c r="A85" s="743"/>
      <c r="B85" s="743"/>
      <c r="C85" s="743"/>
      <c r="D85" s="743"/>
      <c r="E85" s="743"/>
      <c r="F85" s="743"/>
      <c r="G85" s="743"/>
      <c r="H85" s="743"/>
      <c r="I85" s="743"/>
      <c r="J85" s="743"/>
      <c r="K85" s="743"/>
      <c r="L85" s="743"/>
      <c r="M85" s="743"/>
      <c r="N85" s="744"/>
      <c r="O85" s="744"/>
      <c r="P85" s="744"/>
      <c r="Q85" s="743"/>
      <c r="R85" s="743"/>
      <c r="S85" s="743"/>
    </row>
    <row r="86" spans="1:19" ht="13">
      <c r="A86" s="743"/>
      <c r="B86" s="743"/>
      <c r="C86" s="743"/>
      <c r="D86" s="743"/>
      <c r="E86" s="743"/>
      <c r="F86" s="743"/>
      <c r="G86" s="743"/>
      <c r="H86" s="743"/>
      <c r="I86" s="743"/>
      <c r="J86" s="743"/>
      <c r="K86" s="743"/>
      <c r="L86" s="743"/>
      <c r="M86" s="743"/>
      <c r="N86" s="744"/>
      <c r="O86" s="744"/>
      <c r="P86" s="744"/>
      <c r="Q86" s="743"/>
      <c r="R86" s="743"/>
      <c r="S86" s="743"/>
    </row>
    <row r="87" spans="1:19" ht="13">
      <c r="A87" s="743"/>
      <c r="B87" s="743"/>
      <c r="C87" s="743"/>
      <c r="D87" s="743"/>
      <c r="E87" s="743"/>
      <c r="F87" s="743"/>
      <c r="G87" s="743"/>
      <c r="H87" s="743"/>
      <c r="I87" s="743"/>
      <c r="J87" s="743"/>
      <c r="K87" s="743"/>
      <c r="L87" s="743"/>
      <c r="M87" s="743"/>
      <c r="N87" s="744"/>
      <c r="O87" s="744"/>
      <c r="P87" s="744"/>
      <c r="Q87" s="743"/>
      <c r="R87" s="743"/>
      <c r="S87" s="743"/>
    </row>
    <row r="88" spans="1:19" ht="13">
      <c r="A88" s="743"/>
      <c r="B88" s="743"/>
      <c r="C88" s="743"/>
      <c r="D88" s="743"/>
      <c r="E88" s="743"/>
      <c r="F88" s="743"/>
      <c r="G88" s="743"/>
      <c r="H88" s="743"/>
      <c r="I88" s="743"/>
      <c r="J88" s="743"/>
      <c r="K88" s="743"/>
      <c r="L88" s="743"/>
      <c r="M88" s="743"/>
      <c r="N88" s="744"/>
      <c r="O88" s="744"/>
      <c r="P88" s="744"/>
      <c r="Q88" s="743"/>
      <c r="R88" s="743"/>
      <c r="S88" s="743"/>
    </row>
    <row r="89" spans="1:19" ht="13">
      <c r="A89" s="743"/>
      <c r="B89" s="743"/>
      <c r="C89" s="743"/>
      <c r="D89" s="743"/>
      <c r="E89" s="743"/>
      <c r="F89" s="743"/>
      <c r="G89" s="743"/>
      <c r="H89" s="743"/>
      <c r="I89" s="743"/>
      <c r="J89" s="743"/>
      <c r="K89" s="743"/>
      <c r="L89" s="743"/>
      <c r="M89" s="743"/>
      <c r="N89" s="744"/>
      <c r="O89" s="744"/>
      <c r="P89" s="744"/>
      <c r="Q89" s="743"/>
      <c r="R89" s="743"/>
      <c r="S89" s="743"/>
    </row>
    <row r="90" spans="1:19" ht="13">
      <c r="A90" s="743"/>
      <c r="B90" s="743"/>
      <c r="C90" s="743"/>
      <c r="D90" s="743"/>
      <c r="E90" s="743"/>
      <c r="F90" s="743"/>
      <c r="G90" s="743"/>
      <c r="H90" s="743"/>
      <c r="I90" s="743"/>
      <c r="J90" s="743"/>
      <c r="K90" s="743"/>
      <c r="L90" s="743"/>
      <c r="M90" s="743"/>
      <c r="N90" s="744"/>
      <c r="O90" s="744"/>
      <c r="P90" s="744"/>
      <c r="Q90" s="743"/>
      <c r="R90" s="743"/>
      <c r="S90" s="743"/>
    </row>
    <row r="91" spans="1:19" ht="13">
      <c r="A91" s="743"/>
      <c r="B91" s="743"/>
      <c r="C91" s="743"/>
      <c r="D91" s="743"/>
      <c r="E91" s="743"/>
      <c r="F91" s="743"/>
      <c r="G91" s="743"/>
      <c r="H91" s="743"/>
      <c r="I91" s="743"/>
      <c r="J91" s="743"/>
      <c r="K91" s="743"/>
      <c r="L91" s="743"/>
      <c r="M91" s="743"/>
      <c r="N91" s="744"/>
      <c r="O91" s="744"/>
      <c r="P91" s="744"/>
      <c r="Q91" s="743"/>
      <c r="R91" s="743"/>
      <c r="S91" s="743"/>
    </row>
    <row r="92" spans="1:19" ht="13">
      <c r="A92" s="743"/>
      <c r="B92" s="743"/>
      <c r="C92" s="743"/>
      <c r="D92" s="743"/>
      <c r="E92" s="743"/>
      <c r="F92" s="743"/>
      <c r="G92" s="743"/>
      <c r="H92" s="743"/>
      <c r="I92" s="743"/>
      <c r="J92" s="743"/>
      <c r="K92" s="743"/>
      <c r="L92" s="743"/>
      <c r="M92" s="743"/>
      <c r="N92" s="744"/>
      <c r="O92" s="744"/>
      <c r="P92" s="744"/>
      <c r="Q92" s="743"/>
      <c r="R92" s="743"/>
      <c r="S92" s="743"/>
    </row>
    <row r="93" spans="1:19" ht="13">
      <c r="A93" s="743"/>
      <c r="B93" s="743"/>
      <c r="C93" s="743"/>
      <c r="D93" s="743"/>
      <c r="E93" s="743"/>
      <c r="F93" s="743"/>
      <c r="G93" s="743"/>
      <c r="H93" s="743"/>
      <c r="I93" s="743"/>
      <c r="J93" s="743"/>
      <c r="K93" s="743"/>
      <c r="L93" s="743"/>
      <c r="M93" s="743"/>
      <c r="N93" s="744"/>
      <c r="O93" s="744"/>
      <c r="P93" s="744"/>
      <c r="Q93" s="743"/>
      <c r="R93" s="743"/>
      <c r="S93" s="743"/>
    </row>
    <row r="94" spans="1:19" ht="13">
      <c r="A94" s="743"/>
      <c r="B94" s="743"/>
      <c r="C94" s="743"/>
      <c r="D94" s="743"/>
      <c r="E94" s="743"/>
      <c r="F94" s="743"/>
      <c r="G94" s="743"/>
      <c r="H94" s="743"/>
      <c r="I94" s="743"/>
      <c r="J94" s="743"/>
      <c r="K94" s="743"/>
      <c r="L94" s="743"/>
      <c r="M94" s="743"/>
      <c r="N94" s="744"/>
      <c r="O94" s="744"/>
      <c r="P94" s="744"/>
      <c r="Q94" s="743"/>
      <c r="R94" s="743"/>
      <c r="S94" s="743"/>
    </row>
    <row r="95" spans="1:19" ht="13">
      <c r="A95" s="743"/>
      <c r="B95" s="743"/>
      <c r="C95" s="743"/>
      <c r="D95" s="743"/>
      <c r="E95" s="743"/>
      <c r="F95" s="743"/>
      <c r="G95" s="743"/>
      <c r="H95" s="743"/>
      <c r="I95" s="743"/>
      <c r="J95" s="743"/>
      <c r="K95" s="743"/>
      <c r="L95" s="743"/>
      <c r="M95" s="743"/>
      <c r="N95" s="744"/>
      <c r="O95" s="744"/>
      <c r="P95" s="744"/>
      <c r="Q95" s="743"/>
      <c r="R95" s="743"/>
      <c r="S95" s="743"/>
    </row>
    <row r="96" spans="1:19" ht="13">
      <c r="A96" s="743"/>
      <c r="B96" s="743"/>
      <c r="C96" s="743"/>
      <c r="D96" s="743"/>
      <c r="E96" s="743"/>
      <c r="F96" s="743"/>
      <c r="G96" s="743"/>
      <c r="H96" s="743"/>
      <c r="I96" s="743"/>
      <c r="J96" s="743"/>
      <c r="K96" s="743"/>
      <c r="L96" s="743"/>
      <c r="M96" s="743"/>
      <c r="N96" s="744"/>
      <c r="O96" s="744"/>
      <c r="P96" s="744"/>
      <c r="Q96" s="743"/>
      <c r="R96" s="743"/>
      <c r="S96" s="743"/>
    </row>
    <row r="97" spans="1:19" ht="13">
      <c r="A97" s="743"/>
      <c r="B97" s="743"/>
      <c r="C97" s="743"/>
      <c r="D97" s="743"/>
      <c r="E97" s="743"/>
      <c r="F97" s="743"/>
      <c r="G97" s="743"/>
      <c r="H97" s="743"/>
      <c r="I97" s="743"/>
      <c r="J97" s="743"/>
      <c r="K97" s="743"/>
      <c r="L97" s="743"/>
      <c r="M97" s="743"/>
      <c r="N97" s="744"/>
      <c r="O97" s="744"/>
      <c r="P97" s="744"/>
      <c r="Q97" s="743"/>
      <c r="R97" s="743"/>
      <c r="S97" s="743"/>
    </row>
    <row r="98" spans="1:19" ht="13">
      <c r="A98" s="743"/>
      <c r="B98" s="743"/>
      <c r="C98" s="743"/>
      <c r="D98" s="743"/>
      <c r="E98" s="743"/>
      <c r="F98" s="743"/>
      <c r="G98" s="743"/>
      <c r="H98" s="743"/>
      <c r="I98" s="743"/>
      <c r="J98" s="743"/>
      <c r="K98" s="743"/>
      <c r="L98" s="743"/>
      <c r="M98" s="743"/>
      <c r="N98" s="744"/>
      <c r="O98" s="744"/>
      <c r="P98" s="744"/>
      <c r="Q98" s="743"/>
      <c r="R98" s="743"/>
      <c r="S98" s="743"/>
    </row>
    <row r="99" spans="1:19" ht="13">
      <c r="A99" s="743"/>
      <c r="B99" s="743"/>
      <c r="C99" s="743"/>
      <c r="D99" s="743"/>
      <c r="E99" s="743"/>
      <c r="F99" s="743"/>
      <c r="G99" s="743"/>
      <c r="H99" s="743"/>
      <c r="I99" s="743"/>
      <c r="J99" s="743"/>
      <c r="K99" s="743"/>
      <c r="L99" s="743"/>
      <c r="M99" s="743"/>
      <c r="N99" s="744"/>
      <c r="O99" s="744"/>
      <c r="P99" s="744"/>
      <c r="Q99" s="743"/>
      <c r="R99" s="743"/>
      <c r="S99" s="743"/>
    </row>
    <row r="100" spans="1:19" ht="13">
      <c r="A100" s="743"/>
      <c r="B100" s="743"/>
      <c r="C100" s="743"/>
      <c r="D100" s="743"/>
      <c r="E100" s="743"/>
      <c r="F100" s="743"/>
      <c r="G100" s="743"/>
      <c r="H100" s="743"/>
      <c r="I100" s="743"/>
      <c r="J100" s="743"/>
      <c r="K100" s="743"/>
      <c r="L100" s="743"/>
      <c r="M100" s="743"/>
      <c r="N100" s="744"/>
      <c r="O100" s="744"/>
      <c r="P100" s="744"/>
      <c r="Q100" s="743"/>
      <c r="R100" s="743"/>
      <c r="S100" s="743"/>
    </row>
    <row r="101" spans="1:19" ht="13">
      <c r="A101" s="743"/>
      <c r="B101" s="743"/>
      <c r="C101" s="743"/>
      <c r="D101" s="743"/>
      <c r="E101" s="743"/>
      <c r="F101" s="743"/>
      <c r="G101" s="743"/>
      <c r="H101" s="743"/>
      <c r="I101" s="743"/>
      <c r="J101" s="743"/>
      <c r="K101" s="743"/>
      <c r="L101" s="743"/>
      <c r="M101" s="743"/>
      <c r="N101" s="744"/>
      <c r="O101" s="744"/>
      <c r="P101" s="744"/>
      <c r="Q101" s="743"/>
      <c r="R101" s="743"/>
      <c r="S101" s="743"/>
    </row>
    <row r="102" spans="1:19" ht="13">
      <c r="A102" s="743"/>
      <c r="B102" s="743"/>
      <c r="C102" s="743"/>
      <c r="D102" s="743"/>
      <c r="E102" s="743"/>
      <c r="F102" s="743"/>
      <c r="G102" s="743"/>
      <c r="H102" s="743"/>
      <c r="I102" s="743"/>
      <c r="J102" s="743"/>
      <c r="K102" s="743"/>
      <c r="L102" s="743"/>
      <c r="M102" s="743"/>
      <c r="N102" s="744"/>
      <c r="O102" s="744"/>
      <c r="P102" s="744"/>
      <c r="Q102" s="743"/>
      <c r="R102" s="743"/>
      <c r="S102" s="743"/>
    </row>
    <row r="103" spans="1:19" ht="13">
      <c r="A103" s="743"/>
      <c r="B103" s="743"/>
      <c r="C103" s="743"/>
      <c r="D103" s="743"/>
      <c r="E103" s="743"/>
      <c r="F103" s="743"/>
      <c r="G103" s="743"/>
      <c r="H103" s="743"/>
      <c r="I103" s="743"/>
      <c r="J103" s="743"/>
      <c r="K103" s="743"/>
      <c r="L103" s="743"/>
      <c r="M103" s="743"/>
      <c r="N103" s="744"/>
      <c r="O103" s="744"/>
      <c r="P103" s="744"/>
      <c r="Q103" s="743"/>
      <c r="R103" s="743"/>
      <c r="S103" s="743"/>
    </row>
    <row r="104" spans="1:19" ht="13">
      <c r="A104" s="743"/>
      <c r="B104" s="743"/>
      <c r="C104" s="743"/>
      <c r="D104" s="743"/>
      <c r="E104" s="743"/>
      <c r="F104" s="743"/>
      <c r="G104" s="743"/>
      <c r="H104" s="743"/>
      <c r="I104" s="743"/>
      <c r="J104" s="743"/>
      <c r="K104" s="743"/>
      <c r="L104" s="743"/>
      <c r="M104" s="743"/>
      <c r="N104" s="744"/>
      <c r="O104" s="744"/>
      <c r="P104" s="744"/>
      <c r="Q104" s="743"/>
      <c r="R104" s="743"/>
      <c r="S104" s="743"/>
    </row>
    <row r="105" spans="1:19" ht="13">
      <c r="A105" s="743"/>
      <c r="B105" s="743"/>
      <c r="C105" s="743"/>
      <c r="D105" s="743"/>
      <c r="E105" s="743"/>
      <c r="F105" s="743"/>
      <c r="G105" s="743"/>
      <c r="H105" s="743"/>
      <c r="I105" s="743"/>
      <c r="J105" s="743"/>
      <c r="K105" s="743"/>
      <c r="L105" s="743"/>
      <c r="M105" s="743"/>
      <c r="N105" s="744"/>
      <c r="O105" s="744"/>
      <c r="P105" s="744"/>
      <c r="Q105" s="743"/>
      <c r="R105" s="743"/>
      <c r="S105" s="743"/>
    </row>
    <row r="106" spans="1:19" ht="13">
      <c r="A106" s="743"/>
      <c r="B106" s="743"/>
      <c r="C106" s="743"/>
      <c r="D106" s="743"/>
      <c r="E106" s="743"/>
      <c r="F106" s="743"/>
      <c r="G106" s="743"/>
      <c r="H106" s="743"/>
      <c r="I106" s="743"/>
      <c r="J106" s="743"/>
      <c r="K106" s="743"/>
      <c r="L106" s="743"/>
      <c r="M106" s="743"/>
      <c r="N106" s="744"/>
      <c r="O106" s="744"/>
      <c r="P106" s="744"/>
      <c r="Q106" s="743"/>
      <c r="R106" s="743"/>
      <c r="S106" s="743"/>
    </row>
    <row r="107" spans="1:19" ht="13">
      <c r="A107" s="743"/>
      <c r="B107" s="743"/>
      <c r="C107" s="743"/>
      <c r="D107" s="743"/>
      <c r="E107" s="743"/>
      <c r="F107" s="743"/>
      <c r="G107" s="743"/>
      <c r="H107" s="743"/>
      <c r="I107" s="743"/>
      <c r="J107" s="743"/>
      <c r="K107" s="743"/>
      <c r="L107" s="743"/>
      <c r="M107" s="743"/>
      <c r="N107" s="744"/>
      <c r="O107" s="744"/>
      <c r="P107" s="744"/>
      <c r="Q107" s="743"/>
      <c r="R107" s="743"/>
      <c r="S107" s="743"/>
    </row>
    <row r="108" spans="1:19" ht="13">
      <c r="A108" s="743"/>
      <c r="B108" s="743"/>
      <c r="C108" s="743"/>
      <c r="D108" s="743"/>
      <c r="E108" s="743"/>
      <c r="F108" s="743"/>
      <c r="G108" s="743"/>
      <c r="H108" s="743"/>
      <c r="I108" s="743"/>
      <c r="J108" s="743"/>
      <c r="K108" s="743"/>
      <c r="L108" s="743"/>
      <c r="M108" s="743"/>
      <c r="N108" s="744"/>
      <c r="O108" s="744"/>
      <c r="P108" s="744"/>
      <c r="Q108" s="743"/>
      <c r="R108" s="743"/>
      <c r="S108" s="743"/>
    </row>
    <row r="109" spans="1:19" ht="13">
      <c r="A109" s="743"/>
      <c r="B109" s="743"/>
      <c r="C109" s="743"/>
      <c r="D109" s="743"/>
      <c r="E109" s="743"/>
      <c r="F109" s="743"/>
      <c r="G109" s="743"/>
      <c r="H109" s="743"/>
      <c r="I109" s="743"/>
      <c r="J109" s="743"/>
      <c r="K109" s="743"/>
      <c r="L109" s="743"/>
      <c r="M109" s="743"/>
      <c r="N109" s="744"/>
      <c r="O109" s="744"/>
      <c r="P109" s="744"/>
      <c r="Q109" s="743"/>
      <c r="R109" s="743"/>
      <c r="S109" s="743"/>
    </row>
    <row r="110" spans="1:19" ht="13">
      <c r="A110" s="743"/>
      <c r="B110" s="743"/>
      <c r="C110" s="743"/>
      <c r="D110" s="743"/>
      <c r="E110" s="743"/>
      <c r="F110" s="743"/>
      <c r="G110" s="743"/>
      <c r="H110" s="743"/>
      <c r="I110" s="743"/>
      <c r="J110" s="743"/>
      <c r="K110" s="743"/>
      <c r="L110" s="743"/>
      <c r="M110" s="743"/>
      <c r="N110" s="744"/>
      <c r="O110" s="744"/>
      <c r="P110" s="744"/>
      <c r="Q110" s="743"/>
      <c r="R110" s="743"/>
      <c r="S110" s="743"/>
    </row>
    <row r="111" spans="1:19" ht="13">
      <c r="A111" s="743"/>
      <c r="B111" s="743"/>
      <c r="C111" s="743"/>
      <c r="D111" s="743"/>
      <c r="E111" s="743"/>
      <c r="F111" s="743"/>
      <c r="G111" s="743"/>
      <c r="H111" s="743"/>
      <c r="I111" s="743"/>
      <c r="J111" s="743"/>
      <c r="K111" s="743"/>
      <c r="L111" s="743"/>
      <c r="M111" s="743"/>
      <c r="N111" s="744"/>
      <c r="O111" s="744"/>
      <c r="P111" s="744"/>
      <c r="Q111" s="743"/>
      <c r="R111" s="743"/>
      <c r="S111" s="743"/>
    </row>
    <row r="112" spans="1:19" ht="13">
      <c r="A112" s="743"/>
      <c r="B112" s="743"/>
      <c r="C112" s="743"/>
      <c r="D112" s="743"/>
      <c r="E112" s="743"/>
      <c r="F112" s="743"/>
      <c r="G112" s="743"/>
      <c r="H112" s="743"/>
      <c r="I112" s="743"/>
      <c r="J112" s="743"/>
      <c r="K112" s="743"/>
      <c r="L112" s="743"/>
      <c r="M112" s="743"/>
      <c r="N112" s="744"/>
      <c r="O112" s="744"/>
      <c r="P112" s="744"/>
      <c r="Q112" s="743"/>
      <c r="R112" s="743"/>
      <c r="S112" s="743"/>
    </row>
    <row r="113" spans="1:19" ht="13">
      <c r="A113" s="743"/>
      <c r="B113" s="743"/>
      <c r="C113" s="743"/>
      <c r="D113" s="743"/>
      <c r="E113" s="743"/>
      <c r="F113" s="743"/>
      <c r="G113" s="743"/>
      <c r="H113" s="743"/>
      <c r="I113" s="743"/>
      <c r="J113" s="743"/>
      <c r="K113" s="743"/>
      <c r="L113" s="743"/>
      <c r="M113" s="743"/>
      <c r="N113" s="744"/>
      <c r="O113" s="744"/>
      <c r="P113" s="744"/>
      <c r="Q113" s="743"/>
      <c r="R113" s="743"/>
      <c r="S113" s="743"/>
    </row>
    <row r="114" spans="1:19" ht="13">
      <c r="A114" s="743"/>
      <c r="B114" s="743"/>
      <c r="C114" s="743"/>
      <c r="D114" s="743"/>
      <c r="E114" s="743"/>
      <c r="F114" s="743"/>
      <c r="G114" s="743"/>
      <c r="H114" s="743"/>
      <c r="I114" s="743"/>
      <c r="J114" s="743"/>
      <c r="K114" s="743"/>
      <c r="L114" s="743"/>
      <c r="M114" s="743"/>
      <c r="N114" s="744"/>
      <c r="O114" s="744"/>
      <c r="P114" s="744"/>
      <c r="Q114" s="743"/>
      <c r="R114" s="743"/>
      <c r="S114" s="743"/>
    </row>
    <row r="115" spans="1:19" ht="13">
      <c r="A115" s="743"/>
      <c r="B115" s="743"/>
      <c r="C115" s="743"/>
      <c r="D115" s="743"/>
      <c r="E115" s="743"/>
      <c r="F115" s="743"/>
      <c r="G115" s="743"/>
      <c r="H115" s="743"/>
      <c r="I115" s="743"/>
      <c r="J115" s="743"/>
      <c r="K115" s="743"/>
      <c r="L115" s="743"/>
      <c r="M115" s="743"/>
      <c r="N115" s="744"/>
      <c r="O115" s="744"/>
      <c r="P115" s="744"/>
      <c r="Q115" s="743"/>
      <c r="R115" s="743"/>
      <c r="S115" s="743"/>
    </row>
    <row r="116" spans="1:19" ht="13">
      <c r="A116" s="743"/>
      <c r="B116" s="743"/>
      <c r="C116" s="743"/>
      <c r="D116" s="743"/>
      <c r="E116" s="743"/>
      <c r="F116" s="743"/>
      <c r="G116" s="743"/>
      <c r="H116" s="743"/>
      <c r="I116" s="743"/>
      <c r="J116" s="743"/>
      <c r="K116" s="743"/>
      <c r="L116" s="743"/>
      <c r="M116" s="743"/>
      <c r="N116" s="744"/>
      <c r="O116" s="744"/>
      <c r="P116" s="744"/>
      <c r="Q116" s="743"/>
      <c r="R116" s="743"/>
      <c r="S116" s="743"/>
    </row>
    <row r="117" spans="1:19" ht="13">
      <c r="A117" s="743"/>
      <c r="B117" s="743"/>
      <c r="C117" s="743"/>
      <c r="D117" s="743"/>
      <c r="E117" s="743"/>
      <c r="F117" s="743"/>
      <c r="G117" s="743"/>
      <c r="H117" s="743"/>
      <c r="I117" s="743"/>
      <c r="J117" s="743"/>
      <c r="K117" s="743"/>
      <c r="L117" s="743"/>
      <c r="M117" s="743"/>
      <c r="N117" s="744"/>
      <c r="O117" s="744"/>
      <c r="P117" s="744"/>
      <c r="Q117" s="743"/>
      <c r="R117" s="743"/>
      <c r="S117" s="743"/>
    </row>
    <row r="118" spans="1:19" ht="13">
      <c r="A118" s="743"/>
      <c r="B118" s="743"/>
      <c r="C118" s="743"/>
      <c r="D118" s="743"/>
      <c r="E118" s="743"/>
      <c r="F118" s="743"/>
      <c r="G118" s="743"/>
      <c r="H118" s="743"/>
      <c r="I118" s="743"/>
      <c r="J118" s="743"/>
      <c r="K118" s="743"/>
      <c r="L118" s="743"/>
      <c r="M118" s="743"/>
      <c r="N118" s="744"/>
      <c r="O118" s="744"/>
      <c r="P118" s="744"/>
      <c r="Q118" s="743"/>
      <c r="R118" s="743"/>
      <c r="S118" s="743"/>
    </row>
    <row r="119" spans="1:19" ht="13">
      <c r="A119" s="743"/>
      <c r="B119" s="743"/>
      <c r="C119" s="743"/>
      <c r="D119" s="743"/>
      <c r="E119" s="743"/>
      <c r="F119" s="743"/>
      <c r="G119" s="743"/>
      <c r="H119" s="743"/>
      <c r="I119" s="743"/>
      <c r="J119" s="743"/>
      <c r="K119" s="743"/>
      <c r="L119" s="743"/>
      <c r="M119" s="743"/>
      <c r="N119" s="744"/>
      <c r="O119" s="744"/>
      <c r="P119" s="744"/>
      <c r="Q119" s="743"/>
      <c r="R119" s="743"/>
      <c r="S119" s="743"/>
    </row>
    <row r="120" spans="1:19" ht="13">
      <c r="A120" s="743"/>
      <c r="B120" s="743"/>
      <c r="C120" s="743"/>
      <c r="D120" s="743"/>
      <c r="E120" s="743"/>
      <c r="F120" s="743"/>
      <c r="G120" s="743"/>
      <c r="H120" s="743"/>
      <c r="I120" s="743"/>
      <c r="J120" s="743"/>
      <c r="K120" s="743"/>
      <c r="L120" s="743"/>
      <c r="M120" s="743"/>
      <c r="N120" s="744"/>
      <c r="O120" s="744"/>
      <c r="P120" s="744"/>
      <c r="Q120" s="743"/>
      <c r="R120" s="743"/>
      <c r="S120" s="743"/>
    </row>
    <row r="121" spans="1:19" ht="13">
      <c r="A121" s="743"/>
      <c r="B121" s="743"/>
      <c r="C121" s="743"/>
      <c r="D121" s="743"/>
      <c r="E121" s="743"/>
      <c r="F121" s="743"/>
      <c r="G121" s="743"/>
      <c r="H121" s="743"/>
      <c r="I121" s="743"/>
      <c r="J121" s="743"/>
      <c r="K121" s="743"/>
      <c r="L121" s="743"/>
      <c r="M121" s="743"/>
      <c r="N121" s="744"/>
      <c r="O121" s="744"/>
      <c r="P121" s="744"/>
      <c r="Q121" s="743"/>
      <c r="R121" s="743"/>
      <c r="S121" s="743"/>
    </row>
    <row r="122" spans="1:19" ht="13">
      <c r="A122" s="743"/>
      <c r="B122" s="743"/>
      <c r="C122" s="743"/>
      <c r="D122" s="743"/>
      <c r="E122" s="743"/>
      <c r="F122" s="743"/>
      <c r="G122" s="743"/>
      <c r="H122" s="743"/>
      <c r="I122" s="743"/>
      <c r="J122" s="743"/>
      <c r="K122" s="743"/>
      <c r="L122" s="743"/>
      <c r="M122" s="743"/>
      <c r="N122" s="744"/>
      <c r="O122" s="744"/>
      <c r="P122" s="744"/>
      <c r="Q122" s="743"/>
      <c r="R122" s="743"/>
      <c r="S122" s="743"/>
    </row>
    <row r="123" spans="1:19" ht="13">
      <c r="A123" s="743"/>
      <c r="B123" s="743"/>
      <c r="C123" s="743"/>
      <c r="D123" s="743"/>
      <c r="E123" s="743"/>
      <c r="F123" s="743"/>
      <c r="G123" s="743"/>
      <c r="H123" s="743"/>
      <c r="I123" s="743"/>
      <c r="J123" s="743"/>
      <c r="K123" s="743"/>
      <c r="L123" s="743"/>
      <c r="M123" s="743"/>
      <c r="N123" s="744"/>
      <c r="O123" s="744"/>
      <c r="P123" s="744"/>
      <c r="Q123" s="743"/>
      <c r="R123" s="743"/>
      <c r="S123" s="743"/>
    </row>
    <row r="124" spans="1:19" ht="13">
      <c r="A124" s="743"/>
      <c r="B124" s="743"/>
      <c r="C124" s="743"/>
      <c r="D124" s="743"/>
      <c r="E124" s="743"/>
      <c r="F124" s="743"/>
      <c r="G124" s="743"/>
      <c r="H124" s="743"/>
      <c r="I124" s="743"/>
      <c r="J124" s="743"/>
      <c r="K124" s="743"/>
      <c r="L124" s="743"/>
      <c r="M124" s="743"/>
      <c r="N124" s="744"/>
      <c r="O124" s="744"/>
      <c r="P124" s="744"/>
      <c r="Q124" s="743"/>
      <c r="R124" s="743"/>
      <c r="S124" s="743"/>
    </row>
    <row r="125" spans="1:19" ht="13">
      <c r="A125" s="743"/>
      <c r="B125" s="743"/>
      <c r="C125" s="743"/>
      <c r="D125" s="743"/>
      <c r="E125" s="743"/>
      <c r="F125" s="743"/>
      <c r="G125" s="743"/>
      <c r="H125" s="743"/>
      <c r="I125" s="743"/>
      <c r="J125" s="743"/>
      <c r="K125" s="743"/>
      <c r="L125" s="743"/>
      <c r="M125" s="743"/>
      <c r="N125" s="744"/>
      <c r="O125" s="744"/>
      <c r="P125" s="744"/>
      <c r="Q125" s="743"/>
      <c r="R125" s="743"/>
      <c r="S125" s="743"/>
    </row>
    <row r="126" spans="1:19" ht="13">
      <c r="A126" s="743"/>
      <c r="B126" s="743"/>
      <c r="C126" s="743"/>
      <c r="D126" s="743"/>
      <c r="E126" s="743"/>
      <c r="F126" s="743"/>
      <c r="G126" s="743"/>
      <c r="H126" s="743"/>
      <c r="I126" s="743"/>
      <c r="J126" s="743"/>
      <c r="K126" s="743"/>
      <c r="L126" s="743"/>
      <c r="M126" s="743"/>
      <c r="N126" s="744"/>
      <c r="O126" s="744"/>
      <c r="P126" s="744"/>
      <c r="Q126" s="743"/>
      <c r="R126" s="743"/>
      <c r="S126" s="743"/>
    </row>
    <row r="127" spans="1:19" ht="13">
      <c r="A127" s="743"/>
      <c r="B127" s="743"/>
      <c r="C127" s="743"/>
      <c r="D127" s="743"/>
      <c r="E127" s="743"/>
      <c r="F127" s="743"/>
      <c r="G127" s="743"/>
      <c r="H127" s="743"/>
      <c r="I127" s="743"/>
      <c r="J127" s="743"/>
      <c r="K127" s="743"/>
      <c r="L127" s="743"/>
      <c r="M127" s="743"/>
      <c r="N127" s="744"/>
      <c r="O127" s="744"/>
      <c r="P127" s="744"/>
      <c r="Q127" s="743"/>
      <c r="R127" s="743"/>
      <c r="S127" s="743"/>
    </row>
    <row r="128" spans="1:19" ht="13">
      <c r="A128" s="743"/>
      <c r="B128" s="743"/>
      <c r="C128" s="743"/>
      <c r="D128" s="743"/>
      <c r="E128" s="743"/>
      <c r="F128" s="743"/>
      <c r="G128" s="743"/>
      <c r="H128" s="743"/>
      <c r="I128" s="743"/>
      <c r="J128" s="743"/>
      <c r="K128" s="743"/>
      <c r="L128" s="743"/>
      <c r="M128" s="743"/>
      <c r="N128" s="744"/>
      <c r="O128" s="744"/>
      <c r="P128" s="744"/>
      <c r="Q128" s="743"/>
      <c r="R128" s="743"/>
      <c r="S128" s="743"/>
    </row>
    <row r="129" spans="1:19" ht="13">
      <c r="A129" s="743"/>
      <c r="B129" s="743"/>
      <c r="C129" s="743"/>
      <c r="D129" s="743"/>
      <c r="E129" s="743"/>
      <c r="F129" s="743"/>
      <c r="G129" s="743"/>
      <c r="H129" s="743"/>
      <c r="I129" s="743"/>
      <c r="J129" s="743"/>
      <c r="K129" s="743"/>
      <c r="L129" s="743"/>
      <c r="M129" s="743"/>
      <c r="N129" s="744"/>
      <c r="O129" s="744"/>
      <c r="P129" s="744"/>
      <c r="Q129" s="743"/>
      <c r="R129" s="743"/>
      <c r="S129" s="743"/>
    </row>
    <row r="130" spans="1:19" ht="13">
      <c r="A130" s="743"/>
      <c r="B130" s="743"/>
      <c r="C130" s="743"/>
      <c r="D130" s="743"/>
      <c r="E130" s="743"/>
      <c r="F130" s="743"/>
      <c r="G130" s="743"/>
      <c r="H130" s="743"/>
      <c r="I130" s="743"/>
      <c r="J130" s="743"/>
      <c r="K130" s="743"/>
      <c r="L130" s="743"/>
      <c r="M130" s="743"/>
      <c r="N130" s="744"/>
      <c r="O130" s="744"/>
      <c r="P130" s="744"/>
      <c r="Q130" s="743"/>
      <c r="R130" s="743"/>
      <c r="S130" s="743"/>
    </row>
    <row r="131" spans="1:19" ht="13">
      <c r="A131" s="743"/>
      <c r="B131" s="743"/>
      <c r="C131" s="743"/>
      <c r="D131" s="743"/>
      <c r="E131" s="743"/>
      <c r="F131" s="743"/>
      <c r="G131" s="743"/>
      <c r="H131" s="743"/>
      <c r="I131" s="743"/>
      <c r="J131" s="743"/>
      <c r="K131" s="743"/>
      <c r="L131" s="743"/>
      <c r="M131" s="743"/>
      <c r="N131" s="744"/>
      <c r="O131" s="744"/>
      <c r="P131" s="744"/>
      <c r="Q131" s="743"/>
      <c r="R131" s="743"/>
      <c r="S131" s="743"/>
    </row>
    <row r="132" spans="1:19" ht="13">
      <c r="A132" s="743"/>
      <c r="B132" s="743"/>
      <c r="C132" s="743"/>
      <c r="D132" s="743"/>
      <c r="E132" s="743"/>
      <c r="F132" s="743"/>
      <c r="G132" s="743"/>
      <c r="H132" s="743"/>
      <c r="I132" s="743"/>
      <c r="J132" s="743"/>
      <c r="K132" s="743"/>
      <c r="L132" s="743"/>
      <c r="M132" s="743"/>
      <c r="N132" s="744"/>
      <c r="O132" s="744"/>
      <c r="P132" s="744"/>
      <c r="Q132" s="743"/>
      <c r="R132" s="743"/>
      <c r="S132" s="743"/>
    </row>
    <row r="133" spans="1:19" ht="13">
      <c r="A133" s="743"/>
      <c r="B133" s="743"/>
      <c r="C133" s="743"/>
      <c r="D133" s="743"/>
      <c r="E133" s="743"/>
      <c r="F133" s="743"/>
      <c r="G133" s="743"/>
      <c r="H133" s="743"/>
      <c r="I133" s="743"/>
      <c r="J133" s="743"/>
      <c r="K133" s="743"/>
      <c r="L133" s="743"/>
      <c r="M133" s="743"/>
      <c r="N133" s="744"/>
      <c r="O133" s="744"/>
      <c r="P133" s="744"/>
      <c r="Q133" s="743"/>
      <c r="R133" s="743"/>
      <c r="S133" s="743"/>
    </row>
    <row r="134" spans="1:19" ht="13">
      <c r="A134" s="743"/>
      <c r="B134" s="743"/>
      <c r="C134" s="743"/>
      <c r="D134" s="743"/>
      <c r="E134" s="743"/>
      <c r="F134" s="743"/>
      <c r="G134" s="743"/>
      <c r="H134" s="743"/>
      <c r="I134" s="743"/>
      <c r="J134" s="743"/>
      <c r="K134" s="743"/>
      <c r="L134" s="743"/>
      <c r="M134" s="743"/>
      <c r="N134" s="744"/>
      <c r="O134" s="744"/>
      <c r="P134" s="744"/>
      <c r="Q134" s="743"/>
      <c r="R134" s="743"/>
      <c r="S134" s="743"/>
    </row>
    <row r="135" spans="1:19" ht="13">
      <c r="A135" s="743"/>
      <c r="B135" s="743"/>
      <c r="C135" s="743"/>
      <c r="D135" s="743"/>
      <c r="E135" s="743"/>
      <c r="F135" s="743"/>
      <c r="G135" s="743"/>
      <c r="H135" s="743"/>
      <c r="I135" s="743"/>
      <c r="J135" s="743"/>
      <c r="K135" s="743"/>
      <c r="L135" s="743"/>
      <c r="M135" s="743"/>
      <c r="N135" s="744"/>
      <c r="O135" s="744"/>
      <c r="P135" s="744"/>
      <c r="Q135" s="743"/>
      <c r="R135" s="743"/>
      <c r="S135" s="743"/>
    </row>
    <row r="136" spans="1:19" ht="13">
      <c r="A136" s="743"/>
      <c r="B136" s="743"/>
      <c r="C136" s="743"/>
      <c r="D136" s="743"/>
      <c r="E136" s="743"/>
      <c r="F136" s="743"/>
      <c r="G136" s="743"/>
      <c r="H136" s="743"/>
      <c r="I136" s="743"/>
      <c r="J136" s="743"/>
      <c r="K136" s="743"/>
      <c r="L136" s="743"/>
      <c r="M136" s="743"/>
      <c r="N136" s="744"/>
      <c r="O136" s="744"/>
      <c r="P136" s="744"/>
      <c r="Q136" s="743"/>
      <c r="R136" s="743"/>
      <c r="S136" s="743"/>
    </row>
    <row r="137" spans="1:19" ht="13">
      <c r="A137" s="743"/>
      <c r="B137" s="743"/>
      <c r="C137" s="743"/>
      <c r="D137" s="743"/>
      <c r="E137" s="743"/>
      <c r="F137" s="743"/>
      <c r="G137" s="743"/>
      <c r="H137" s="743"/>
      <c r="I137" s="743"/>
      <c r="J137" s="743"/>
      <c r="K137" s="743"/>
      <c r="L137" s="743"/>
      <c r="M137" s="743"/>
      <c r="N137" s="744"/>
      <c r="O137" s="744"/>
      <c r="P137" s="744"/>
      <c r="Q137" s="743"/>
      <c r="R137" s="743"/>
      <c r="S137" s="743"/>
    </row>
    <row r="138" spans="1:19" ht="13">
      <c r="A138" s="743"/>
      <c r="B138" s="743"/>
      <c r="C138" s="743"/>
      <c r="D138" s="743"/>
      <c r="E138" s="743"/>
      <c r="F138" s="743"/>
      <c r="G138" s="743"/>
      <c r="H138" s="743"/>
      <c r="I138" s="743"/>
      <c r="J138" s="743"/>
      <c r="K138" s="743"/>
      <c r="L138" s="743"/>
      <c r="M138" s="743"/>
      <c r="N138" s="744"/>
      <c r="O138" s="744"/>
      <c r="P138" s="744"/>
      <c r="Q138" s="743"/>
      <c r="R138" s="743"/>
      <c r="S138" s="743"/>
    </row>
    <row r="139" spans="1:19" ht="13">
      <c r="A139" s="743"/>
      <c r="B139" s="743"/>
      <c r="C139" s="743"/>
      <c r="D139" s="743"/>
      <c r="E139" s="743"/>
      <c r="F139" s="743"/>
      <c r="G139" s="743"/>
      <c r="H139" s="743"/>
      <c r="I139" s="743"/>
      <c r="J139" s="743"/>
      <c r="K139" s="743"/>
      <c r="L139" s="743"/>
      <c r="M139" s="743"/>
      <c r="N139" s="744"/>
      <c r="O139" s="744"/>
      <c r="P139" s="744"/>
      <c r="Q139" s="743"/>
      <c r="R139" s="743"/>
      <c r="S139" s="743"/>
    </row>
    <row r="140" spans="1:19" ht="13">
      <c r="A140" s="743"/>
      <c r="B140" s="743"/>
      <c r="C140" s="743"/>
      <c r="D140" s="743"/>
      <c r="E140" s="743"/>
      <c r="F140" s="743"/>
      <c r="G140" s="743"/>
      <c r="H140" s="743"/>
      <c r="I140" s="743"/>
      <c r="J140" s="743"/>
      <c r="K140" s="743"/>
      <c r="L140" s="743"/>
      <c r="M140" s="743"/>
      <c r="N140" s="744"/>
      <c r="O140" s="744"/>
      <c r="P140" s="744"/>
      <c r="Q140" s="743"/>
      <c r="R140" s="743"/>
      <c r="S140" s="743"/>
    </row>
    <row r="141" spans="1:19" ht="13">
      <c r="A141" s="743"/>
      <c r="B141" s="743"/>
      <c r="C141" s="743"/>
      <c r="D141" s="743"/>
      <c r="E141" s="743"/>
      <c r="F141" s="743"/>
      <c r="G141" s="743"/>
      <c r="H141" s="743"/>
      <c r="I141" s="743"/>
      <c r="J141" s="743"/>
      <c r="K141" s="743"/>
      <c r="L141" s="743"/>
      <c r="M141" s="743"/>
      <c r="N141" s="744"/>
      <c r="O141" s="744"/>
      <c r="P141" s="744"/>
      <c r="Q141" s="743"/>
      <c r="R141" s="743"/>
      <c r="S141" s="743"/>
    </row>
    <row r="142" spans="1:19" ht="13">
      <c r="A142" s="743"/>
      <c r="B142" s="743"/>
      <c r="C142" s="743"/>
      <c r="D142" s="743"/>
      <c r="E142" s="743"/>
      <c r="F142" s="743"/>
      <c r="G142" s="743"/>
      <c r="H142" s="743"/>
      <c r="I142" s="743"/>
      <c r="J142" s="743"/>
      <c r="K142" s="743"/>
      <c r="L142" s="743"/>
      <c r="M142" s="743"/>
      <c r="N142" s="744"/>
      <c r="O142" s="744"/>
      <c r="P142" s="744"/>
      <c r="Q142" s="743"/>
      <c r="R142" s="743"/>
      <c r="S142" s="743"/>
    </row>
    <row r="143" spans="1:19" ht="13">
      <c r="A143" s="743"/>
      <c r="B143" s="743"/>
      <c r="C143" s="743"/>
      <c r="D143" s="743"/>
      <c r="E143" s="743"/>
      <c r="F143" s="743"/>
      <c r="G143" s="743"/>
      <c r="H143" s="743"/>
      <c r="I143" s="743"/>
      <c r="J143" s="743"/>
      <c r="K143" s="743"/>
      <c r="L143" s="743"/>
      <c r="M143" s="743"/>
      <c r="N143" s="744"/>
      <c r="O143" s="744"/>
      <c r="P143" s="744"/>
      <c r="Q143" s="743"/>
      <c r="R143" s="743"/>
      <c r="S143" s="743"/>
    </row>
    <row r="144" spans="1:19" ht="13">
      <c r="A144" s="743"/>
      <c r="B144" s="743"/>
      <c r="C144" s="743"/>
      <c r="D144" s="743"/>
      <c r="E144" s="743"/>
      <c r="F144" s="743"/>
      <c r="G144" s="743"/>
      <c r="H144" s="743"/>
      <c r="I144" s="743"/>
      <c r="J144" s="743"/>
      <c r="K144" s="743"/>
      <c r="L144" s="743"/>
      <c r="M144" s="743"/>
      <c r="N144" s="744"/>
      <c r="O144" s="744"/>
      <c r="P144" s="744"/>
      <c r="Q144" s="743"/>
      <c r="R144" s="743"/>
      <c r="S144" s="743"/>
    </row>
    <row r="145" spans="1:19" ht="13">
      <c r="A145" s="743"/>
      <c r="B145" s="743"/>
      <c r="C145" s="743"/>
      <c r="D145" s="743"/>
      <c r="E145" s="743"/>
      <c r="F145" s="743"/>
      <c r="G145" s="743"/>
      <c r="H145" s="743"/>
      <c r="I145" s="743"/>
      <c r="J145" s="743"/>
      <c r="K145" s="743"/>
      <c r="L145" s="743"/>
      <c r="M145" s="743"/>
      <c r="N145" s="744"/>
      <c r="O145" s="744"/>
      <c r="P145" s="744"/>
      <c r="Q145" s="743"/>
      <c r="R145" s="743"/>
      <c r="S145" s="743"/>
    </row>
    <row r="146" spans="1:19" ht="13">
      <c r="A146" s="743"/>
      <c r="B146" s="743"/>
      <c r="C146" s="743"/>
      <c r="D146" s="743"/>
      <c r="E146" s="743"/>
      <c r="F146" s="743"/>
      <c r="G146" s="743"/>
      <c r="H146" s="743"/>
      <c r="I146" s="743"/>
      <c r="J146" s="743"/>
      <c r="K146" s="743"/>
      <c r="L146" s="743"/>
      <c r="M146" s="743"/>
      <c r="N146" s="744"/>
      <c r="O146" s="744"/>
      <c r="P146" s="744"/>
      <c r="Q146" s="743"/>
      <c r="R146" s="743"/>
      <c r="S146" s="743"/>
    </row>
    <row r="147" spans="1:19" ht="13">
      <c r="A147" s="743"/>
      <c r="B147" s="743"/>
      <c r="C147" s="743"/>
      <c r="D147" s="743"/>
      <c r="E147" s="743"/>
      <c r="F147" s="743"/>
      <c r="G147" s="743"/>
      <c r="H147" s="743"/>
      <c r="I147" s="743"/>
      <c r="J147" s="743"/>
      <c r="K147" s="743"/>
      <c r="L147" s="743"/>
      <c r="M147" s="743"/>
      <c r="N147" s="744"/>
      <c r="O147" s="744"/>
      <c r="P147" s="744"/>
      <c r="Q147" s="743"/>
      <c r="R147" s="743"/>
      <c r="S147" s="743"/>
    </row>
    <row r="148" spans="1:19" ht="13">
      <c r="A148" s="743"/>
      <c r="B148" s="743"/>
      <c r="C148" s="743"/>
      <c r="D148" s="743"/>
      <c r="E148" s="743"/>
      <c r="F148" s="743"/>
      <c r="G148" s="743"/>
      <c r="H148" s="743"/>
      <c r="I148" s="743"/>
      <c r="J148" s="743"/>
      <c r="K148" s="743"/>
      <c r="L148" s="743"/>
      <c r="M148" s="743"/>
      <c r="N148" s="744"/>
      <c r="O148" s="744"/>
      <c r="P148" s="744"/>
      <c r="Q148" s="743"/>
      <c r="R148" s="743"/>
      <c r="S148" s="743"/>
    </row>
    <row r="149" spans="1:19" ht="13">
      <c r="A149" s="743"/>
      <c r="B149" s="743"/>
      <c r="C149" s="743"/>
      <c r="D149" s="743"/>
      <c r="E149" s="743"/>
      <c r="F149" s="743"/>
      <c r="G149" s="743"/>
      <c r="H149" s="743"/>
      <c r="I149" s="743"/>
      <c r="J149" s="743"/>
      <c r="K149" s="743"/>
      <c r="L149" s="743"/>
      <c r="M149" s="743"/>
      <c r="N149" s="744"/>
      <c r="O149" s="744"/>
      <c r="P149" s="744"/>
      <c r="Q149" s="743"/>
      <c r="R149" s="743"/>
      <c r="S149" s="743"/>
    </row>
    <row r="150" spans="1:19" ht="13">
      <c r="A150" s="743"/>
      <c r="B150" s="743"/>
      <c r="C150" s="743"/>
      <c r="D150" s="743"/>
      <c r="E150" s="743"/>
      <c r="F150" s="743"/>
      <c r="G150" s="743"/>
      <c r="H150" s="743"/>
      <c r="I150" s="743"/>
      <c r="J150" s="743"/>
      <c r="K150" s="743"/>
      <c r="L150" s="743"/>
      <c r="M150" s="743"/>
      <c r="N150" s="744"/>
      <c r="O150" s="744"/>
      <c r="P150" s="744"/>
      <c r="Q150" s="743"/>
      <c r="R150" s="743"/>
      <c r="S150" s="743"/>
    </row>
    <row r="151" spans="1:19" ht="13">
      <c r="A151" s="743"/>
      <c r="B151" s="743"/>
      <c r="C151" s="743"/>
      <c r="D151" s="743"/>
      <c r="E151" s="743"/>
      <c r="F151" s="743"/>
      <c r="G151" s="743"/>
      <c r="H151" s="743"/>
      <c r="I151" s="743"/>
      <c r="J151" s="743"/>
      <c r="K151" s="743"/>
      <c r="L151" s="743"/>
      <c r="M151" s="743"/>
      <c r="N151" s="744"/>
      <c r="O151" s="744"/>
      <c r="P151" s="744"/>
      <c r="Q151" s="743"/>
      <c r="R151" s="743"/>
      <c r="S151" s="743"/>
    </row>
    <row r="152" spans="1:19" ht="13">
      <c r="A152" s="743"/>
      <c r="B152" s="743"/>
      <c r="C152" s="743"/>
      <c r="D152" s="743"/>
      <c r="E152" s="743"/>
      <c r="F152" s="743"/>
      <c r="G152" s="743"/>
      <c r="H152" s="743"/>
      <c r="I152" s="743"/>
      <c r="J152" s="743"/>
      <c r="K152" s="743"/>
      <c r="L152" s="743"/>
      <c r="M152" s="743"/>
      <c r="N152" s="744"/>
      <c r="O152" s="744"/>
      <c r="P152" s="744"/>
      <c r="Q152" s="743"/>
      <c r="R152" s="743"/>
      <c r="S152" s="743"/>
    </row>
    <row r="153" spans="1:19" ht="13">
      <c r="A153" s="743"/>
      <c r="B153" s="743"/>
      <c r="C153" s="743"/>
      <c r="D153" s="743"/>
      <c r="E153" s="743"/>
      <c r="F153" s="743"/>
      <c r="G153" s="743"/>
      <c r="H153" s="743"/>
      <c r="I153" s="743"/>
      <c r="J153" s="743"/>
      <c r="K153" s="743"/>
      <c r="L153" s="743"/>
      <c r="M153" s="743"/>
      <c r="N153" s="744"/>
      <c r="O153" s="744"/>
      <c r="P153" s="744"/>
      <c r="Q153" s="743"/>
      <c r="R153" s="743"/>
      <c r="S153" s="743"/>
    </row>
    <row r="154" spans="1:19" ht="13">
      <c r="A154" s="743"/>
      <c r="B154" s="743"/>
      <c r="C154" s="743"/>
      <c r="D154" s="743"/>
      <c r="E154" s="743"/>
      <c r="F154" s="743"/>
      <c r="G154" s="743"/>
      <c r="H154" s="743"/>
      <c r="I154" s="743"/>
      <c r="J154" s="743"/>
      <c r="K154" s="743"/>
      <c r="L154" s="743"/>
      <c r="M154" s="743"/>
      <c r="N154" s="744"/>
      <c r="O154" s="744"/>
      <c r="P154" s="744"/>
      <c r="Q154" s="743"/>
      <c r="R154" s="743"/>
      <c r="S154" s="743"/>
    </row>
    <row r="155" spans="1:19" ht="13">
      <c r="A155" s="743"/>
      <c r="B155" s="743"/>
      <c r="C155" s="743"/>
      <c r="D155" s="743"/>
      <c r="E155" s="743"/>
      <c r="F155" s="743"/>
      <c r="G155" s="743"/>
      <c r="H155" s="743"/>
      <c r="I155" s="743"/>
      <c r="J155" s="743"/>
      <c r="K155" s="743"/>
      <c r="L155" s="743"/>
      <c r="M155" s="743"/>
      <c r="N155" s="744"/>
      <c r="O155" s="744"/>
      <c r="P155" s="744"/>
      <c r="Q155" s="743"/>
      <c r="R155" s="743"/>
      <c r="S155" s="743"/>
    </row>
    <row r="156" spans="1:19" ht="13">
      <c r="A156" s="743"/>
      <c r="B156" s="743"/>
      <c r="C156" s="743"/>
      <c r="D156" s="743"/>
      <c r="E156" s="743"/>
      <c r="F156" s="743"/>
      <c r="G156" s="743"/>
      <c r="H156" s="743"/>
      <c r="I156" s="743"/>
      <c r="J156" s="743"/>
      <c r="K156" s="743"/>
      <c r="L156" s="743"/>
      <c r="M156" s="743"/>
      <c r="N156" s="744"/>
      <c r="O156" s="744"/>
      <c r="P156" s="744"/>
      <c r="Q156" s="743"/>
      <c r="R156" s="743"/>
      <c r="S156" s="743"/>
    </row>
    <row r="157" spans="1:19" ht="13">
      <c r="A157" s="743"/>
      <c r="B157" s="743"/>
      <c r="C157" s="743"/>
      <c r="D157" s="743"/>
      <c r="E157" s="743"/>
      <c r="F157" s="743"/>
      <c r="G157" s="743"/>
      <c r="H157" s="743"/>
      <c r="I157" s="743"/>
      <c r="J157" s="743"/>
      <c r="K157" s="743"/>
      <c r="L157" s="743"/>
      <c r="M157" s="743"/>
      <c r="N157" s="744"/>
      <c r="O157" s="744"/>
      <c r="P157" s="744"/>
      <c r="Q157" s="743"/>
      <c r="R157" s="743"/>
      <c r="S157" s="743"/>
    </row>
    <row r="158" spans="1:19" ht="13">
      <c r="A158" s="743"/>
      <c r="B158" s="743"/>
      <c r="C158" s="743"/>
      <c r="D158" s="743"/>
      <c r="E158" s="743"/>
      <c r="F158" s="743"/>
      <c r="G158" s="743"/>
      <c r="H158" s="743"/>
      <c r="I158" s="743"/>
      <c r="J158" s="743"/>
      <c r="K158" s="743"/>
      <c r="L158" s="743"/>
      <c r="M158" s="743"/>
      <c r="N158" s="744"/>
      <c r="O158" s="744"/>
      <c r="P158" s="744"/>
      <c r="Q158" s="743"/>
      <c r="R158" s="743"/>
      <c r="S158" s="743"/>
    </row>
    <row r="159" spans="1:19" ht="13">
      <c r="A159" s="743"/>
      <c r="B159" s="743"/>
      <c r="C159" s="743"/>
      <c r="D159" s="743"/>
      <c r="E159" s="743"/>
      <c r="F159" s="743"/>
      <c r="G159" s="743"/>
      <c r="H159" s="743"/>
      <c r="I159" s="743"/>
      <c r="J159" s="743"/>
      <c r="K159" s="743"/>
      <c r="L159" s="743"/>
      <c r="M159" s="743"/>
      <c r="N159" s="744"/>
      <c r="O159" s="744"/>
      <c r="P159" s="744"/>
      <c r="Q159" s="743"/>
      <c r="R159" s="743"/>
      <c r="S159" s="743"/>
    </row>
    <row r="160" spans="1:19" ht="13">
      <c r="A160" s="743"/>
      <c r="B160" s="743"/>
      <c r="C160" s="743"/>
      <c r="D160" s="743"/>
      <c r="E160" s="743"/>
      <c r="F160" s="743"/>
      <c r="G160" s="743"/>
      <c r="H160" s="743"/>
      <c r="I160" s="743"/>
      <c r="J160" s="743"/>
      <c r="K160" s="743"/>
      <c r="L160" s="743"/>
      <c r="M160" s="743"/>
      <c r="N160" s="744"/>
      <c r="O160" s="744"/>
      <c r="P160" s="744"/>
      <c r="Q160" s="743"/>
      <c r="R160" s="743"/>
      <c r="S160" s="743"/>
    </row>
    <row r="161" spans="1:19" ht="13">
      <c r="A161" s="743"/>
      <c r="B161" s="743"/>
      <c r="C161" s="743"/>
      <c r="D161" s="743"/>
      <c r="E161" s="743"/>
      <c r="F161" s="743"/>
      <c r="G161" s="743"/>
      <c r="H161" s="743"/>
      <c r="I161" s="743"/>
      <c r="J161" s="743"/>
      <c r="K161" s="743"/>
      <c r="L161" s="743"/>
      <c r="M161" s="743"/>
      <c r="N161" s="744"/>
      <c r="O161" s="744"/>
      <c r="P161" s="744"/>
      <c r="Q161" s="743"/>
      <c r="R161" s="743"/>
      <c r="S161" s="743"/>
    </row>
    <row r="162" spans="1:19" ht="13">
      <c r="A162" s="743"/>
      <c r="B162" s="743"/>
      <c r="C162" s="743"/>
      <c r="D162" s="743"/>
      <c r="E162" s="743"/>
      <c r="F162" s="743"/>
      <c r="G162" s="743"/>
      <c r="H162" s="743"/>
      <c r="I162" s="743"/>
      <c r="J162" s="743"/>
      <c r="K162" s="743"/>
      <c r="L162" s="743"/>
      <c r="M162" s="743"/>
      <c r="N162" s="744"/>
      <c r="O162" s="744"/>
      <c r="P162" s="744"/>
      <c r="Q162" s="743"/>
      <c r="R162" s="743"/>
      <c r="S162" s="743"/>
    </row>
    <row r="163" spans="1:19" ht="13">
      <c r="A163" s="743"/>
      <c r="B163" s="743"/>
      <c r="C163" s="743"/>
      <c r="D163" s="743"/>
      <c r="E163" s="743"/>
      <c r="F163" s="743"/>
      <c r="G163" s="743"/>
      <c r="H163" s="743"/>
      <c r="I163" s="743"/>
      <c r="J163" s="743"/>
      <c r="K163" s="743"/>
      <c r="L163" s="743"/>
      <c r="M163" s="743"/>
      <c r="N163" s="744"/>
      <c r="O163" s="744"/>
      <c r="P163" s="744"/>
      <c r="Q163" s="743"/>
      <c r="R163" s="743"/>
      <c r="S163" s="743"/>
    </row>
    <row r="164" spans="1:19" ht="13">
      <c r="A164" s="743"/>
      <c r="B164" s="743"/>
      <c r="C164" s="743"/>
      <c r="D164" s="743"/>
      <c r="E164" s="743"/>
      <c r="F164" s="743"/>
      <c r="G164" s="743"/>
      <c r="H164" s="743"/>
      <c r="I164" s="743"/>
      <c r="J164" s="743"/>
      <c r="K164" s="743"/>
      <c r="L164" s="743"/>
      <c r="M164" s="743"/>
      <c r="N164" s="744"/>
      <c r="O164" s="744"/>
      <c r="P164" s="744"/>
      <c r="Q164" s="743"/>
      <c r="R164" s="743"/>
      <c r="S164" s="743"/>
    </row>
    <row r="165" spans="1:19" ht="13">
      <c r="A165" s="743"/>
      <c r="B165" s="743"/>
      <c r="C165" s="743"/>
      <c r="D165" s="743"/>
      <c r="E165" s="743"/>
      <c r="F165" s="743"/>
      <c r="G165" s="743"/>
      <c r="H165" s="743"/>
      <c r="I165" s="743"/>
      <c r="J165" s="743"/>
      <c r="K165" s="743"/>
      <c r="L165" s="743"/>
      <c r="M165" s="743"/>
      <c r="N165" s="744"/>
      <c r="O165" s="744"/>
      <c r="P165" s="744"/>
      <c r="Q165" s="743"/>
      <c r="R165" s="743"/>
      <c r="S165" s="743"/>
    </row>
    <row r="166" spans="1:19" ht="13">
      <c r="A166" s="743"/>
      <c r="B166" s="743"/>
      <c r="C166" s="743"/>
      <c r="D166" s="743"/>
      <c r="E166" s="743"/>
      <c r="F166" s="743"/>
      <c r="G166" s="743"/>
      <c r="H166" s="743"/>
      <c r="I166" s="743"/>
      <c r="J166" s="743"/>
      <c r="K166" s="743"/>
      <c r="L166" s="743"/>
      <c r="M166" s="743"/>
      <c r="N166" s="744"/>
      <c r="O166" s="744"/>
      <c r="P166" s="744"/>
      <c r="Q166" s="743"/>
      <c r="R166" s="743"/>
      <c r="S166" s="743"/>
    </row>
    <row r="167" spans="1:19" ht="13">
      <c r="A167" s="743"/>
      <c r="B167" s="743"/>
      <c r="C167" s="743"/>
      <c r="D167" s="743"/>
      <c r="E167" s="743"/>
      <c r="F167" s="743"/>
      <c r="G167" s="743"/>
      <c r="H167" s="743"/>
      <c r="I167" s="743"/>
      <c r="J167" s="743"/>
      <c r="K167" s="743"/>
      <c r="L167" s="743"/>
      <c r="M167" s="743"/>
      <c r="N167" s="744"/>
      <c r="O167" s="744"/>
      <c r="P167" s="744"/>
      <c r="Q167" s="743"/>
      <c r="R167" s="743"/>
      <c r="S167" s="743"/>
    </row>
    <row r="168" spans="1:19" ht="13">
      <c r="A168" s="743"/>
      <c r="B168" s="743"/>
      <c r="C168" s="743"/>
      <c r="D168" s="743"/>
      <c r="E168" s="743"/>
      <c r="F168" s="743"/>
      <c r="G168" s="743"/>
      <c r="H168" s="743"/>
      <c r="I168" s="743"/>
      <c r="J168" s="743"/>
      <c r="K168" s="743"/>
      <c r="L168" s="743"/>
      <c r="M168" s="743"/>
      <c r="N168" s="744"/>
      <c r="O168" s="744"/>
      <c r="P168" s="744"/>
      <c r="Q168" s="743"/>
      <c r="R168" s="743"/>
      <c r="S168" s="743"/>
    </row>
    <row r="169" spans="1:19" ht="13">
      <c r="A169" s="743"/>
      <c r="B169" s="743"/>
      <c r="C169" s="743"/>
      <c r="D169" s="743"/>
      <c r="E169" s="743"/>
      <c r="F169" s="743"/>
      <c r="G169" s="743"/>
      <c r="H169" s="743"/>
      <c r="I169" s="743"/>
      <c r="J169" s="743"/>
      <c r="K169" s="743"/>
      <c r="L169" s="743"/>
      <c r="M169" s="743"/>
      <c r="N169" s="744"/>
      <c r="O169" s="744"/>
      <c r="P169" s="744"/>
      <c r="Q169" s="743"/>
      <c r="R169" s="743"/>
      <c r="S169" s="743"/>
    </row>
    <row r="170" spans="1:19" ht="13">
      <c r="A170" s="743"/>
      <c r="B170" s="743"/>
      <c r="C170" s="743"/>
      <c r="D170" s="743"/>
      <c r="E170" s="743"/>
      <c r="F170" s="743"/>
      <c r="G170" s="743"/>
      <c r="H170" s="743"/>
      <c r="I170" s="743"/>
      <c r="J170" s="743"/>
      <c r="K170" s="743"/>
      <c r="L170" s="743"/>
      <c r="M170" s="743"/>
      <c r="N170" s="744"/>
      <c r="O170" s="744"/>
      <c r="P170" s="744"/>
      <c r="Q170" s="743"/>
      <c r="R170" s="743"/>
      <c r="S170" s="743"/>
    </row>
    <row r="171" spans="1:19" ht="13">
      <c r="A171" s="743"/>
      <c r="B171" s="743"/>
      <c r="C171" s="743"/>
      <c r="D171" s="743"/>
      <c r="E171" s="743"/>
      <c r="F171" s="743"/>
      <c r="G171" s="743"/>
      <c r="H171" s="743"/>
      <c r="I171" s="743"/>
      <c r="J171" s="743"/>
      <c r="K171" s="743"/>
      <c r="L171" s="743"/>
      <c r="M171" s="743"/>
      <c r="N171" s="744"/>
      <c r="O171" s="744"/>
      <c r="P171" s="744"/>
      <c r="Q171" s="743"/>
      <c r="R171" s="743"/>
      <c r="S171" s="743"/>
    </row>
    <row r="172" spans="1:19" ht="13">
      <c r="A172" s="743"/>
      <c r="B172" s="743"/>
      <c r="C172" s="743"/>
      <c r="D172" s="743"/>
      <c r="E172" s="743"/>
      <c r="F172" s="743"/>
      <c r="G172" s="743"/>
      <c r="H172" s="743"/>
      <c r="I172" s="743"/>
      <c r="J172" s="743"/>
      <c r="K172" s="743"/>
      <c r="L172" s="743"/>
      <c r="M172" s="743"/>
      <c r="N172" s="744"/>
      <c r="O172" s="744"/>
      <c r="P172" s="744"/>
      <c r="Q172" s="743"/>
      <c r="R172" s="743"/>
      <c r="S172" s="743"/>
    </row>
    <row r="173" spans="1:19" ht="13">
      <c r="A173" s="743"/>
      <c r="B173" s="743"/>
      <c r="C173" s="743"/>
      <c r="D173" s="743"/>
      <c r="E173" s="743"/>
      <c r="F173" s="743"/>
      <c r="G173" s="743"/>
      <c r="H173" s="743"/>
      <c r="I173" s="743"/>
      <c r="J173" s="743"/>
      <c r="K173" s="743"/>
      <c r="L173" s="743"/>
      <c r="M173" s="743"/>
      <c r="N173" s="744"/>
      <c r="O173" s="744"/>
      <c r="P173" s="744"/>
      <c r="Q173" s="743"/>
      <c r="R173" s="743"/>
      <c r="S173" s="743"/>
    </row>
    <row r="174" spans="1:19" ht="13">
      <c r="A174" s="743"/>
      <c r="B174" s="743"/>
      <c r="C174" s="743"/>
      <c r="D174" s="743"/>
      <c r="E174" s="743"/>
      <c r="F174" s="743"/>
      <c r="G174" s="743"/>
      <c r="H174" s="743"/>
      <c r="I174" s="743"/>
      <c r="J174" s="743"/>
      <c r="K174" s="743"/>
      <c r="L174" s="743"/>
      <c r="M174" s="743"/>
      <c r="N174" s="744"/>
      <c r="O174" s="744"/>
      <c r="P174" s="744"/>
      <c r="Q174" s="743"/>
      <c r="R174" s="743"/>
      <c r="S174" s="743"/>
    </row>
    <row r="175" spans="1:19" ht="13">
      <c r="A175" s="743"/>
      <c r="B175" s="743"/>
      <c r="C175" s="743"/>
      <c r="D175" s="743"/>
      <c r="E175" s="743"/>
      <c r="F175" s="743"/>
      <c r="G175" s="743"/>
      <c r="H175" s="743"/>
      <c r="I175" s="743"/>
      <c r="J175" s="743"/>
      <c r="K175" s="743"/>
      <c r="L175" s="743"/>
      <c r="M175" s="743"/>
      <c r="N175" s="744"/>
      <c r="O175" s="744"/>
      <c r="P175" s="744"/>
      <c r="Q175" s="743"/>
      <c r="R175" s="743"/>
      <c r="S175" s="743"/>
    </row>
    <row r="176" spans="1:19" ht="13">
      <c r="A176" s="743"/>
      <c r="B176" s="743"/>
      <c r="C176" s="743"/>
      <c r="D176" s="743"/>
      <c r="E176" s="743"/>
      <c r="F176" s="743"/>
      <c r="G176" s="743"/>
      <c r="H176" s="743"/>
      <c r="I176" s="743"/>
      <c r="J176" s="743"/>
      <c r="K176" s="743"/>
      <c r="L176" s="743"/>
      <c r="M176" s="743"/>
      <c r="N176" s="744"/>
      <c r="O176" s="744"/>
      <c r="P176" s="744"/>
      <c r="Q176" s="743"/>
      <c r="R176" s="743"/>
      <c r="S176" s="743"/>
    </row>
    <row r="177" spans="1:19" ht="13">
      <c r="A177" s="743"/>
      <c r="B177" s="743"/>
      <c r="C177" s="743"/>
      <c r="D177" s="743"/>
      <c r="E177" s="743"/>
      <c r="F177" s="743"/>
      <c r="G177" s="743"/>
      <c r="H177" s="743"/>
      <c r="I177" s="743"/>
      <c r="J177" s="743"/>
      <c r="K177" s="743"/>
      <c r="L177" s="743"/>
      <c r="M177" s="743"/>
      <c r="N177" s="744"/>
      <c r="O177" s="744"/>
      <c r="P177" s="744"/>
      <c r="Q177" s="743"/>
      <c r="R177" s="743"/>
      <c r="S177" s="743"/>
    </row>
    <row r="178" spans="1:19" ht="13">
      <c r="A178" s="743"/>
      <c r="B178" s="743"/>
      <c r="C178" s="743"/>
      <c r="D178" s="743"/>
      <c r="E178" s="743"/>
      <c r="F178" s="743"/>
      <c r="G178" s="743"/>
      <c r="H178" s="743"/>
      <c r="I178" s="743"/>
      <c r="J178" s="743"/>
      <c r="K178" s="743"/>
      <c r="L178" s="743"/>
      <c r="M178" s="743"/>
      <c r="N178" s="744"/>
      <c r="O178" s="744"/>
      <c r="P178" s="744"/>
      <c r="Q178" s="743"/>
      <c r="R178" s="743"/>
      <c r="S178" s="743"/>
    </row>
    <row r="179" spans="1:19" ht="13">
      <c r="A179" s="743"/>
      <c r="B179" s="743"/>
      <c r="C179" s="743"/>
      <c r="D179" s="743"/>
      <c r="E179" s="743"/>
      <c r="F179" s="743"/>
      <c r="G179" s="743"/>
      <c r="H179" s="743"/>
      <c r="I179" s="743"/>
      <c r="J179" s="743"/>
      <c r="K179" s="743"/>
      <c r="L179" s="743"/>
      <c r="M179" s="743"/>
      <c r="N179" s="744"/>
      <c r="O179" s="744"/>
      <c r="P179" s="744"/>
      <c r="Q179" s="743"/>
      <c r="R179" s="743"/>
      <c r="S179" s="743"/>
    </row>
    <row r="180" spans="1:19" ht="13">
      <c r="A180" s="743"/>
      <c r="B180" s="743"/>
      <c r="C180" s="743"/>
      <c r="D180" s="743"/>
      <c r="E180" s="743"/>
      <c r="F180" s="743"/>
      <c r="G180" s="743"/>
      <c r="H180" s="743"/>
      <c r="I180" s="743"/>
      <c r="J180" s="743"/>
      <c r="K180" s="743"/>
      <c r="L180" s="743"/>
      <c r="M180" s="743"/>
      <c r="N180" s="744"/>
      <c r="O180" s="744"/>
      <c r="P180" s="744"/>
      <c r="Q180" s="743"/>
      <c r="R180" s="743"/>
      <c r="S180" s="743"/>
    </row>
    <row r="181" spans="1:19" ht="13">
      <c r="A181" s="743"/>
      <c r="B181" s="743"/>
      <c r="C181" s="743"/>
      <c r="D181" s="743"/>
      <c r="E181" s="743"/>
      <c r="F181" s="743"/>
      <c r="G181" s="743"/>
      <c r="H181" s="743"/>
      <c r="I181" s="743"/>
      <c r="J181" s="743"/>
      <c r="K181" s="743"/>
      <c r="L181" s="743"/>
      <c r="M181" s="743"/>
      <c r="N181" s="744"/>
      <c r="O181" s="744"/>
      <c r="P181" s="744"/>
      <c r="Q181" s="743"/>
      <c r="R181" s="743"/>
      <c r="S181" s="743"/>
    </row>
    <row r="182" spans="1:19" ht="13">
      <c r="A182" s="743"/>
      <c r="B182" s="743"/>
      <c r="C182" s="743"/>
      <c r="D182" s="743"/>
      <c r="E182" s="743"/>
      <c r="F182" s="743"/>
      <c r="G182" s="743"/>
      <c r="H182" s="743"/>
      <c r="I182" s="743"/>
      <c r="J182" s="743"/>
      <c r="K182" s="743"/>
      <c r="L182" s="743"/>
      <c r="M182" s="743"/>
      <c r="N182" s="744"/>
      <c r="O182" s="744"/>
      <c r="P182" s="744"/>
      <c r="Q182" s="743"/>
      <c r="R182" s="743"/>
      <c r="S182" s="743"/>
    </row>
    <row r="183" spans="1:19" ht="13">
      <c r="A183" s="743"/>
      <c r="B183" s="743"/>
      <c r="C183" s="743"/>
      <c r="D183" s="743"/>
      <c r="E183" s="743"/>
      <c r="F183" s="743"/>
      <c r="G183" s="743"/>
      <c r="H183" s="743"/>
      <c r="I183" s="743"/>
      <c r="J183" s="743"/>
      <c r="K183" s="743"/>
      <c r="L183" s="743"/>
      <c r="M183" s="743"/>
      <c r="N183" s="744"/>
      <c r="O183" s="744"/>
      <c r="P183" s="744"/>
      <c r="Q183" s="743"/>
      <c r="R183" s="743"/>
      <c r="S183" s="743"/>
    </row>
    <row r="184" spans="1:19" ht="13">
      <c r="A184" s="743"/>
      <c r="B184" s="743"/>
      <c r="C184" s="743"/>
      <c r="D184" s="743"/>
      <c r="E184" s="743"/>
      <c r="F184" s="743"/>
      <c r="G184" s="743"/>
      <c r="H184" s="743"/>
      <c r="I184" s="743"/>
      <c r="J184" s="743"/>
      <c r="K184" s="743"/>
      <c r="L184" s="743"/>
      <c r="M184" s="743"/>
      <c r="N184" s="744"/>
      <c r="O184" s="744"/>
      <c r="P184" s="744"/>
      <c r="Q184" s="743"/>
      <c r="R184" s="743"/>
      <c r="S184" s="743"/>
    </row>
    <row r="185" spans="1:19" ht="13">
      <c r="A185" s="743"/>
      <c r="B185" s="743"/>
      <c r="C185" s="743"/>
      <c r="D185" s="743"/>
      <c r="E185" s="743"/>
      <c r="F185" s="743"/>
      <c r="G185" s="743"/>
      <c r="H185" s="743"/>
      <c r="I185" s="743"/>
      <c r="J185" s="743"/>
      <c r="K185" s="743"/>
      <c r="L185" s="743"/>
      <c r="M185" s="743"/>
      <c r="N185" s="744"/>
      <c r="O185" s="744"/>
      <c r="P185" s="744"/>
      <c r="Q185" s="743"/>
      <c r="R185" s="743"/>
      <c r="S185" s="743"/>
    </row>
    <row r="186" spans="1:19" ht="13">
      <c r="A186" s="743"/>
      <c r="B186" s="743"/>
      <c r="C186" s="743"/>
      <c r="D186" s="743"/>
      <c r="E186" s="743"/>
      <c r="F186" s="743"/>
      <c r="G186" s="743"/>
      <c r="H186" s="743"/>
      <c r="I186" s="743"/>
      <c r="J186" s="743"/>
      <c r="K186" s="743"/>
      <c r="L186" s="743"/>
      <c r="M186" s="743"/>
      <c r="N186" s="744"/>
      <c r="O186" s="744"/>
      <c r="P186" s="744"/>
      <c r="Q186" s="743"/>
      <c r="R186" s="743"/>
      <c r="S186" s="743"/>
    </row>
    <row r="187" spans="1:19" ht="13">
      <c r="A187" s="743"/>
      <c r="B187" s="743"/>
      <c r="C187" s="743"/>
      <c r="D187" s="743"/>
      <c r="E187" s="743"/>
      <c r="F187" s="743"/>
      <c r="G187" s="743"/>
      <c r="H187" s="743"/>
      <c r="I187" s="743"/>
      <c r="J187" s="743"/>
      <c r="K187" s="743"/>
      <c r="L187" s="743"/>
      <c r="M187" s="743"/>
      <c r="N187" s="744"/>
      <c r="O187" s="744"/>
      <c r="P187" s="744"/>
      <c r="Q187" s="743"/>
      <c r="R187" s="743"/>
      <c r="S187" s="743"/>
    </row>
    <row r="188" spans="1:19" ht="13">
      <c r="A188" s="743"/>
      <c r="B188" s="743"/>
      <c r="C188" s="743"/>
      <c r="D188" s="743"/>
      <c r="E188" s="743"/>
      <c r="F188" s="743"/>
      <c r="G188" s="743"/>
      <c r="H188" s="743"/>
      <c r="I188" s="743"/>
      <c r="J188" s="743"/>
      <c r="K188" s="743"/>
      <c r="L188" s="743"/>
      <c r="M188" s="743"/>
      <c r="N188" s="744"/>
      <c r="O188" s="744"/>
      <c r="P188" s="744"/>
      <c r="Q188" s="743"/>
      <c r="R188" s="743"/>
      <c r="S188" s="743"/>
    </row>
    <row r="189" spans="1:19" ht="13">
      <c r="A189" s="743"/>
      <c r="B189" s="743"/>
      <c r="C189" s="743"/>
      <c r="D189" s="743"/>
      <c r="E189" s="743"/>
      <c r="F189" s="743"/>
      <c r="G189" s="743"/>
      <c r="H189" s="743"/>
      <c r="I189" s="743"/>
      <c r="J189" s="743"/>
      <c r="K189" s="743"/>
      <c r="L189" s="743"/>
      <c r="M189" s="743"/>
      <c r="N189" s="744"/>
      <c r="O189" s="744"/>
      <c r="P189" s="744"/>
      <c r="Q189" s="743"/>
      <c r="R189" s="743"/>
      <c r="S189" s="743"/>
    </row>
    <row r="190" spans="1:19" ht="13">
      <c r="A190" s="743"/>
      <c r="B190" s="743"/>
      <c r="C190" s="743"/>
      <c r="D190" s="743"/>
      <c r="E190" s="743"/>
      <c r="F190" s="743"/>
      <c r="G190" s="743"/>
      <c r="H190" s="743"/>
      <c r="I190" s="743"/>
      <c r="J190" s="743"/>
      <c r="K190" s="743"/>
      <c r="L190" s="743"/>
      <c r="M190" s="743"/>
      <c r="N190" s="744"/>
      <c r="O190" s="744"/>
      <c r="P190" s="744"/>
      <c r="Q190" s="743"/>
      <c r="R190" s="743"/>
      <c r="S190" s="743"/>
    </row>
    <row r="191" spans="1:19" ht="13">
      <c r="A191" s="743"/>
      <c r="B191" s="743"/>
      <c r="C191" s="743"/>
      <c r="D191" s="743"/>
      <c r="E191" s="743"/>
      <c r="F191" s="743"/>
      <c r="G191" s="743"/>
      <c r="H191" s="743"/>
      <c r="I191" s="743"/>
      <c r="J191" s="743"/>
      <c r="K191" s="743"/>
      <c r="L191" s="743"/>
      <c r="M191" s="743"/>
      <c r="N191" s="744"/>
      <c r="O191" s="744"/>
      <c r="P191" s="744"/>
      <c r="Q191" s="743"/>
      <c r="R191" s="743"/>
      <c r="S191" s="743"/>
    </row>
    <row r="192" spans="1:19" ht="13">
      <c r="A192" s="743"/>
      <c r="B192" s="743"/>
      <c r="C192" s="743"/>
      <c r="D192" s="743"/>
      <c r="E192" s="743"/>
      <c r="F192" s="743"/>
      <c r="G192" s="743"/>
      <c r="H192" s="743"/>
      <c r="I192" s="743"/>
      <c r="J192" s="743"/>
      <c r="K192" s="743"/>
      <c r="L192" s="743"/>
      <c r="M192" s="743"/>
      <c r="N192" s="744"/>
      <c r="O192" s="744"/>
      <c r="P192" s="744"/>
      <c r="Q192" s="743"/>
      <c r="R192" s="743"/>
      <c r="S192" s="743"/>
    </row>
    <row r="193" spans="1:19" ht="13">
      <c r="A193" s="743"/>
      <c r="B193" s="743"/>
      <c r="C193" s="743"/>
      <c r="D193" s="743"/>
      <c r="E193" s="743"/>
      <c r="F193" s="743"/>
      <c r="G193" s="743"/>
      <c r="H193" s="743"/>
      <c r="I193" s="743"/>
      <c r="J193" s="743"/>
      <c r="K193" s="743"/>
      <c r="L193" s="743"/>
      <c r="M193" s="743"/>
      <c r="N193" s="744"/>
      <c r="O193" s="744"/>
      <c r="P193" s="744"/>
      <c r="Q193" s="743"/>
      <c r="R193" s="743"/>
      <c r="S193" s="743"/>
    </row>
    <row r="194" spans="1:19" ht="13">
      <c r="A194" s="743"/>
      <c r="B194" s="743"/>
      <c r="C194" s="743"/>
      <c r="D194" s="743"/>
      <c r="E194" s="743"/>
      <c r="F194" s="743"/>
      <c r="G194" s="743"/>
      <c r="H194" s="743"/>
      <c r="I194" s="743"/>
      <c r="J194" s="743"/>
      <c r="K194" s="743"/>
      <c r="L194" s="743"/>
      <c r="M194" s="743"/>
      <c r="N194" s="744"/>
      <c r="O194" s="744"/>
      <c r="P194" s="744"/>
      <c r="Q194" s="743"/>
      <c r="R194" s="743"/>
      <c r="S194" s="743"/>
    </row>
    <row r="195" spans="1:19" ht="13">
      <c r="A195" s="743"/>
      <c r="B195" s="743"/>
      <c r="C195" s="743"/>
      <c r="D195" s="743"/>
      <c r="E195" s="743"/>
      <c r="F195" s="743"/>
      <c r="G195" s="743"/>
      <c r="H195" s="743"/>
      <c r="I195" s="743"/>
      <c r="J195" s="743"/>
      <c r="K195" s="743"/>
      <c r="L195" s="743"/>
      <c r="M195" s="743"/>
      <c r="N195" s="744"/>
      <c r="O195" s="744"/>
      <c r="P195" s="744"/>
      <c r="Q195" s="743"/>
      <c r="R195" s="743"/>
      <c r="S195" s="743"/>
    </row>
    <row r="196" spans="1:19" ht="13">
      <c r="A196" s="743"/>
      <c r="B196" s="743"/>
      <c r="C196" s="743"/>
      <c r="D196" s="743"/>
      <c r="E196" s="743"/>
      <c r="F196" s="743"/>
      <c r="G196" s="743"/>
      <c r="H196" s="743"/>
      <c r="I196" s="743"/>
      <c r="J196" s="743"/>
      <c r="K196" s="743"/>
      <c r="L196" s="743"/>
      <c r="M196" s="743"/>
      <c r="N196" s="744"/>
      <c r="O196" s="744"/>
      <c r="P196" s="744"/>
      <c r="Q196" s="743"/>
      <c r="R196" s="743"/>
      <c r="S196" s="743"/>
    </row>
    <row r="197" spans="1:19" ht="13">
      <c r="A197" s="743"/>
      <c r="B197" s="743"/>
      <c r="C197" s="743"/>
      <c r="D197" s="743"/>
      <c r="E197" s="743"/>
      <c r="F197" s="743"/>
      <c r="G197" s="743"/>
      <c r="H197" s="743"/>
      <c r="I197" s="743"/>
      <c r="J197" s="743"/>
      <c r="K197" s="743"/>
      <c r="L197" s="743"/>
      <c r="M197" s="743"/>
      <c r="N197" s="744"/>
      <c r="O197" s="744"/>
      <c r="P197" s="744"/>
      <c r="Q197" s="743"/>
      <c r="R197" s="743"/>
      <c r="S197" s="743"/>
    </row>
    <row r="198" spans="1:19" ht="13">
      <c r="A198" s="743"/>
      <c r="B198" s="743"/>
      <c r="C198" s="743"/>
      <c r="D198" s="743"/>
      <c r="E198" s="743"/>
      <c r="F198" s="743"/>
      <c r="G198" s="743"/>
      <c r="H198" s="743"/>
      <c r="I198" s="743"/>
      <c r="J198" s="743"/>
      <c r="K198" s="743"/>
      <c r="L198" s="743"/>
      <c r="M198" s="743"/>
      <c r="N198" s="744"/>
      <c r="O198" s="744"/>
      <c r="P198" s="744"/>
      <c r="Q198" s="743"/>
      <c r="R198" s="743"/>
      <c r="S198" s="743"/>
    </row>
    <row r="199" spans="1:19" ht="13">
      <c r="A199" s="743"/>
      <c r="B199" s="743"/>
      <c r="C199" s="743"/>
      <c r="D199" s="743"/>
      <c r="E199" s="743"/>
      <c r="F199" s="743"/>
      <c r="G199" s="743"/>
      <c r="H199" s="743"/>
      <c r="I199" s="743"/>
      <c r="J199" s="743"/>
      <c r="K199" s="743"/>
      <c r="L199" s="743"/>
      <c r="M199" s="743"/>
      <c r="N199" s="744"/>
      <c r="O199" s="744"/>
      <c r="P199" s="744"/>
      <c r="Q199" s="743"/>
      <c r="R199" s="743"/>
      <c r="S199" s="743"/>
    </row>
    <row r="200" spans="1:19" ht="13">
      <c r="A200" s="743"/>
      <c r="B200" s="743"/>
      <c r="C200" s="743"/>
      <c r="D200" s="743"/>
      <c r="E200" s="743"/>
      <c r="F200" s="743"/>
      <c r="G200" s="743"/>
      <c r="H200" s="743"/>
      <c r="I200" s="743"/>
      <c r="J200" s="743"/>
      <c r="K200" s="743"/>
      <c r="L200" s="743"/>
      <c r="M200" s="743"/>
      <c r="N200" s="744"/>
      <c r="O200" s="744"/>
      <c r="P200" s="744"/>
      <c r="Q200" s="743"/>
      <c r="R200" s="743"/>
      <c r="S200" s="743"/>
    </row>
    <row r="201" spans="1:19" ht="13">
      <c r="A201" s="743"/>
      <c r="B201" s="743"/>
      <c r="C201" s="743"/>
      <c r="D201" s="743"/>
      <c r="E201" s="743"/>
      <c r="F201" s="743"/>
      <c r="G201" s="743"/>
      <c r="H201" s="743"/>
      <c r="I201" s="743"/>
      <c r="J201" s="743"/>
      <c r="K201" s="743"/>
      <c r="L201" s="743"/>
      <c r="M201" s="743"/>
      <c r="N201" s="744"/>
      <c r="O201" s="744"/>
      <c r="P201" s="744"/>
      <c r="Q201" s="743"/>
      <c r="R201" s="743"/>
      <c r="S201" s="743"/>
    </row>
    <row r="202" spans="1:19" ht="13">
      <c r="A202" s="743"/>
      <c r="B202" s="743"/>
      <c r="C202" s="743"/>
      <c r="D202" s="743"/>
      <c r="E202" s="743"/>
      <c r="F202" s="743"/>
      <c r="G202" s="743"/>
      <c r="H202" s="743"/>
      <c r="I202" s="743"/>
      <c r="J202" s="743"/>
      <c r="K202" s="743"/>
      <c r="L202" s="743"/>
      <c r="M202" s="743"/>
      <c r="N202" s="744"/>
      <c r="O202" s="744"/>
      <c r="P202" s="744"/>
      <c r="Q202" s="743"/>
      <c r="R202" s="743"/>
      <c r="S202" s="743"/>
    </row>
    <row r="203" spans="1:19" ht="13">
      <c r="A203" s="743"/>
      <c r="B203" s="743"/>
      <c r="C203" s="743"/>
      <c r="D203" s="743"/>
      <c r="E203" s="743"/>
      <c r="F203" s="743"/>
      <c r="G203" s="743"/>
      <c r="H203" s="743"/>
      <c r="I203" s="743"/>
      <c r="J203" s="743"/>
      <c r="K203" s="743"/>
      <c r="L203" s="743"/>
      <c r="M203" s="743"/>
      <c r="N203" s="744"/>
      <c r="O203" s="744"/>
      <c r="P203" s="744"/>
      <c r="Q203" s="743"/>
      <c r="R203" s="743"/>
      <c r="S203" s="743"/>
    </row>
    <row r="204" spans="1:19" ht="13">
      <c r="A204" s="743"/>
      <c r="B204" s="743"/>
      <c r="C204" s="743"/>
      <c r="D204" s="743"/>
      <c r="E204" s="743"/>
      <c r="F204" s="743"/>
      <c r="G204" s="743"/>
      <c r="H204" s="743"/>
      <c r="I204" s="743"/>
      <c r="J204" s="743"/>
      <c r="K204" s="743"/>
      <c r="L204" s="743"/>
      <c r="M204" s="743"/>
      <c r="N204" s="744"/>
      <c r="O204" s="744"/>
      <c r="P204" s="744"/>
      <c r="Q204" s="743"/>
      <c r="R204" s="743"/>
      <c r="S204" s="743"/>
    </row>
    <row r="205" spans="1:19" ht="13">
      <c r="A205" s="743"/>
      <c r="B205" s="743"/>
      <c r="C205" s="743"/>
      <c r="D205" s="743"/>
      <c r="E205" s="743"/>
      <c r="F205" s="743"/>
      <c r="G205" s="743"/>
      <c r="H205" s="743"/>
      <c r="I205" s="743"/>
      <c r="J205" s="743"/>
      <c r="K205" s="743"/>
      <c r="L205" s="743"/>
      <c r="M205" s="743"/>
      <c r="N205" s="744"/>
      <c r="O205" s="744"/>
      <c r="P205" s="744"/>
      <c r="Q205" s="743"/>
      <c r="R205" s="743"/>
      <c r="S205" s="743"/>
    </row>
    <row r="206" spans="1:19" ht="13">
      <c r="A206" s="743"/>
      <c r="B206" s="743"/>
      <c r="C206" s="743"/>
      <c r="D206" s="743"/>
      <c r="E206" s="743"/>
      <c r="F206" s="743"/>
      <c r="G206" s="743"/>
      <c r="H206" s="743"/>
      <c r="I206" s="743"/>
      <c r="J206" s="743"/>
      <c r="K206" s="743"/>
      <c r="L206" s="743"/>
      <c r="M206" s="743"/>
      <c r="N206" s="744"/>
      <c r="O206" s="744"/>
      <c r="P206" s="744"/>
      <c r="Q206" s="743"/>
      <c r="R206" s="743"/>
      <c r="S206" s="743"/>
    </row>
    <row r="207" spans="1:19" ht="13">
      <c r="A207" s="743"/>
      <c r="B207" s="743"/>
      <c r="C207" s="743"/>
      <c r="D207" s="743"/>
      <c r="E207" s="743"/>
      <c r="F207" s="743"/>
      <c r="G207" s="743"/>
      <c r="H207" s="743"/>
      <c r="I207" s="743"/>
      <c r="J207" s="743"/>
      <c r="K207" s="743"/>
      <c r="L207" s="743"/>
      <c r="M207" s="743"/>
      <c r="N207" s="744"/>
      <c r="O207" s="744"/>
      <c r="P207" s="744"/>
      <c r="Q207" s="743"/>
      <c r="R207" s="743"/>
      <c r="S207" s="743"/>
    </row>
    <row r="208" spans="1:19" ht="13">
      <c r="A208" s="743"/>
      <c r="B208" s="743"/>
      <c r="C208" s="743"/>
      <c r="D208" s="743"/>
      <c r="E208" s="743"/>
      <c r="F208" s="743"/>
      <c r="G208" s="743"/>
      <c r="H208" s="743"/>
      <c r="I208" s="743"/>
      <c r="J208" s="743"/>
      <c r="K208" s="743"/>
      <c r="L208" s="743"/>
      <c r="M208" s="743"/>
      <c r="N208" s="744"/>
      <c r="O208" s="744"/>
      <c r="P208" s="744"/>
      <c r="Q208" s="743"/>
      <c r="R208" s="743"/>
      <c r="S208" s="743"/>
    </row>
    <row r="209" spans="1:19" ht="13">
      <c r="A209" s="743"/>
      <c r="B209" s="743"/>
      <c r="C209" s="743"/>
      <c r="D209" s="743"/>
      <c r="E209" s="743"/>
      <c r="F209" s="743"/>
      <c r="G209" s="743"/>
      <c r="H209" s="743"/>
      <c r="I209" s="743"/>
      <c r="J209" s="743"/>
      <c r="K209" s="743"/>
      <c r="L209" s="743"/>
      <c r="M209" s="743"/>
      <c r="N209" s="744"/>
      <c r="O209" s="744"/>
      <c r="P209" s="744"/>
      <c r="Q209" s="743"/>
      <c r="R209" s="743"/>
      <c r="S209" s="743"/>
    </row>
    <row r="210" spans="1:19" ht="13">
      <c r="A210" s="743"/>
      <c r="B210" s="743"/>
      <c r="C210" s="743"/>
      <c r="D210" s="743"/>
      <c r="E210" s="743"/>
      <c r="F210" s="743"/>
      <c r="G210" s="743"/>
      <c r="H210" s="743"/>
      <c r="I210" s="743"/>
      <c r="J210" s="743"/>
      <c r="K210" s="743"/>
      <c r="L210" s="743"/>
      <c r="M210" s="743"/>
      <c r="N210" s="744"/>
      <c r="O210" s="744"/>
      <c r="P210" s="744"/>
      <c r="Q210" s="743"/>
      <c r="R210" s="743"/>
      <c r="S210" s="743"/>
    </row>
    <row r="211" spans="1:19" ht="13">
      <c r="A211" s="743"/>
      <c r="B211" s="743"/>
      <c r="C211" s="743"/>
      <c r="D211" s="743"/>
      <c r="E211" s="743"/>
      <c r="F211" s="743"/>
      <c r="G211" s="743"/>
      <c r="H211" s="743"/>
      <c r="I211" s="743"/>
      <c r="J211" s="743"/>
      <c r="K211" s="743"/>
      <c r="L211" s="743"/>
      <c r="M211" s="743"/>
      <c r="N211" s="744"/>
      <c r="O211" s="744"/>
      <c r="P211" s="744"/>
      <c r="Q211" s="743"/>
      <c r="R211" s="743"/>
      <c r="S211" s="743"/>
    </row>
    <row r="212" spans="1:19" ht="13">
      <c r="A212" s="743"/>
      <c r="B212" s="743"/>
      <c r="C212" s="743"/>
      <c r="D212" s="743"/>
      <c r="E212" s="743"/>
      <c r="F212" s="743"/>
      <c r="G212" s="743"/>
      <c r="H212" s="743"/>
      <c r="I212" s="743"/>
      <c r="J212" s="743"/>
      <c r="K212" s="743"/>
      <c r="L212" s="743"/>
      <c r="M212" s="743"/>
      <c r="N212" s="744"/>
      <c r="O212" s="744"/>
      <c r="P212" s="744"/>
      <c r="Q212" s="743"/>
      <c r="R212" s="743"/>
      <c r="S212" s="743"/>
    </row>
    <row r="213" spans="1:19" ht="13">
      <c r="A213" s="743"/>
      <c r="B213" s="743"/>
      <c r="C213" s="743"/>
      <c r="D213" s="743"/>
      <c r="E213" s="743"/>
      <c r="F213" s="743"/>
      <c r="G213" s="743"/>
      <c r="H213" s="743"/>
      <c r="I213" s="743"/>
      <c r="J213" s="743"/>
      <c r="K213" s="743"/>
      <c r="L213" s="743"/>
      <c r="M213" s="743"/>
      <c r="N213" s="744"/>
      <c r="O213" s="744"/>
      <c r="P213" s="744"/>
      <c r="Q213" s="743"/>
      <c r="R213" s="743"/>
      <c r="S213" s="743"/>
    </row>
    <row r="214" spans="1:19" ht="13">
      <c r="A214" s="743"/>
      <c r="B214" s="743"/>
      <c r="C214" s="743"/>
      <c r="D214" s="743"/>
      <c r="E214" s="743"/>
      <c r="F214" s="743"/>
      <c r="G214" s="743"/>
      <c r="H214" s="743"/>
      <c r="I214" s="743"/>
      <c r="J214" s="743"/>
      <c r="K214" s="743"/>
      <c r="L214" s="743"/>
      <c r="M214" s="743"/>
      <c r="N214" s="744"/>
      <c r="O214" s="744"/>
      <c r="P214" s="744"/>
      <c r="Q214" s="743"/>
      <c r="R214" s="743"/>
      <c r="S214" s="743"/>
    </row>
    <row r="215" spans="1:19" ht="13">
      <c r="A215" s="743"/>
      <c r="B215" s="743"/>
      <c r="C215" s="743"/>
      <c r="D215" s="743"/>
      <c r="E215" s="743"/>
      <c r="F215" s="743"/>
      <c r="G215" s="743"/>
      <c r="H215" s="743"/>
      <c r="I215" s="743"/>
      <c r="J215" s="743"/>
      <c r="K215" s="743"/>
      <c r="L215" s="743"/>
      <c r="M215" s="743"/>
      <c r="N215" s="744"/>
      <c r="O215" s="744"/>
      <c r="P215" s="744"/>
      <c r="Q215" s="743"/>
      <c r="R215" s="743"/>
      <c r="S215" s="743"/>
    </row>
    <row r="216" spans="1:19" ht="13">
      <c r="A216" s="743"/>
      <c r="B216" s="743"/>
      <c r="C216" s="743"/>
      <c r="D216" s="743"/>
      <c r="E216" s="743"/>
      <c r="F216" s="743"/>
      <c r="G216" s="743"/>
      <c r="H216" s="743"/>
      <c r="I216" s="743"/>
      <c r="J216" s="743"/>
      <c r="K216" s="743"/>
      <c r="L216" s="743"/>
      <c r="M216" s="743"/>
      <c r="N216" s="744"/>
      <c r="O216" s="744"/>
      <c r="P216" s="744"/>
      <c r="Q216" s="743"/>
      <c r="R216" s="743"/>
      <c r="S216" s="743"/>
    </row>
    <row r="217" spans="1:19" ht="13">
      <c r="A217" s="743"/>
      <c r="B217" s="743"/>
      <c r="C217" s="743"/>
      <c r="D217" s="743"/>
      <c r="E217" s="743"/>
      <c r="F217" s="743"/>
      <c r="G217" s="743"/>
      <c r="H217" s="743"/>
      <c r="I217" s="743"/>
      <c r="J217" s="743"/>
      <c r="K217" s="743"/>
      <c r="L217" s="743"/>
      <c r="M217" s="743"/>
      <c r="N217" s="744"/>
      <c r="O217" s="744"/>
      <c r="P217" s="744"/>
      <c r="Q217" s="743"/>
      <c r="R217" s="743"/>
      <c r="S217" s="743"/>
    </row>
    <row r="218" spans="1:19" ht="13">
      <c r="A218" s="743"/>
      <c r="B218" s="743"/>
      <c r="C218" s="743"/>
      <c r="D218" s="743"/>
      <c r="E218" s="743"/>
      <c r="F218" s="743"/>
      <c r="G218" s="743"/>
      <c r="H218" s="743"/>
      <c r="I218" s="743"/>
      <c r="J218" s="743"/>
      <c r="K218" s="743"/>
      <c r="L218" s="743"/>
      <c r="M218" s="743"/>
      <c r="N218" s="744"/>
      <c r="O218" s="744"/>
      <c r="P218" s="744"/>
      <c r="Q218" s="743"/>
      <c r="R218" s="743"/>
      <c r="S218" s="743"/>
    </row>
    <row r="219" spans="1:19" ht="13">
      <c r="A219" s="743"/>
      <c r="B219" s="743"/>
      <c r="C219" s="743"/>
      <c r="D219" s="743"/>
      <c r="E219" s="743"/>
      <c r="F219" s="743"/>
      <c r="G219" s="743"/>
      <c r="H219" s="743"/>
      <c r="I219" s="743"/>
      <c r="J219" s="743"/>
      <c r="K219" s="743"/>
      <c r="L219" s="743"/>
      <c r="M219" s="743"/>
      <c r="N219" s="744"/>
      <c r="O219" s="744"/>
      <c r="P219" s="744"/>
      <c r="Q219" s="743"/>
      <c r="R219" s="743"/>
      <c r="S219" s="743"/>
    </row>
    <row r="220" spans="1:19" ht="13">
      <c r="A220" s="743"/>
      <c r="B220" s="743"/>
      <c r="C220" s="743"/>
      <c r="D220" s="743"/>
      <c r="E220" s="743"/>
      <c r="F220" s="743"/>
      <c r="G220" s="743"/>
      <c r="H220" s="743"/>
      <c r="I220" s="743"/>
      <c r="J220" s="743"/>
      <c r="K220" s="743"/>
      <c r="L220" s="743"/>
      <c r="M220" s="743"/>
      <c r="N220" s="744"/>
      <c r="O220" s="744"/>
      <c r="P220" s="744"/>
      <c r="Q220" s="743"/>
      <c r="R220" s="743"/>
      <c r="S220" s="743"/>
    </row>
    <row r="221" spans="1:19" ht="13">
      <c r="A221" s="743"/>
      <c r="B221" s="743"/>
      <c r="C221" s="743"/>
      <c r="D221" s="743"/>
      <c r="E221" s="743"/>
      <c r="F221" s="743"/>
      <c r="G221" s="743"/>
      <c r="H221" s="743"/>
      <c r="I221" s="743"/>
      <c r="J221" s="743"/>
      <c r="K221" s="743"/>
      <c r="L221" s="743"/>
      <c r="M221" s="743"/>
      <c r="N221" s="744"/>
      <c r="O221" s="744"/>
      <c r="P221" s="744"/>
      <c r="Q221" s="743"/>
      <c r="R221" s="743"/>
      <c r="S221" s="743"/>
    </row>
    <row r="222" spans="1:19" ht="13">
      <c r="A222" s="743"/>
      <c r="B222" s="743"/>
      <c r="C222" s="743"/>
      <c r="D222" s="743"/>
      <c r="E222" s="743"/>
      <c r="F222" s="743"/>
      <c r="G222" s="743"/>
      <c r="H222" s="743"/>
      <c r="I222" s="743"/>
      <c r="J222" s="743"/>
      <c r="K222" s="743"/>
      <c r="L222" s="743"/>
      <c r="M222" s="743"/>
      <c r="N222" s="744"/>
      <c r="O222" s="744"/>
      <c r="P222" s="744"/>
      <c r="Q222" s="743"/>
      <c r="R222" s="743"/>
      <c r="S222" s="743"/>
    </row>
    <row r="223" spans="1:19" ht="13">
      <c r="A223" s="743"/>
      <c r="B223" s="743"/>
      <c r="C223" s="743"/>
      <c r="D223" s="743"/>
      <c r="E223" s="743"/>
      <c r="F223" s="743"/>
      <c r="G223" s="743"/>
      <c r="H223" s="743"/>
      <c r="I223" s="743"/>
      <c r="J223" s="743"/>
      <c r="K223" s="743"/>
      <c r="L223" s="743"/>
      <c r="M223" s="743"/>
      <c r="N223" s="744"/>
      <c r="O223" s="744"/>
      <c r="P223" s="744"/>
      <c r="Q223" s="743"/>
      <c r="R223" s="743"/>
      <c r="S223" s="743"/>
    </row>
    <row r="224" spans="1:19" ht="13">
      <c r="A224" s="743"/>
      <c r="B224" s="743"/>
      <c r="C224" s="743"/>
      <c r="D224" s="743"/>
      <c r="E224" s="743"/>
      <c r="F224" s="743"/>
      <c r="G224" s="743"/>
      <c r="H224" s="743"/>
      <c r="I224" s="743"/>
      <c r="J224" s="743"/>
      <c r="K224" s="743"/>
      <c r="L224" s="743"/>
      <c r="M224" s="743"/>
      <c r="N224" s="744"/>
      <c r="O224" s="744"/>
      <c r="P224" s="744"/>
      <c r="Q224" s="743"/>
      <c r="R224" s="743"/>
      <c r="S224" s="743"/>
    </row>
    <row r="225" spans="1:19" ht="13">
      <c r="A225" s="743"/>
      <c r="B225" s="743"/>
      <c r="C225" s="743"/>
      <c r="D225" s="743"/>
      <c r="E225" s="743"/>
      <c r="F225" s="743"/>
      <c r="G225" s="743"/>
      <c r="H225" s="743"/>
      <c r="I225" s="743"/>
      <c r="J225" s="743"/>
      <c r="K225" s="743"/>
      <c r="L225" s="743"/>
      <c r="M225" s="743"/>
      <c r="N225" s="744"/>
      <c r="O225" s="744"/>
      <c r="P225" s="744"/>
      <c r="Q225" s="743"/>
      <c r="R225" s="743"/>
      <c r="S225" s="743"/>
    </row>
    <row r="226" spans="1:19" ht="13">
      <c r="A226" s="743"/>
      <c r="B226" s="743"/>
      <c r="C226" s="743"/>
      <c r="D226" s="743"/>
      <c r="E226" s="743"/>
      <c r="F226" s="743"/>
      <c r="G226" s="743"/>
      <c r="H226" s="743"/>
      <c r="I226" s="743"/>
      <c r="J226" s="743"/>
      <c r="K226" s="743"/>
      <c r="L226" s="743"/>
      <c r="M226" s="743"/>
      <c r="N226" s="744"/>
      <c r="O226" s="744"/>
      <c r="P226" s="744"/>
      <c r="Q226" s="743"/>
      <c r="R226" s="743"/>
      <c r="S226" s="743"/>
    </row>
    <row r="227" spans="1:19" ht="13">
      <c r="A227" s="743"/>
      <c r="B227" s="743"/>
      <c r="C227" s="743"/>
      <c r="D227" s="743"/>
      <c r="E227" s="743"/>
      <c r="F227" s="743"/>
      <c r="G227" s="743"/>
      <c r="H227" s="743"/>
      <c r="I227" s="743"/>
      <c r="J227" s="743"/>
      <c r="K227" s="743"/>
      <c r="L227" s="743"/>
      <c r="M227" s="743"/>
      <c r="N227" s="744"/>
      <c r="O227" s="744"/>
      <c r="P227" s="744"/>
      <c r="Q227" s="743"/>
      <c r="R227" s="743"/>
      <c r="S227" s="743"/>
    </row>
    <row r="228" spans="1:19" ht="13">
      <c r="A228" s="743"/>
      <c r="B228" s="743"/>
      <c r="C228" s="743"/>
      <c r="D228" s="743"/>
      <c r="E228" s="743"/>
      <c r="F228" s="743"/>
      <c r="G228" s="743"/>
      <c r="H228" s="743"/>
      <c r="I228" s="743"/>
      <c r="J228" s="743"/>
      <c r="K228" s="743"/>
      <c r="L228" s="743"/>
      <c r="M228" s="743"/>
      <c r="N228" s="744"/>
      <c r="O228" s="744"/>
      <c r="P228" s="744"/>
      <c r="Q228" s="743"/>
      <c r="R228" s="743"/>
      <c r="S228" s="743"/>
    </row>
    <row r="229" spans="1:19" ht="13">
      <c r="A229" s="743"/>
      <c r="B229" s="743"/>
      <c r="C229" s="743"/>
      <c r="D229" s="743"/>
      <c r="E229" s="743"/>
      <c r="F229" s="743"/>
      <c r="G229" s="743"/>
      <c r="H229" s="743"/>
      <c r="I229" s="743"/>
      <c r="J229" s="743"/>
      <c r="K229" s="743"/>
      <c r="L229" s="743"/>
      <c r="M229" s="743"/>
      <c r="N229" s="744"/>
      <c r="O229" s="744"/>
      <c r="P229" s="744"/>
      <c r="Q229" s="743"/>
      <c r="R229" s="743"/>
      <c r="S229" s="743"/>
    </row>
    <row r="230" spans="1:19" ht="13">
      <c r="A230" s="743"/>
      <c r="B230" s="743"/>
      <c r="C230" s="743"/>
      <c r="D230" s="743"/>
      <c r="E230" s="743"/>
      <c r="F230" s="743"/>
      <c r="G230" s="743"/>
      <c r="H230" s="743"/>
      <c r="I230" s="743"/>
      <c r="J230" s="743"/>
      <c r="K230" s="743"/>
      <c r="L230" s="743"/>
      <c r="M230" s="743"/>
      <c r="N230" s="744"/>
      <c r="O230" s="744"/>
      <c r="P230" s="744"/>
      <c r="Q230" s="743"/>
      <c r="R230" s="743"/>
      <c r="S230" s="743"/>
    </row>
    <row r="231" spans="1:19" ht="13">
      <c r="A231" s="743"/>
      <c r="B231" s="743"/>
      <c r="C231" s="743"/>
      <c r="D231" s="743"/>
      <c r="E231" s="743"/>
      <c r="F231" s="743"/>
      <c r="G231" s="743"/>
      <c r="H231" s="743"/>
      <c r="I231" s="743"/>
      <c r="J231" s="743"/>
      <c r="K231" s="743"/>
      <c r="L231" s="743"/>
      <c r="M231" s="743"/>
      <c r="N231" s="744"/>
      <c r="O231" s="744"/>
      <c r="P231" s="744"/>
      <c r="Q231" s="743"/>
      <c r="R231" s="743"/>
      <c r="S231" s="743"/>
    </row>
    <row r="232" spans="1:19" ht="13">
      <c r="A232" s="743"/>
      <c r="B232" s="743"/>
      <c r="C232" s="743"/>
      <c r="D232" s="743"/>
      <c r="E232" s="743"/>
      <c r="F232" s="743"/>
      <c r="G232" s="743"/>
      <c r="H232" s="743"/>
      <c r="I232" s="743"/>
      <c r="J232" s="743"/>
      <c r="K232" s="743"/>
      <c r="L232" s="743"/>
      <c r="M232" s="743"/>
      <c r="N232" s="744"/>
      <c r="O232" s="744"/>
      <c r="P232" s="744"/>
      <c r="Q232" s="743"/>
      <c r="R232" s="743"/>
      <c r="S232" s="743"/>
    </row>
    <row r="233" spans="1:19" ht="13">
      <c r="A233" s="743"/>
      <c r="B233" s="743"/>
      <c r="C233" s="743"/>
      <c r="D233" s="743"/>
      <c r="E233" s="743"/>
      <c r="F233" s="743"/>
      <c r="G233" s="743"/>
      <c r="H233" s="743"/>
      <c r="I233" s="743"/>
      <c r="J233" s="743"/>
      <c r="K233" s="743"/>
      <c r="L233" s="743"/>
      <c r="M233" s="743"/>
      <c r="N233" s="744"/>
      <c r="O233" s="744"/>
      <c r="P233" s="744"/>
      <c r="Q233" s="743"/>
      <c r="R233" s="743"/>
      <c r="S233" s="743"/>
    </row>
    <row r="234" spans="1:19" ht="13">
      <c r="A234" s="743"/>
      <c r="B234" s="743"/>
      <c r="C234" s="743"/>
      <c r="D234" s="743"/>
      <c r="E234" s="743"/>
      <c r="F234" s="743"/>
      <c r="G234" s="743"/>
      <c r="H234" s="743"/>
      <c r="I234" s="743"/>
      <c r="J234" s="743"/>
      <c r="K234" s="743"/>
      <c r="L234" s="743"/>
      <c r="M234" s="743"/>
      <c r="N234" s="744"/>
      <c r="O234" s="744"/>
      <c r="P234" s="744"/>
      <c r="Q234" s="743"/>
      <c r="R234" s="743"/>
      <c r="S234" s="743"/>
    </row>
    <row r="235" spans="1:19" ht="13">
      <c r="A235" s="743"/>
      <c r="B235" s="743"/>
      <c r="C235" s="743"/>
      <c r="D235" s="743"/>
      <c r="E235" s="743"/>
      <c r="F235" s="743"/>
      <c r="G235" s="743"/>
      <c r="H235" s="743"/>
      <c r="I235" s="743"/>
      <c r="J235" s="743"/>
      <c r="K235" s="743"/>
      <c r="L235" s="743"/>
      <c r="M235" s="743"/>
      <c r="N235" s="744"/>
      <c r="O235" s="744"/>
      <c r="P235" s="744"/>
      <c r="Q235" s="743"/>
      <c r="R235" s="743"/>
      <c r="S235" s="743"/>
    </row>
    <row r="236" spans="1:19" ht="13">
      <c r="A236" s="743"/>
      <c r="B236" s="743"/>
      <c r="C236" s="743"/>
      <c r="D236" s="743"/>
      <c r="E236" s="743"/>
      <c r="F236" s="743"/>
      <c r="G236" s="743"/>
      <c r="H236" s="743"/>
      <c r="I236" s="743"/>
      <c r="J236" s="743"/>
      <c r="K236" s="743"/>
      <c r="L236" s="743"/>
      <c r="M236" s="743"/>
      <c r="N236" s="744"/>
      <c r="O236" s="744"/>
      <c r="P236" s="744"/>
      <c r="Q236" s="743"/>
      <c r="R236" s="743"/>
      <c r="S236" s="743"/>
    </row>
    <row r="237" spans="1:19" ht="13">
      <c r="A237" s="743"/>
      <c r="B237" s="743"/>
      <c r="C237" s="743"/>
      <c r="D237" s="743"/>
      <c r="E237" s="743"/>
      <c r="F237" s="743"/>
      <c r="G237" s="743"/>
      <c r="H237" s="743"/>
      <c r="I237" s="743"/>
      <c r="J237" s="743"/>
      <c r="K237" s="743"/>
      <c r="L237" s="743"/>
      <c r="M237" s="743"/>
      <c r="N237" s="744"/>
      <c r="O237" s="744"/>
      <c r="P237" s="744"/>
      <c r="Q237" s="743"/>
      <c r="R237" s="743"/>
      <c r="S237" s="743"/>
    </row>
    <row r="238" spans="1:19" ht="13">
      <c r="A238" s="743"/>
      <c r="B238" s="743"/>
      <c r="C238" s="743"/>
      <c r="D238" s="743"/>
      <c r="E238" s="743"/>
      <c r="F238" s="743"/>
      <c r="G238" s="743"/>
      <c r="H238" s="743"/>
      <c r="I238" s="743"/>
      <c r="J238" s="743"/>
      <c r="K238" s="743"/>
      <c r="L238" s="743"/>
      <c r="M238" s="743"/>
      <c r="N238" s="744"/>
      <c r="O238" s="744"/>
      <c r="P238" s="744"/>
      <c r="Q238" s="743"/>
      <c r="R238" s="743"/>
      <c r="S238" s="743"/>
    </row>
    <row r="239" spans="1:19" ht="13">
      <c r="A239" s="743"/>
      <c r="B239" s="743"/>
      <c r="C239" s="743"/>
      <c r="D239" s="743"/>
      <c r="E239" s="743"/>
      <c r="F239" s="743"/>
      <c r="G239" s="743"/>
      <c r="H239" s="743"/>
      <c r="I239" s="743"/>
      <c r="J239" s="743"/>
      <c r="K239" s="743"/>
      <c r="L239" s="743"/>
      <c r="M239" s="743"/>
      <c r="N239" s="744"/>
      <c r="O239" s="744"/>
      <c r="P239" s="744"/>
      <c r="Q239" s="743"/>
      <c r="R239" s="743"/>
      <c r="S239" s="743"/>
    </row>
    <row r="240" spans="1:19" ht="13">
      <c r="A240" s="743"/>
      <c r="B240" s="743"/>
      <c r="C240" s="743"/>
      <c r="D240" s="743"/>
      <c r="E240" s="743"/>
      <c r="F240" s="743"/>
      <c r="G240" s="743"/>
      <c r="H240" s="743"/>
      <c r="I240" s="743"/>
      <c r="J240" s="743"/>
      <c r="K240" s="743"/>
      <c r="L240" s="743"/>
      <c r="M240" s="743"/>
      <c r="N240" s="744"/>
      <c r="O240" s="744"/>
      <c r="P240" s="744"/>
      <c r="Q240" s="743"/>
      <c r="R240" s="743"/>
      <c r="S240" s="743"/>
    </row>
    <row r="241" spans="1:19" ht="13">
      <c r="A241" s="743"/>
      <c r="B241" s="743"/>
      <c r="C241" s="743"/>
      <c r="D241" s="743"/>
      <c r="E241" s="743"/>
      <c r="F241" s="743"/>
      <c r="G241" s="743"/>
      <c r="H241" s="743"/>
      <c r="I241" s="743"/>
      <c r="J241" s="743"/>
      <c r="K241" s="743"/>
      <c r="L241" s="743"/>
      <c r="M241" s="743"/>
      <c r="N241" s="744"/>
      <c r="O241" s="744"/>
      <c r="P241" s="744"/>
      <c r="Q241" s="743"/>
      <c r="R241" s="743"/>
      <c r="S241" s="743"/>
    </row>
    <row r="242" spans="1:19" ht="13">
      <c r="A242" s="743"/>
      <c r="B242" s="743"/>
      <c r="C242" s="743"/>
      <c r="D242" s="743"/>
      <c r="E242" s="743"/>
      <c r="F242" s="743"/>
      <c r="G242" s="743"/>
      <c r="H242" s="743"/>
      <c r="I242" s="743"/>
      <c r="J242" s="743"/>
      <c r="K242" s="743"/>
      <c r="L242" s="743"/>
      <c r="M242" s="743"/>
      <c r="N242" s="744"/>
      <c r="O242" s="744"/>
      <c r="P242" s="744"/>
      <c r="Q242" s="743"/>
      <c r="R242" s="743"/>
      <c r="S242" s="743"/>
    </row>
    <row r="243" spans="1:19" ht="13">
      <c r="A243" s="743"/>
      <c r="B243" s="743"/>
      <c r="C243" s="743"/>
      <c r="D243" s="743"/>
      <c r="E243" s="743"/>
      <c r="F243" s="743"/>
      <c r="G243" s="743"/>
      <c r="H243" s="743"/>
      <c r="I243" s="743"/>
      <c r="J243" s="743"/>
      <c r="K243" s="743"/>
      <c r="L243" s="743"/>
      <c r="M243" s="743"/>
      <c r="N243" s="744"/>
      <c r="O243" s="744"/>
      <c r="P243" s="744"/>
      <c r="Q243" s="743"/>
      <c r="R243" s="743"/>
      <c r="S243" s="743"/>
    </row>
    <row r="244" spans="1:19" ht="13">
      <c r="A244" s="743"/>
      <c r="B244" s="743"/>
      <c r="C244" s="743"/>
      <c r="D244" s="743"/>
      <c r="E244" s="743"/>
      <c r="F244" s="743"/>
      <c r="G244" s="743"/>
      <c r="H244" s="743"/>
      <c r="I244" s="743"/>
      <c r="J244" s="743"/>
      <c r="K244" s="743"/>
      <c r="L244" s="743"/>
      <c r="M244" s="743"/>
      <c r="N244" s="744"/>
      <c r="O244" s="744"/>
      <c r="P244" s="744"/>
      <c r="Q244" s="743"/>
      <c r="R244" s="743"/>
      <c r="S244" s="743"/>
    </row>
    <row r="245" spans="1:19" ht="13">
      <c r="A245" s="743"/>
      <c r="B245" s="743"/>
      <c r="C245" s="743"/>
      <c r="D245" s="743"/>
      <c r="E245" s="743"/>
      <c r="F245" s="743"/>
      <c r="G245" s="743"/>
      <c r="H245" s="743"/>
      <c r="I245" s="743"/>
      <c r="J245" s="743"/>
      <c r="K245" s="743"/>
      <c r="L245" s="743"/>
      <c r="M245" s="743"/>
      <c r="N245" s="744"/>
      <c r="O245" s="744"/>
      <c r="P245" s="744"/>
      <c r="Q245" s="743"/>
      <c r="R245" s="743"/>
      <c r="S245" s="743"/>
    </row>
    <row r="246" spans="1:19" ht="13">
      <c r="A246" s="743"/>
      <c r="B246" s="743"/>
      <c r="C246" s="743"/>
      <c r="D246" s="743"/>
      <c r="E246" s="743"/>
      <c r="F246" s="743"/>
      <c r="G246" s="743"/>
      <c r="H246" s="743"/>
      <c r="I246" s="743"/>
      <c r="J246" s="743"/>
      <c r="K246" s="743"/>
      <c r="L246" s="743"/>
      <c r="M246" s="743"/>
      <c r="N246" s="744"/>
      <c r="O246" s="744"/>
      <c r="P246" s="744"/>
      <c r="Q246" s="743"/>
      <c r="R246" s="743"/>
      <c r="S246" s="743"/>
    </row>
    <row r="247" spans="1:19" ht="13">
      <c r="A247" s="743"/>
      <c r="B247" s="743"/>
      <c r="C247" s="743"/>
      <c r="D247" s="743"/>
      <c r="E247" s="743"/>
      <c r="F247" s="743"/>
      <c r="G247" s="743"/>
      <c r="H247" s="743"/>
      <c r="I247" s="743"/>
      <c r="J247" s="743"/>
      <c r="K247" s="743"/>
      <c r="L247" s="743"/>
      <c r="M247" s="743"/>
      <c r="N247" s="744"/>
      <c r="O247" s="744"/>
      <c r="P247" s="744"/>
      <c r="Q247" s="743"/>
      <c r="R247" s="743"/>
      <c r="S247" s="743"/>
    </row>
    <row r="248" spans="1:19" ht="13">
      <c r="A248" s="743"/>
      <c r="B248" s="743"/>
      <c r="C248" s="743"/>
      <c r="D248" s="743"/>
      <c r="E248" s="743"/>
      <c r="F248" s="743"/>
      <c r="G248" s="743"/>
      <c r="H248" s="743"/>
      <c r="I248" s="743"/>
      <c r="J248" s="743"/>
      <c r="K248" s="743"/>
      <c r="L248" s="743"/>
      <c r="M248" s="743"/>
      <c r="N248" s="744"/>
      <c r="O248" s="744"/>
      <c r="P248" s="744"/>
      <c r="Q248" s="743"/>
      <c r="R248" s="743"/>
      <c r="S248" s="743"/>
    </row>
    <row r="249" spans="1:19" ht="13">
      <c r="A249" s="743"/>
      <c r="B249" s="743"/>
      <c r="C249" s="743"/>
      <c r="D249" s="743"/>
      <c r="E249" s="743"/>
      <c r="F249" s="743"/>
      <c r="G249" s="743"/>
      <c r="H249" s="743"/>
      <c r="I249" s="743"/>
      <c r="J249" s="743"/>
      <c r="K249" s="743"/>
      <c r="L249" s="743"/>
      <c r="M249" s="743"/>
      <c r="N249" s="744"/>
      <c r="O249" s="744"/>
      <c r="P249" s="744"/>
      <c r="Q249" s="743"/>
      <c r="R249" s="743"/>
      <c r="S249" s="743"/>
    </row>
    <row r="250" spans="1:19" ht="13">
      <c r="A250" s="743"/>
      <c r="B250" s="743"/>
      <c r="C250" s="743"/>
      <c r="D250" s="743"/>
      <c r="E250" s="743"/>
      <c r="F250" s="743"/>
      <c r="G250" s="743"/>
      <c r="H250" s="743"/>
      <c r="I250" s="743"/>
      <c r="J250" s="743"/>
      <c r="K250" s="743"/>
      <c r="L250" s="743"/>
      <c r="M250" s="743"/>
      <c r="N250" s="744"/>
      <c r="O250" s="744"/>
      <c r="P250" s="744"/>
      <c r="Q250" s="743"/>
      <c r="R250" s="743"/>
      <c r="S250" s="743"/>
    </row>
    <row r="251" spans="1:19" ht="13">
      <c r="A251" s="743"/>
      <c r="B251" s="743"/>
      <c r="C251" s="743"/>
      <c r="D251" s="743"/>
      <c r="E251" s="743"/>
      <c r="F251" s="743"/>
      <c r="G251" s="743"/>
      <c r="H251" s="743"/>
      <c r="I251" s="743"/>
      <c r="J251" s="743"/>
      <c r="K251" s="743"/>
      <c r="L251" s="743"/>
      <c r="M251" s="743"/>
      <c r="N251" s="744"/>
      <c r="O251" s="744"/>
      <c r="P251" s="744"/>
      <c r="Q251" s="743"/>
      <c r="R251" s="743"/>
      <c r="S251" s="743"/>
    </row>
    <row r="252" spans="1:19" ht="13">
      <c r="A252" s="743"/>
      <c r="B252" s="743"/>
      <c r="C252" s="743"/>
      <c r="D252" s="743"/>
      <c r="E252" s="743"/>
      <c r="F252" s="743"/>
      <c r="G252" s="743"/>
      <c r="H252" s="743"/>
      <c r="I252" s="743"/>
      <c r="J252" s="743"/>
      <c r="K252" s="743"/>
      <c r="L252" s="743"/>
      <c r="M252" s="743"/>
      <c r="N252" s="744"/>
      <c r="O252" s="744"/>
      <c r="P252" s="744"/>
      <c r="Q252" s="743"/>
      <c r="R252" s="743"/>
      <c r="S252" s="743"/>
    </row>
    <row r="253" spans="1:19" ht="13">
      <c r="A253" s="743"/>
      <c r="B253" s="743"/>
      <c r="C253" s="743"/>
      <c r="D253" s="743"/>
      <c r="E253" s="743"/>
      <c r="F253" s="743"/>
      <c r="G253" s="743"/>
      <c r="H253" s="743"/>
      <c r="I253" s="743"/>
      <c r="J253" s="743"/>
      <c r="K253" s="743"/>
      <c r="L253" s="743"/>
      <c r="M253" s="743"/>
      <c r="N253" s="744"/>
      <c r="O253" s="744"/>
      <c r="P253" s="744"/>
      <c r="Q253" s="743"/>
      <c r="R253" s="743"/>
      <c r="S253" s="743"/>
    </row>
    <row r="254" spans="1:19" ht="13">
      <c r="A254" s="743"/>
      <c r="B254" s="743"/>
      <c r="C254" s="743"/>
      <c r="D254" s="743"/>
      <c r="E254" s="743"/>
      <c r="F254" s="743"/>
      <c r="G254" s="743"/>
      <c r="H254" s="743"/>
      <c r="I254" s="743"/>
      <c r="J254" s="743"/>
      <c r="K254" s="743"/>
      <c r="L254" s="743"/>
      <c r="M254" s="743"/>
      <c r="N254" s="744"/>
      <c r="O254" s="744"/>
      <c r="P254" s="744"/>
      <c r="Q254" s="743"/>
      <c r="R254" s="743"/>
      <c r="S254" s="743"/>
    </row>
    <row r="255" spans="1:19" ht="13">
      <c r="A255" s="743"/>
      <c r="B255" s="743"/>
      <c r="C255" s="743"/>
      <c r="D255" s="743"/>
      <c r="E255" s="743"/>
      <c r="F255" s="743"/>
      <c r="G255" s="743"/>
      <c r="H255" s="743"/>
      <c r="I255" s="743"/>
      <c r="J255" s="743"/>
      <c r="K255" s="743"/>
      <c r="L255" s="743"/>
      <c r="M255" s="743"/>
      <c r="N255" s="744"/>
      <c r="O255" s="744"/>
      <c r="P255" s="744"/>
      <c r="Q255" s="743"/>
      <c r="R255" s="743"/>
      <c r="S255" s="743"/>
    </row>
    <row r="256" spans="1:19" ht="13">
      <c r="A256" s="743"/>
      <c r="B256" s="743"/>
      <c r="C256" s="743"/>
      <c r="D256" s="743"/>
      <c r="E256" s="743"/>
      <c r="F256" s="743"/>
      <c r="G256" s="743"/>
      <c r="H256" s="743"/>
      <c r="I256" s="743"/>
      <c r="J256" s="743"/>
      <c r="K256" s="743"/>
      <c r="L256" s="743"/>
      <c r="M256" s="743"/>
      <c r="N256" s="744"/>
      <c r="O256" s="744"/>
      <c r="P256" s="744"/>
      <c r="Q256" s="743"/>
      <c r="R256" s="743"/>
      <c r="S256" s="743"/>
    </row>
    <row r="257" spans="1:19" ht="13">
      <c r="A257" s="743"/>
      <c r="B257" s="743"/>
      <c r="C257" s="743"/>
      <c r="D257" s="743"/>
      <c r="E257" s="743"/>
      <c r="F257" s="743"/>
      <c r="G257" s="743"/>
      <c r="H257" s="743"/>
      <c r="I257" s="743"/>
      <c r="J257" s="743"/>
      <c r="K257" s="743"/>
      <c r="L257" s="743"/>
      <c r="M257" s="743"/>
      <c r="N257" s="744"/>
      <c r="O257" s="744"/>
      <c r="P257" s="744"/>
      <c r="Q257" s="743"/>
      <c r="R257" s="743"/>
      <c r="S257" s="743"/>
    </row>
    <row r="258" spans="1:19" ht="13">
      <c r="A258" s="743"/>
      <c r="B258" s="743"/>
      <c r="C258" s="743"/>
      <c r="D258" s="743"/>
      <c r="E258" s="743"/>
      <c r="F258" s="743"/>
      <c r="G258" s="743"/>
      <c r="H258" s="743"/>
      <c r="I258" s="743"/>
      <c r="J258" s="743"/>
      <c r="K258" s="743"/>
      <c r="L258" s="743"/>
      <c r="M258" s="743"/>
      <c r="N258" s="744"/>
      <c r="O258" s="744"/>
      <c r="P258" s="744"/>
      <c r="Q258" s="743"/>
      <c r="R258" s="743"/>
      <c r="S258" s="743"/>
    </row>
    <row r="259" spans="1:19" ht="13">
      <c r="A259" s="743"/>
      <c r="B259" s="743"/>
      <c r="C259" s="743"/>
      <c r="D259" s="743"/>
      <c r="E259" s="743"/>
      <c r="F259" s="743"/>
      <c r="G259" s="743"/>
      <c r="H259" s="743"/>
      <c r="I259" s="743"/>
      <c r="J259" s="743"/>
      <c r="K259" s="743"/>
      <c r="L259" s="743"/>
      <c r="M259" s="743"/>
      <c r="N259" s="744"/>
      <c r="O259" s="744"/>
      <c r="P259" s="744"/>
      <c r="Q259" s="743"/>
      <c r="R259" s="743"/>
      <c r="S259" s="743"/>
    </row>
    <row r="260" spans="1:19" ht="13">
      <c r="A260" s="743"/>
      <c r="B260" s="743"/>
      <c r="C260" s="743"/>
      <c r="D260" s="743"/>
      <c r="E260" s="743"/>
      <c r="F260" s="743"/>
      <c r="G260" s="743"/>
      <c r="H260" s="743"/>
      <c r="I260" s="743"/>
      <c r="J260" s="743"/>
      <c r="K260" s="743"/>
      <c r="L260" s="743"/>
      <c r="M260" s="743"/>
      <c r="N260" s="744"/>
      <c r="O260" s="744"/>
      <c r="P260" s="744"/>
      <c r="Q260" s="743"/>
      <c r="R260" s="743"/>
      <c r="S260" s="743"/>
    </row>
    <row r="261" spans="1:19" ht="13">
      <c r="A261" s="743"/>
      <c r="B261" s="743"/>
      <c r="C261" s="743"/>
      <c r="D261" s="743"/>
      <c r="E261" s="743"/>
      <c r="F261" s="743"/>
      <c r="G261" s="743"/>
      <c r="H261" s="743"/>
      <c r="I261" s="743"/>
      <c r="J261" s="743"/>
      <c r="K261" s="743"/>
      <c r="L261" s="743"/>
      <c r="M261" s="743"/>
      <c r="N261" s="744"/>
      <c r="O261" s="744"/>
      <c r="P261" s="744"/>
      <c r="Q261" s="743"/>
      <c r="R261" s="743"/>
      <c r="S261" s="743"/>
    </row>
    <row r="262" spans="1:19" ht="13">
      <c r="A262" s="743"/>
      <c r="B262" s="743"/>
      <c r="C262" s="743"/>
      <c r="D262" s="743"/>
      <c r="E262" s="743"/>
      <c r="F262" s="743"/>
      <c r="G262" s="743"/>
      <c r="H262" s="743"/>
      <c r="I262" s="743"/>
      <c r="J262" s="743"/>
      <c r="K262" s="743"/>
      <c r="L262" s="743"/>
      <c r="M262" s="743"/>
      <c r="N262" s="744"/>
      <c r="O262" s="744"/>
      <c r="P262" s="744"/>
      <c r="Q262" s="743"/>
      <c r="R262" s="743"/>
      <c r="S262" s="743"/>
    </row>
    <row r="263" spans="1:19" ht="13">
      <c r="A263" s="743"/>
      <c r="B263" s="743"/>
      <c r="C263" s="743"/>
      <c r="D263" s="743"/>
      <c r="E263" s="743"/>
      <c r="F263" s="743"/>
      <c r="G263" s="743"/>
      <c r="H263" s="743"/>
      <c r="I263" s="743"/>
      <c r="J263" s="743"/>
      <c r="K263" s="743"/>
      <c r="L263" s="743"/>
      <c r="M263" s="743"/>
      <c r="N263" s="744"/>
      <c r="O263" s="744"/>
      <c r="P263" s="744"/>
      <c r="Q263" s="743"/>
      <c r="R263" s="743"/>
      <c r="S263" s="743"/>
    </row>
    <row r="264" spans="1:19" ht="13">
      <c r="A264" s="743"/>
      <c r="B264" s="743"/>
      <c r="C264" s="743"/>
      <c r="D264" s="743"/>
      <c r="E264" s="743"/>
      <c r="F264" s="743"/>
      <c r="G264" s="743"/>
      <c r="H264" s="743"/>
      <c r="I264" s="743"/>
      <c r="J264" s="743"/>
      <c r="K264" s="743"/>
      <c r="L264" s="743"/>
      <c r="M264" s="743"/>
      <c r="N264" s="744"/>
      <c r="O264" s="744"/>
      <c r="P264" s="744"/>
      <c r="Q264" s="743"/>
      <c r="R264" s="743"/>
      <c r="S264" s="743"/>
    </row>
    <row r="265" spans="1:19" ht="13">
      <c r="A265" s="743"/>
      <c r="B265" s="743"/>
      <c r="C265" s="743"/>
      <c r="D265" s="743"/>
      <c r="E265" s="743"/>
      <c r="F265" s="743"/>
      <c r="G265" s="743"/>
      <c r="H265" s="743"/>
      <c r="I265" s="743"/>
      <c r="J265" s="743"/>
      <c r="K265" s="743"/>
      <c r="L265" s="743"/>
      <c r="M265" s="743"/>
      <c r="N265" s="744"/>
      <c r="O265" s="744"/>
      <c r="P265" s="744"/>
      <c r="Q265" s="743"/>
      <c r="R265" s="743"/>
      <c r="S265" s="743"/>
    </row>
    <row r="266" spans="1:19" ht="13">
      <c r="A266" s="743"/>
      <c r="B266" s="743"/>
      <c r="C266" s="743"/>
      <c r="D266" s="743"/>
      <c r="E266" s="743"/>
      <c r="F266" s="743"/>
      <c r="G266" s="743"/>
      <c r="H266" s="743"/>
      <c r="I266" s="743"/>
      <c r="J266" s="743"/>
      <c r="K266" s="743"/>
      <c r="L266" s="743"/>
      <c r="M266" s="743"/>
      <c r="N266" s="744"/>
      <c r="O266" s="744"/>
      <c r="P266" s="744"/>
      <c r="Q266" s="743"/>
      <c r="R266" s="743"/>
      <c r="S266" s="743"/>
    </row>
    <row r="267" spans="1:19" ht="13">
      <c r="A267" s="743"/>
      <c r="B267" s="743"/>
      <c r="C267" s="743"/>
      <c r="D267" s="743"/>
      <c r="E267" s="743"/>
      <c r="F267" s="743"/>
      <c r="G267" s="743"/>
      <c r="H267" s="743"/>
      <c r="I267" s="743"/>
      <c r="J267" s="743"/>
      <c r="K267" s="743"/>
      <c r="L267" s="743"/>
      <c r="M267" s="743"/>
      <c r="N267" s="744"/>
      <c r="O267" s="744"/>
      <c r="P267" s="744"/>
      <c r="Q267" s="743"/>
      <c r="R267" s="743"/>
      <c r="S267" s="743"/>
    </row>
    <row r="268" spans="1:19" ht="13">
      <c r="A268" s="743"/>
      <c r="B268" s="743"/>
      <c r="C268" s="743"/>
      <c r="D268" s="743"/>
      <c r="E268" s="743"/>
      <c r="F268" s="743"/>
      <c r="G268" s="743"/>
      <c r="H268" s="743"/>
      <c r="I268" s="743"/>
      <c r="J268" s="743"/>
      <c r="K268" s="743"/>
      <c r="L268" s="743"/>
      <c r="M268" s="743"/>
      <c r="N268" s="744"/>
      <c r="O268" s="744"/>
      <c r="P268" s="744"/>
      <c r="Q268" s="743"/>
      <c r="R268" s="743"/>
      <c r="S268" s="743"/>
    </row>
    <row r="269" spans="1:19" ht="13">
      <c r="A269" s="743"/>
      <c r="B269" s="743"/>
      <c r="C269" s="743"/>
      <c r="D269" s="743"/>
      <c r="E269" s="743"/>
      <c r="F269" s="743"/>
      <c r="G269" s="743"/>
      <c r="H269" s="743"/>
      <c r="I269" s="743"/>
      <c r="J269" s="743"/>
      <c r="K269" s="743"/>
      <c r="L269" s="743"/>
      <c r="M269" s="743"/>
      <c r="N269" s="744"/>
      <c r="O269" s="744"/>
      <c r="P269" s="744"/>
      <c r="Q269" s="743"/>
      <c r="R269" s="743"/>
      <c r="S269" s="743"/>
    </row>
    <row r="270" spans="1:19" ht="13">
      <c r="A270" s="743"/>
      <c r="B270" s="743"/>
      <c r="C270" s="743"/>
      <c r="D270" s="743"/>
      <c r="E270" s="743"/>
      <c r="F270" s="743"/>
      <c r="G270" s="743"/>
      <c r="H270" s="743"/>
      <c r="I270" s="743"/>
      <c r="J270" s="743"/>
      <c r="K270" s="743"/>
      <c r="L270" s="743"/>
      <c r="M270" s="743"/>
      <c r="N270" s="744"/>
      <c r="O270" s="744"/>
      <c r="P270" s="744"/>
      <c r="Q270" s="743"/>
      <c r="R270" s="743"/>
      <c r="S270" s="743"/>
    </row>
    <row r="271" spans="1:19" ht="13">
      <c r="A271" s="743"/>
      <c r="B271" s="743"/>
      <c r="C271" s="743"/>
      <c r="D271" s="743"/>
      <c r="E271" s="743"/>
      <c r="F271" s="743"/>
      <c r="G271" s="743"/>
      <c r="H271" s="743"/>
      <c r="I271" s="743"/>
      <c r="J271" s="743"/>
      <c r="K271" s="743"/>
      <c r="L271" s="743"/>
      <c r="M271" s="743"/>
      <c r="N271" s="744"/>
      <c r="O271" s="744"/>
      <c r="P271" s="744"/>
      <c r="Q271" s="743"/>
      <c r="R271" s="743"/>
      <c r="S271" s="743"/>
    </row>
    <row r="272" spans="1:19" ht="13">
      <c r="A272" s="743"/>
      <c r="B272" s="743"/>
      <c r="C272" s="743"/>
      <c r="D272" s="743"/>
      <c r="E272" s="743"/>
      <c r="F272" s="743"/>
      <c r="G272" s="743"/>
      <c r="H272" s="743"/>
      <c r="I272" s="743"/>
      <c r="J272" s="743"/>
      <c r="K272" s="743"/>
      <c r="L272" s="743"/>
      <c r="M272" s="743"/>
      <c r="N272" s="744"/>
      <c r="O272" s="744"/>
      <c r="P272" s="744"/>
      <c r="Q272" s="743"/>
      <c r="R272" s="743"/>
      <c r="S272" s="743"/>
    </row>
    <row r="273" spans="1:19" ht="13">
      <c r="A273" s="743"/>
      <c r="B273" s="743"/>
      <c r="C273" s="743"/>
      <c r="D273" s="743"/>
      <c r="E273" s="743"/>
      <c r="F273" s="743"/>
      <c r="G273" s="743"/>
      <c r="H273" s="743"/>
      <c r="I273" s="743"/>
      <c r="J273" s="743"/>
      <c r="K273" s="743"/>
      <c r="L273" s="743"/>
      <c r="M273" s="743"/>
      <c r="N273" s="744"/>
      <c r="O273" s="744"/>
      <c r="P273" s="744"/>
      <c r="Q273" s="743"/>
      <c r="R273" s="743"/>
      <c r="S273" s="743"/>
    </row>
    <row r="274" spans="1:19" ht="13">
      <c r="A274" s="743"/>
      <c r="B274" s="743"/>
      <c r="C274" s="743"/>
      <c r="D274" s="743"/>
      <c r="E274" s="743"/>
      <c r="F274" s="743"/>
      <c r="G274" s="743"/>
      <c r="H274" s="743"/>
      <c r="I274" s="743"/>
      <c r="J274" s="743"/>
      <c r="K274" s="743"/>
      <c r="L274" s="743"/>
      <c r="M274" s="743"/>
      <c r="N274" s="744"/>
      <c r="O274" s="744"/>
      <c r="P274" s="744"/>
      <c r="Q274" s="743"/>
      <c r="R274" s="743"/>
      <c r="S274" s="743"/>
    </row>
    <row r="275" spans="1:19" ht="13">
      <c r="A275" s="743"/>
      <c r="B275" s="743"/>
      <c r="C275" s="743"/>
      <c r="D275" s="743"/>
      <c r="E275" s="743"/>
      <c r="F275" s="743"/>
      <c r="G275" s="743"/>
      <c r="H275" s="743"/>
      <c r="I275" s="743"/>
      <c r="J275" s="743"/>
      <c r="K275" s="743"/>
      <c r="L275" s="743"/>
      <c r="M275" s="743"/>
      <c r="N275" s="744"/>
      <c r="O275" s="744"/>
      <c r="P275" s="744"/>
      <c r="Q275" s="743"/>
      <c r="R275" s="743"/>
      <c r="S275" s="743"/>
    </row>
    <row r="276" spans="1:19" ht="13">
      <c r="A276" s="743"/>
      <c r="B276" s="743"/>
      <c r="C276" s="743"/>
      <c r="D276" s="743"/>
      <c r="E276" s="743"/>
      <c r="F276" s="743"/>
      <c r="G276" s="743"/>
      <c r="H276" s="743"/>
      <c r="I276" s="743"/>
      <c r="J276" s="743"/>
      <c r="K276" s="743"/>
      <c r="L276" s="743"/>
      <c r="M276" s="743"/>
      <c r="N276" s="744"/>
      <c r="O276" s="744"/>
      <c r="P276" s="744"/>
      <c r="Q276" s="743"/>
      <c r="R276" s="743"/>
      <c r="S276" s="743"/>
    </row>
    <row r="277" spans="1:19" ht="13">
      <c r="A277" s="743"/>
      <c r="B277" s="743"/>
      <c r="C277" s="743"/>
      <c r="D277" s="743"/>
      <c r="E277" s="743"/>
      <c r="F277" s="743"/>
      <c r="G277" s="743"/>
      <c r="H277" s="743"/>
      <c r="I277" s="743"/>
      <c r="J277" s="743"/>
      <c r="K277" s="743"/>
      <c r="L277" s="743"/>
      <c r="M277" s="743"/>
      <c r="N277" s="744"/>
      <c r="O277" s="744"/>
      <c r="P277" s="744"/>
      <c r="Q277" s="743"/>
      <c r="R277" s="743"/>
      <c r="S277" s="743"/>
    </row>
    <row r="278" spans="1:19" ht="13">
      <c r="A278" s="743"/>
      <c r="B278" s="743"/>
      <c r="C278" s="743"/>
      <c r="D278" s="743"/>
      <c r="E278" s="743"/>
      <c r="F278" s="743"/>
      <c r="G278" s="743"/>
      <c r="H278" s="743"/>
      <c r="I278" s="743"/>
      <c r="J278" s="743"/>
      <c r="K278" s="743"/>
      <c r="L278" s="743"/>
      <c r="M278" s="743"/>
      <c r="N278" s="744"/>
      <c r="O278" s="744"/>
      <c r="P278" s="744"/>
      <c r="Q278" s="743"/>
      <c r="R278" s="743"/>
      <c r="S278" s="743"/>
    </row>
    <row r="279" spans="1:19" ht="13">
      <c r="A279" s="743"/>
      <c r="B279" s="743"/>
      <c r="C279" s="743"/>
      <c r="D279" s="743"/>
      <c r="E279" s="743"/>
      <c r="F279" s="743"/>
      <c r="G279" s="743"/>
      <c r="H279" s="743"/>
      <c r="I279" s="743"/>
      <c r="J279" s="743"/>
      <c r="K279" s="743"/>
      <c r="L279" s="743"/>
      <c r="M279" s="743"/>
      <c r="N279" s="744"/>
      <c r="O279" s="744"/>
      <c r="P279" s="744"/>
      <c r="Q279" s="743"/>
      <c r="R279" s="743"/>
      <c r="S279" s="743"/>
    </row>
    <row r="280" spans="1:19" ht="13">
      <c r="A280" s="743"/>
      <c r="B280" s="743"/>
      <c r="C280" s="743"/>
      <c r="D280" s="743"/>
      <c r="E280" s="743"/>
      <c r="F280" s="743"/>
      <c r="G280" s="743"/>
      <c r="H280" s="743"/>
      <c r="I280" s="743"/>
      <c r="J280" s="743"/>
      <c r="K280" s="743"/>
      <c r="L280" s="743"/>
      <c r="M280" s="743"/>
      <c r="N280" s="744"/>
      <c r="O280" s="744"/>
      <c r="P280" s="744"/>
      <c r="Q280" s="743"/>
      <c r="R280" s="743"/>
      <c r="S280" s="743"/>
    </row>
    <row r="281" spans="1:19" ht="13">
      <c r="A281" s="743"/>
      <c r="B281" s="743"/>
      <c r="C281" s="743"/>
      <c r="D281" s="743"/>
      <c r="E281" s="743"/>
      <c r="F281" s="743"/>
      <c r="G281" s="743"/>
      <c r="H281" s="743"/>
      <c r="I281" s="743"/>
      <c r="J281" s="743"/>
      <c r="K281" s="743"/>
      <c r="L281" s="743"/>
      <c r="M281" s="743"/>
      <c r="N281" s="744"/>
      <c r="O281" s="744"/>
      <c r="P281" s="744"/>
      <c r="Q281" s="743"/>
      <c r="R281" s="743"/>
      <c r="S281" s="743"/>
    </row>
    <row r="282" spans="1:19" ht="13">
      <c r="A282" s="743"/>
      <c r="B282" s="743"/>
      <c r="C282" s="743"/>
      <c r="D282" s="743"/>
      <c r="E282" s="743"/>
      <c r="F282" s="743"/>
      <c r="G282" s="743"/>
      <c r="H282" s="743"/>
      <c r="I282" s="743"/>
      <c r="J282" s="743"/>
      <c r="K282" s="743"/>
      <c r="L282" s="743"/>
      <c r="M282" s="743"/>
      <c r="N282" s="744"/>
      <c r="O282" s="744"/>
      <c r="P282" s="744"/>
      <c r="Q282" s="743"/>
      <c r="R282" s="743"/>
      <c r="S282" s="743"/>
    </row>
    <row r="283" spans="1:19" ht="13">
      <c r="A283" s="743"/>
      <c r="B283" s="743"/>
      <c r="C283" s="743"/>
      <c r="D283" s="743"/>
      <c r="E283" s="743"/>
      <c r="F283" s="743"/>
      <c r="G283" s="743"/>
      <c r="H283" s="743"/>
      <c r="I283" s="743"/>
      <c r="J283" s="743"/>
      <c r="K283" s="743"/>
      <c r="L283" s="743"/>
      <c r="M283" s="743"/>
      <c r="N283" s="744"/>
      <c r="O283" s="744"/>
      <c r="P283" s="744"/>
      <c r="Q283" s="743"/>
      <c r="R283" s="743"/>
      <c r="S283" s="743"/>
    </row>
    <row r="284" spans="1:19" ht="13">
      <c r="A284" s="743"/>
      <c r="B284" s="743"/>
      <c r="C284" s="743"/>
      <c r="D284" s="743"/>
      <c r="E284" s="743"/>
      <c r="F284" s="743"/>
      <c r="G284" s="743"/>
      <c r="H284" s="743"/>
      <c r="I284" s="743"/>
      <c r="J284" s="743"/>
      <c r="K284" s="743"/>
      <c r="L284" s="743"/>
      <c r="M284" s="743"/>
      <c r="N284" s="744"/>
      <c r="O284" s="744"/>
      <c r="P284" s="744"/>
      <c r="Q284" s="743"/>
      <c r="R284" s="743"/>
      <c r="S284" s="743"/>
    </row>
    <row r="285" spans="1:19" ht="13">
      <c r="A285" s="743"/>
      <c r="B285" s="743"/>
      <c r="C285" s="743"/>
      <c r="D285" s="743"/>
      <c r="E285" s="743"/>
      <c r="F285" s="743"/>
      <c r="G285" s="743"/>
      <c r="H285" s="743"/>
      <c r="I285" s="743"/>
      <c r="J285" s="743"/>
      <c r="K285" s="743"/>
      <c r="L285" s="743"/>
      <c r="M285" s="743"/>
      <c r="N285" s="744"/>
      <c r="O285" s="744"/>
      <c r="P285" s="744"/>
      <c r="Q285" s="743"/>
      <c r="R285" s="743"/>
      <c r="S285" s="743"/>
    </row>
    <row r="286" spans="1:19" ht="13">
      <c r="A286" s="743"/>
      <c r="B286" s="743"/>
      <c r="C286" s="743"/>
      <c r="D286" s="743"/>
      <c r="E286" s="743"/>
      <c r="F286" s="743"/>
      <c r="G286" s="743"/>
      <c r="H286" s="743"/>
      <c r="I286" s="743"/>
      <c r="J286" s="743"/>
      <c r="K286" s="743"/>
      <c r="L286" s="743"/>
      <c r="M286" s="743"/>
      <c r="N286" s="744"/>
      <c r="O286" s="744"/>
      <c r="P286" s="744"/>
      <c r="Q286" s="743"/>
      <c r="R286" s="743"/>
      <c r="S286" s="743"/>
    </row>
    <row r="287" spans="1:19" ht="13">
      <c r="A287" s="743"/>
      <c r="B287" s="743"/>
      <c r="C287" s="743"/>
      <c r="D287" s="743"/>
      <c r="E287" s="743"/>
      <c r="F287" s="743"/>
      <c r="G287" s="743"/>
      <c r="H287" s="743"/>
      <c r="I287" s="743"/>
      <c r="J287" s="743"/>
      <c r="K287" s="743"/>
      <c r="L287" s="743"/>
      <c r="M287" s="743"/>
      <c r="N287" s="744"/>
      <c r="O287" s="744"/>
      <c r="P287" s="744"/>
      <c r="Q287" s="743"/>
      <c r="R287" s="743"/>
      <c r="S287" s="743"/>
    </row>
    <row r="288" spans="1:19" ht="13">
      <c r="A288" s="743"/>
      <c r="B288" s="743"/>
      <c r="C288" s="743"/>
      <c r="D288" s="743"/>
      <c r="E288" s="743"/>
      <c r="F288" s="743"/>
      <c r="G288" s="743"/>
      <c r="H288" s="743"/>
      <c r="I288" s="743"/>
      <c r="J288" s="743"/>
      <c r="K288" s="743"/>
      <c r="L288" s="743"/>
      <c r="M288" s="743"/>
      <c r="N288" s="744"/>
      <c r="O288" s="744"/>
      <c r="P288" s="744"/>
      <c r="Q288" s="743"/>
      <c r="R288" s="743"/>
      <c r="S288" s="743"/>
    </row>
    <row r="289" spans="1:19" ht="13">
      <c r="A289" s="743"/>
      <c r="B289" s="743"/>
      <c r="C289" s="743"/>
      <c r="D289" s="743"/>
      <c r="E289" s="743"/>
      <c r="F289" s="743"/>
      <c r="G289" s="743"/>
      <c r="H289" s="743"/>
      <c r="I289" s="743"/>
      <c r="J289" s="743"/>
      <c r="K289" s="743"/>
      <c r="L289" s="743"/>
      <c r="M289" s="743"/>
      <c r="N289" s="744"/>
      <c r="O289" s="744"/>
      <c r="P289" s="744"/>
      <c r="Q289" s="743"/>
      <c r="R289" s="743"/>
      <c r="S289" s="743"/>
    </row>
    <row r="290" spans="1:19" ht="13">
      <c r="A290" s="743"/>
      <c r="B290" s="743"/>
      <c r="C290" s="743"/>
      <c r="D290" s="743"/>
      <c r="E290" s="743"/>
      <c r="F290" s="743"/>
      <c r="G290" s="743"/>
      <c r="H290" s="743"/>
      <c r="I290" s="743"/>
      <c r="J290" s="743"/>
      <c r="K290" s="743"/>
      <c r="L290" s="743"/>
      <c r="M290" s="743"/>
      <c r="N290" s="744"/>
      <c r="O290" s="744"/>
      <c r="P290" s="744"/>
      <c r="Q290" s="743"/>
      <c r="R290" s="743"/>
      <c r="S290" s="743"/>
    </row>
    <row r="291" spans="1:19" ht="13">
      <c r="A291" s="743"/>
      <c r="B291" s="743"/>
      <c r="C291" s="743"/>
      <c r="D291" s="743"/>
      <c r="E291" s="743"/>
      <c r="F291" s="743"/>
      <c r="G291" s="743"/>
      <c r="H291" s="743"/>
      <c r="I291" s="743"/>
      <c r="J291" s="743"/>
      <c r="K291" s="743"/>
      <c r="L291" s="743"/>
      <c r="M291" s="743"/>
      <c r="N291" s="744"/>
      <c r="O291" s="744"/>
      <c r="P291" s="744"/>
      <c r="Q291" s="743"/>
      <c r="R291" s="743"/>
      <c r="S291" s="743"/>
    </row>
    <row r="292" spans="1:19" ht="13">
      <c r="A292" s="743"/>
      <c r="B292" s="743"/>
      <c r="C292" s="743"/>
      <c r="D292" s="743"/>
      <c r="E292" s="743"/>
      <c r="F292" s="743"/>
      <c r="G292" s="743"/>
      <c r="H292" s="743"/>
      <c r="I292" s="743"/>
      <c r="J292" s="743"/>
      <c r="K292" s="743"/>
      <c r="L292" s="743"/>
      <c r="M292" s="743"/>
      <c r="N292" s="744"/>
      <c r="O292" s="744"/>
      <c r="P292" s="744"/>
      <c r="Q292" s="743"/>
      <c r="R292" s="743"/>
      <c r="S292" s="743"/>
    </row>
    <row r="293" spans="1:19" ht="13">
      <c r="A293" s="743"/>
      <c r="B293" s="743"/>
      <c r="C293" s="743"/>
      <c r="D293" s="743"/>
      <c r="E293" s="743"/>
      <c r="F293" s="743"/>
      <c r="G293" s="743"/>
      <c r="H293" s="743"/>
      <c r="I293" s="743"/>
      <c r="J293" s="743"/>
      <c r="K293" s="743"/>
      <c r="L293" s="743"/>
      <c r="M293" s="743"/>
      <c r="N293" s="744"/>
      <c r="O293" s="744"/>
      <c r="P293" s="744"/>
      <c r="Q293" s="743"/>
      <c r="R293" s="743"/>
      <c r="S293" s="743"/>
    </row>
    <row r="294" spans="1:19" ht="13">
      <c r="A294" s="743"/>
      <c r="B294" s="743"/>
      <c r="C294" s="743"/>
      <c r="D294" s="743"/>
      <c r="E294" s="743"/>
      <c r="F294" s="743"/>
      <c r="G294" s="743"/>
      <c r="H294" s="743"/>
      <c r="I294" s="743"/>
      <c r="J294" s="743"/>
      <c r="K294" s="743"/>
      <c r="L294" s="743"/>
      <c r="M294" s="743"/>
      <c r="N294" s="744"/>
      <c r="O294" s="744"/>
      <c r="P294" s="744"/>
      <c r="Q294" s="743"/>
      <c r="R294" s="743"/>
      <c r="S294" s="743"/>
    </row>
    <row r="295" spans="1:19" ht="13">
      <c r="A295" s="743"/>
      <c r="B295" s="743"/>
      <c r="C295" s="743"/>
      <c r="D295" s="743"/>
      <c r="E295" s="743"/>
      <c r="F295" s="743"/>
      <c r="G295" s="743"/>
      <c r="H295" s="743"/>
      <c r="I295" s="743"/>
      <c r="J295" s="743"/>
      <c r="K295" s="743"/>
      <c r="L295" s="743"/>
      <c r="M295" s="743"/>
      <c r="N295" s="744"/>
      <c r="O295" s="744"/>
      <c r="P295" s="744"/>
      <c r="Q295" s="743"/>
      <c r="R295" s="743"/>
      <c r="S295" s="743"/>
    </row>
    <row r="296" spans="1:19" ht="13">
      <c r="A296" s="743"/>
      <c r="B296" s="743"/>
      <c r="C296" s="743"/>
      <c r="D296" s="743"/>
      <c r="E296" s="743"/>
      <c r="F296" s="743"/>
      <c r="G296" s="743"/>
      <c r="H296" s="743"/>
      <c r="I296" s="743"/>
      <c r="J296" s="743"/>
      <c r="K296" s="743"/>
      <c r="L296" s="743"/>
      <c r="M296" s="743"/>
      <c r="N296" s="744"/>
      <c r="O296" s="744"/>
      <c r="P296" s="744"/>
      <c r="Q296" s="743"/>
      <c r="R296" s="743"/>
      <c r="S296" s="743"/>
    </row>
    <row r="297" spans="1:19" ht="13">
      <c r="A297" s="743"/>
      <c r="B297" s="743"/>
      <c r="C297" s="743"/>
      <c r="D297" s="743"/>
      <c r="E297" s="743"/>
      <c r="F297" s="743"/>
      <c r="G297" s="743"/>
      <c r="H297" s="743"/>
      <c r="I297" s="743"/>
      <c r="J297" s="743"/>
      <c r="K297" s="743"/>
      <c r="L297" s="743"/>
      <c r="M297" s="743"/>
      <c r="N297" s="744"/>
      <c r="O297" s="744"/>
      <c r="P297" s="744"/>
      <c r="Q297" s="743"/>
      <c r="R297" s="743"/>
      <c r="S297" s="743"/>
    </row>
    <row r="298" spans="1:19" ht="13">
      <c r="A298" s="743"/>
      <c r="B298" s="743"/>
      <c r="C298" s="743"/>
      <c r="D298" s="743"/>
      <c r="E298" s="743"/>
      <c r="F298" s="743"/>
      <c r="G298" s="743"/>
      <c r="H298" s="743"/>
      <c r="I298" s="743"/>
      <c r="J298" s="743"/>
      <c r="K298" s="743"/>
      <c r="L298" s="743"/>
      <c r="M298" s="743"/>
      <c r="N298" s="744"/>
      <c r="O298" s="744"/>
      <c r="P298" s="744"/>
      <c r="Q298" s="743"/>
      <c r="R298" s="743"/>
      <c r="S298" s="743"/>
    </row>
    <row r="299" spans="1:19" ht="13">
      <c r="A299" s="743"/>
      <c r="B299" s="743"/>
      <c r="C299" s="743"/>
      <c r="D299" s="743"/>
      <c r="E299" s="743"/>
      <c r="F299" s="743"/>
      <c r="G299" s="743"/>
      <c r="H299" s="743"/>
      <c r="I299" s="743"/>
      <c r="J299" s="743"/>
      <c r="K299" s="743"/>
      <c r="L299" s="743"/>
      <c r="M299" s="743"/>
      <c r="N299" s="744"/>
      <c r="O299" s="744"/>
      <c r="P299" s="744"/>
      <c r="Q299" s="743"/>
      <c r="R299" s="743"/>
      <c r="S299" s="743"/>
    </row>
    <row r="300" spans="1:19" ht="13">
      <c r="A300" s="743"/>
      <c r="B300" s="743"/>
      <c r="C300" s="743"/>
      <c r="D300" s="743"/>
      <c r="E300" s="743"/>
      <c r="F300" s="743"/>
      <c r="G300" s="743"/>
      <c r="H300" s="743"/>
      <c r="I300" s="743"/>
      <c r="J300" s="743"/>
      <c r="K300" s="743"/>
      <c r="L300" s="743"/>
      <c r="M300" s="743"/>
      <c r="N300" s="744"/>
      <c r="O300" s="744"/>
      <c r="P300" s="744"/>
      <c r="Q300" s="743"/>
      <c r="R300" s="743"/>
      <c r="S300" s="743"/>
    </row>
    <row r="301" spans="1:19" ht="13">
      <c r="A301" s="743"/>
      <c r="B301" s="743"/>
      <c r="C301" s="743"/>
      <c r="D301" s="743"/>
      <c r="E301" s="743"/>
      <c r="F301" s="743"/>
      <c r="G301" s="743"/>
      <c r="H301" s="743"/>
      <c r="I301" s="743"/>
      <c r="J301" s="743"/>
      <c r="K301" s="743"/>
      <c r="L301" s="743"/>
      <c r="M301" s="743"/>
      <c r="N301" s="744"/>
      <c r="O301" s="744"/>
      <c r="P301" s="744"/>
      <c r="Q301" s="743"/>
      <c r="R301" s="743"/>
      <c r="S301" s="743"/>
    </row>
    <row r="302" spans="1:19" ht="13">
      <c r="A302" s="743"/>
      <c r="B302" s="743"/>
      <c r="C302" s="743"/>
      <c r="D302" s="743"/>
      <c r="E302" s="743"/>
      <c r="F302" s="743"/>
      <c r="G302" s="743"/>
      <c r="H302" s="743"/>
      <c r="I302" s="743"/>
      <c r="J302" s="743"/>
      <c r="K302" s="743"/>
      <c r="L302" s="743"/>
      <c r="M302" s="743"/>
      <c r="N302" s="744"/>
      <c r="O302" s="744"/>
      <c r="P302" s="744"/>
      <c r="Q302" s="743"/>
      <c r="R302" s="743"/>
      <c r="S302" s="743"/>
    </row>
    <row r="303" spans="1:19" ht="13">
      <c r="A303" s="743"/>
      <c r="B303" s="743"/>
      <c r="C303" s="743"/>
      <c r="D303" s="743"/>
      <c r="E303" s="743"/>
      <c r="F303" s="743"/>
      <c r="G303" s="743"/>
      <c r="H303" s="743"/>
      <c r="I303" s="743"/>
      <c r="J303" s="743"/>
      <c r="K303" s="743"/>
      <c r="L303" s="743"/>
      <c r="M303" s="743"/>
      <c r="N303" s="744"/>
      <c r="O303" s="744"/>
      <c r="P303" s="744"/>
      <c r="Q303" s="743"/>
      <c r="R303" s="743"/>
      <c r="S303" s="743"/>
    </row>
    <row r="304" spans="1:19" ht="13">
      <c r="A304" s="743"/>
      <c r="B304" s="743"/>
      <c r="C304" s="743"/>
      <c r="D304" s="743"/>
      <c r="E304" s="743"/>
      <c r="F304" s="743"/>
      <c r="G304" s="743"/>
      <c r="H304" s="743"/>
      <c r="I304" s="743"/>
      <c r="J304" s="743"/>
      <c r="K304" s="743"/>
      <c r="L304" s="743"/>
      <c r="M304" s="743"/>
      <c r="N304" s="744"/>
      <c r="O304" s="744"/>
      <c r="P304" s="744"/>
      <c r="Q304" s="743"/>
      <c r="R304" s="743"/>
      <c r="S304" s="743"/>
    </row>
    <row r="305" spans="1:19" ht="13">
      <c r="A305" s="743"/>
      <c r="B305" s="743"/>
      <c r="C305" s="743"/>
      <c r="D305" s="743"/>
      <c r="E305" s="743"/>
      <c r="F305" s="743"/>
      <c r="G305" s="743"/>
      <c r="H305" s="743"/>
      <c r="I305" s="743"/>
      <c r="J305" s="743"/>
      <c r="K305" s="743"/>
      <c r="L305" s="743"/>
      <c r="M305" s="743"/>
      <c r="N305" s="744"/>
      <c r="O305" s="744"/>
      <c r="P305" s="744"/>
      <c r="Q305" s="743"/>
      <c r="R305" s="743"/>
      <c r="S305" s="743"/>
    </row>
    <row r="306" spans="1:19" ht="13">
      <c r="A306" s="743"/>
      <c r="B306" s="743"/>
      <c r="C306" s="743"/>
      <c r="D306" s="743"/>
      <c r="E306" s="743"/>
      <c r="F306" s="743"/>
      <c r="G306" s="743"/>
      <c r="H306" s="743"/>
      <c r="I306" s="743"/>
      <c r="J306" s="743"/>
      <c r="K306" s="743"/>
      <c r="L306" s="743"/>
      <c r="M306" s="743"/>
      <c r="N306" s="744"/>
      <c r="O306" s="744"/>
      <c r="P306" s="744"/>
      <c r="Q306" s="743"/>
      <c r="R306" s="743"/>
      <c r="S306" s="743"/>
    </row>
    <row r="307" spans="1:19" ht="13">
      <c r="A307" s="743"/>
      <c r="B307" s="743"/>
      <c r="C307" s="743"/>
      <c r="D307" s="743"/>
      <c r="E307" s="743"/>
      <c r="F307" s="743"/>
      <c r="G307" s="743"/>
      <c r="H307" s="743"/>
      <c r="I307" s="743"/>
      <c r="J307" s="743"/>
      <c r="K307" s="743"/>
      <c r="L307" s="743"/>
      <c r="M307" s="743"/>
      <c r="N307" s="744"/>
      <c r="O307" s="744"/>
      <c r="P307" s="744"/>
      <c r="Q307" s="743"/>
      <c r="R307" s="743"/>
      <c r="S307" s="743"/>
    </row>
    <row r="308" spans="1:19" ht="13">
      <c r="A308" s="743"/>
      <c r="B308" s="743"/>
      <c r="C308" s="743"/>
      <c r="D308" s="743"/>
      <c r="E308" s="743"/>
      <c r="F308" s="743"/>
      <c r="G308" s="743"/>
      <c r="H308" s="743"/>
      <c r="I308" s="743"/>
      <c r="J308" s="743"/>
      <c r="K308" s="743"/>
      <c r="L308" s="743"/>
      <c r="M308" s="743"/>
      <c r="N308" s="744"/>
      <c r="O308" s="744"/>
      <c r="P308" s="744"/>
      <c r="Q308" s="743"/>
      <c r="R308" s="743"/>
      <c r="S308" s="743"/>
    </row>
    <row r="309" spans="1:19" ht="13">
      <c r="A309" s="743"/>
      <c r="B309" s="743"/>
      <c r="C309" s="743"/>
      <c r="D309" s="743"/>
      <c r="E309" s="743"/>
      <c r="F309" s="743"/>
      <c r="G309" s="743"/>
      <c r="H309" s="743"/>
      <c r="I309" s="743"/>
      <c r="J309" s="743"/>
      <c r="K309" s="743"/>
      <c r="L309" s="743"/>
      <c r="M309" s="743"/>
      <c r="N309" s="744"/>
      <c r="O309" s="744"/>
      <c r="P309" s="744"/>
      <c r="Q309" s="743"/>
      <c r="R309" s="743"/>
      <c r="S309" s="743"/>
    </row>
    <row r="310" spans="1:19" ht="13">
      <c r="A310" s="743"/>
      <c r="B310" s="743"/>
      <c r="C310" s="743"/>
      <c r="D310" s="743"/>
      <c r="E310" s="743"/>
      <c r="F310" s="743"/>
      <c r="G310" s="743"/>
      <c r="H310" s="743"/>
      <c r="I310" s="743"/>
      <c r="J310" s="743"/>
      <c r="K310" s="743"/>
      <c r="L310" s="743"/>
      <c r="M310" s="743"/>
      <c r="N310" s="744"/>
      <c r="O310" s="744"/>
      <c r="P310" s="744"/>
      <c r="Q310" s="743"/>
      <c r="R310" s="743"/>
      <c r="S310" s="743"/>
    </row>
    <row r="311" spans="1:19" ht="13">
      <c r="A311" s="743"/>
      <c r="B311" s="743"/>
      <c r="C311" s="743"/>
      <c r="D311" s="743"/>
      <c r="E311" s="743"/>
      <c r="F311" s="743"/>
      <c r="G311" s="743"/>
      <c r="H311" s="743"/>
      <c r="I311" s="743"/>
      <c r="J311" s="743"/>
      <c r="K311" s="743"/>
      <c r="L311" s="743"/>
      <c r="M311" s="743"/>
      <c r="N311" s="744"/>
      <c r="O311" s="744"/>
      <c r="P311" s="744"/>
      <c r="Q311" s="743"/>
      <c r="R311" s="743"/>
      <c r="S311" s="743"/>
    </row>
    <row r="312" spans="1:19" ht="13">
      <c r="A312" s="743"/>
      <c r="B312" s="743"/>
      <c r="C312" s="743"/>
      <c r="D312" s="743"/>
      <c r="E312" s="743"/>
      <c r="F312" s="743"/>
      <c r="G312" s="743"/>
      <c r="H312" s="743"/>
      <c r="I312" s="743"/>
      <c r="J312" s="743"/>
      <c r="K312" s="743"/>
      <c r="L312" s="743"/>
      <c r="M312" s="743"/>
      <c r="N312" s="744"/>
      <c r="O312" s="744"/>
      <c r="P312" s="744"/>
      <c r="Q312" s="743"/>
      <c r="R312" s="743"/>
      <c r="S312" s="743"/>
    </row>
    <row r="313" spans="1:19" ht="13">
      <c r="A313" s="743"/>
      <c r="B313" s="743"/>
      <c r="C313" s="743"/>
      <c r="D313" s="743"/>
      <c r="E313" s="743"/>
      <c r="F313" s="743"/>
      <c r="G313" s="743"/>
      <c r="H313" s="743"/>
      <c r="I313" s="743"/>
      <c r="J313" s="743"/>
      <c r="K313" s="743"/>
      <c r="L313" s="743"/>
      <c r="M313" s="743"/>
      <c r="N313" s="744"/>
      <c r="O313" s="744"/>
      <c r="P313" s="744"/>
      <c r="Q313" s="743"/>
      <c r="R313" s="743"/>
      <c r="S313" s="743"/>
    </row>
    <row r="314" spans="1:19" ht="13">
      <c r="A314" s="743"/>
      <c r="B314" s="743"/>
      <c r="C314" s="743"/>
      <c r="D314" s="743"/>
      <c r="E314" s="743"/>
      <c r="F314" s="743"/>
      <c r="G314" s="743"/>
      <c r="H314" s="743"/>
      <c r="I314" s="743"/>
      <c r="J314" s="743"/>
      <c r="K314" s="743"/>
      <c r="L314" s="743"/>
      <c r="M314" s="743"/>
      <c r="N314" s="744"/>
      <c r="O314" s="744"/>
      <c r="P314" s="744"/>
      <c r="Q314" s="743"/>
      <c r="R314" s="743"/>
      <c r="S314" s="743"/>
    </row>
    <row r="315" spans="1:19" ht="13">
      <c r="A315" s="743"/>
      <c r="B315" s="743"/>
      <c r="C315" s="743"/>
      <c r="D315" s="743"/>
      <c r="E315" s="743"/>
      <c r="F315" s="743"/>
      <c r="G315" s="743"/>
      <c r="H315" s="743"/>
      <c r="I315" s="743"/>
      <c r="J315" s="743"/>
      <c r="K315" s="743"/>
      <c r="L315" s="743"/>
      <c r="M315" s="743"/>
      <c r="N315" s="744"/>
      <c r="O315" s="744"/>
      <c r="P315" s="744"/>
      <c r="Q315" s="743"/>
      <c r="R315" s="743"/>
      <c r="S315" s="743"/>
    </row>
    <row r="316" spans="1:19" ht="13">
      <c r="A316" s="743"/>
      <c r="B316" s="743"/>
      <c r="C316" s="743"/>
      <c r="D316" s="743"/>
      <c r="E316" s="743"/>
      <c r="F316" s="743"/>
      <c r="G316" s="743"/>
      <c r="H316" s="743"/>
      <c r="I316" s="743"/>
      <c r="J316" s="743"/>
      <c r="K316" s="743"/>
      <c r="L316" s="743"/>
      <c r="M316" s="743"/>
      <c r="N316" s="744"/>
      <c r="O316" s="744"/>
      <c r="P316" s="744"/>
      <c r="Q316" s="743"/>
      <c r="R316" s="743"/>
      <c r="S316" s="743"/>
    </row>
    <row r="317" spans="1:19" ht="13">
      <c r="A317" s="743"/>
      <c r="B317" s="743"/>
      <c r="C317" s="743"/>
      <c r="D317" s="743"/>
      <c r="E317" s="743"/>
      <c r="F317" s="743"/>
      <c r="G317" s="743"/>
      <c r="H317" s="743"/>
      <c r="I317" s="743"/>
      <c r="J317" s="743"/>
      <c r="K317" s="743"/>
      <c r="L317" s="743"/>
      <c r="M317" s="743"/>
      <c r="N317" s="744"/>
      <c r="O317" s="744"/>
      <c r="P317" s="744"/>
      <c r="Q317" s="743"/>
      <c r="R317" s="743"/>
      <c r="S317" s="743"/>
    </row>
    <row r="318" spans="1:19" ht="13">
      <c r="A318" s="743"/>
      <c r="B318" s="743"/>
      <c r="C318" s="743"/>
      <c r="D318" s="743"/>
      <c r="E318" s="743"/>
      <c r="F318" s="743"/>
      <c r="G318" s="743"/>
      <c r="H318" s="743"/>
      <c r="I318" s="743"/>
      <c r="J318" s="743"/>
      <c r="K318" s="743"/>
      <c r="L318" s="743"/>
      <c r="M318" s="743"/>
      <c r="N318" s="744"/>
      <c r="O318" s="744"/>
      <c r="P318" s="744"/>
      <c r="Q318" s="743"/>
      <c r="R318" s="743"/>
      <c r="S318" s="743"/>
    </row>
    <row r="319" spans="1:19" ht="13">
      <c r="A319" s="743"/>
      <c r="B319" s="743"/>
      <c r="C319" s="743"/>
      <c r="D319" s="743"/>
      <c r="E319" s="743"/>
      <c r="F319" s="743"/>
      <c r="G319" s="743"/>
      <c r="H319" s="743"/>
      <c r="I319" s="743"/>
      <c r="J319" s="743"/>
      <c r="K319" s="743"/>
      <c r="L319" s="743"/>
      <c r="M319" s="743"/>
      <c r="N319" s="744"/>
      <c r="O319" s="744"/>
      <c r="P319" s="744"/>
      <c r="Q319" s="743"/>
      <c r="R319" s="743"/>
      <c r="S319" s="743"/>
    </row>
    <row r="320" spans="1:19" ht="13">
      <c r="A320" s="743"/>
      <c r="B320" s="743"/>
      <c r="C320" s="743"/>
      <c r="D320" s="743"/>
      <c r="E320" s="743"/>
      <c r="F320" s="743"/>
      <c r="G320" s="743"/>
      <c r="H320" s="743"/>
      <c r="I320" s="743"/>
      <c r="J320" s="743"/>
      <c r="K320" s="743"/>
      <c r="L320" s="743"/>
      <c r="M320" s="743"/>
      <c r="N320" s="744"/>
      <c r="O320" s="744"/>
      <c r="P320" s="744"/>
      <c r="Q320" s="743"/>
      <c r="R320" s="743"/>
      <c r="S320" s="743"/>
    </row>
    <row r="321" spans="1:19" ht="13">
      <c r="A321" s="743"/>
      <c r="B321" s="743"/>
      <c r="C321" s="743"/>
      <c r="D321" s="743"/>
      <c r="E321" s="743"/>
      <c r="F321" s="743"/>
      <c r="G321" s="743"/>
      <c r="H321" s="743"/>
      <c r="I321" s="743"/>
      <c r="J321" s="743"/>
      <c r="K321" s="743"/>
      <c r="L321" s="743"/>
      <c r="M321" s="743"/>
      <c r="N321" s="744"/>
      <c r="O321" s="744"/>
      <c r="P321" s="744"/>
      <c r="Q321" s="743"/>
      <c r="R321" s="743"/>
      <c r="S321" s="743"/>
    </row>
    <row r="322" spans="1:19" ht="13">
      <c r="A322" s="743"/>
      <c r="B322" s="743"/>
      <c r="C322" s="743"/>
      <c r="D322" s="743"/>
      <c r="E322" s="743"/>
      <c r="F322" s="743"/>
      <c r="G322" s="743"/>
      <c r="H322" s="743"/>
      <c r="I322" s="743"/>
      <c r="J322" s="743"/>
      <c r="K322" s="743"/>
      <c r="L322" s="743"/>
      <c r="M322" s="743"/>
      <c r="N322" s="744"/>
      <c r="O322" s="744"/>
      <c r="P322" s="744"/>
      <c r="Q322" s="743"/>
      <c r="R322" s="743"/>
      <c r="S322" s="743"/>
    </row>
    <row r="323" spans="1:19" ht="13">
      <c r="A323" s="743"/>
      <c r="B323" s="743"/>
      <c r="C323" s="743"/>
      <c r="D323" s="743"/>
      <c r="E323" s="743"/>
      <c r="F323" s="743"/>
      <c r="G323" s="743"/>
      <c r="H323" s="743"/>
      <c r="I323" s="743"/>
      <c r="J323" s="743"/>
      <c r="K323" s="743"/>
      <c r="L323" s="743"/>
      <c r="M323" s="743"/>
      <c r="N323" s="744"/>
      <c r="O323" s="744"/>
      <c r="P323" s="744"/>
      <c r="Q323" s="743"/>
      <c r="R323" s="743"/>
      <c r="S323" s="743"/>
    </row>
    <row r="324" spans="1:19" ht="13">
      <c r="A324" s="743"/>
      <c r="B324" s="743"/>
      <c r="C324" s="743"/>
      <c r="D324" s="743"/>
      <c r="E324" s="743"/>
      <c r="F324" s="743"/>
      <c r="G324" s="743"/>
      <c r="H324" s="743"/>
      <c r="I324" s="743"/>
      <c r="J324" s="743"/>
      <c r="K324" s="743"/>
      <c r="L324" s="743"/>
      <c r="M324" s="743"/>
      <c r="N324" s="744"/>
      <c r="O324" s="744"/>
      <c r="P324" s="744"/>
      <c r="Q324" s="743"/>
      <c r="R324" s="743"/>
      <c r="S324" s="743"/>
    </row>
    <row r="325" spans="1:19" ht="13">
      <c r="A325" s="743"/>
      <c r="B325" s="743"/>
      <c r="C325" s="743"/>
      <c r="D325" s="743"/>
      <c r="E325" s="743"/>
      <c r="F325" s="743"/>
      <c r="G325" s="743"/>
      <c r="H325" s="743"/>
      <c r="I325" s="743"/>
      <c r="J325" s="743"/>
      <c r="K325" s="743"/>
      <c r="L325" s="743"/>
      <c r="M325" s="743"/>
      <c r="N325" s="744"/>
      <c r="O325" s="744"/>
      <c r="P325" s="744"/>
      <c r="Q325" s="743"/>
      <c r="R325" s="743"/>
      <c r="S325" s="743"/>
    </row>
    <row r="326" spans="1:19" ht="13">
      <c r="A326" s="743"/>
      <c r="B326" s="743"/>
      <c r="C326" s="743"/>
      <c r="D326" s="743"/>
      <c r="E326" s="743"/>
      <c r="F326" s="743"/>
      <c r="G326" s="743"/>
      <c r="H326" s="743"/>
      <c r="I326" s="743"/>
      <c r="J326" s="743"/>
      <c r="K326" s="743"/>
      <c r="L326" s="743"/>
      <c r="M326" s="743"/>
      <c r="N326" s="744"/>
      <c r="O326" s="744"/>
      <c r="P326" s="744"/>
      <c r="Q326" s="743"/>
      <c r="R326" s="743"/>
      <c r="S326" s="743"/>
    </row>
    <row r="327" spans="1:19" ht="13">
      <c r="A327" s="743"/>
      <c r="B327" s="743"/>
      <c r="C327" s="743"/>
      <c r="D327" s="743"/>
      <c r="E327" s="743"/>
      <c r="F327" s="743"/>
      <c r="G327" s="743"/>
      <c r="H327" s="743"/>
      <c r="I327" s="743"/>
      <c r="J327" s="743"/>
      <c r="K327" s="743"/>
      <c r="L327" s="743"/>
      <c r="M327" s="743"/>
      <c r="N327" s="744"/>
      <c r="O327" s="744"/>
      <c r="P327" s="744"/>
      <c r="Q327" s="743"/>
      <c r="R327" s="743"/>
      <c r="S327" s="743"/>
    </row>
    <row r="328" spans="1:19" ht="13">
      <c r="A328" s="743"/>
      <c r="B328" s="743"/>
      <c r="C328" s="743"/>
      <c r="D328" s="743"/>
      <c r="E328" s="743"/>
      <c r="F328" s="743"/>
      <c r="G328" s="743"/>
      <c r="H328" s="743"/>
      <c r="I328" s="743"/>
      <c r="J328" s="743"/>
      <c r="K328" s="743"/>
      <c r="L328" s="743"/>
      <c r="M328" s="743"/>
      <c r="N328" s="744"/>
      <c r="O328" s="744"/>
      <c r="P328" s="744"/>
      <c r="Q328" s="743"/>
      <c r="R328" s="743"/>
      <c r="S328" s="743"/>
    </row>
    <row r="329" spans="1:19" ht="13">
      <c r="A329" s="743"/>
      <c r="B329" s="743"/>
      <c r="C329" s="743"/>
      <c r="D329" s="743"/>
      <c r="E329" s="743"/>
      <c r="F329" s="743"/>
      <c r="G329" s="743"/>
      <c r="H329" s="743"/>
      <c r="I329" s="743"/>
      <c r="J329" s="743"/>
      <c r="K329" s="743"/>
      <c r="L329" s="743"/>
      <c r="M329" s="743"/>
      <c r="N329" s="744"/>
      <c r="O329" s="744"/>
      <c r="P329" s="744"/>
      <c r="Q329" s="743"/>
      <c r="R329" s="743"/>
      <c r="S329" s="743"/>
    </row>
    <row r="330" spans="1:19" ht="13">
      <c r="A330" s="743"/>
      <c r="B330" s="743"/>
      <c r="C330" s="743"/>
      <c r="D330" s="743"/>
      <c r="E330" s="743"/>
      <c r="F330" s="743"/>
      <c r="G330" s="743"/>
      <c r="H330" s="743"/>
      <c r="I330" s="743"/>
      <c r="J330" s="743"/>
      <c r="K330" s="743"/>
      <c r="L330" s="743"/>
      <c r="M330" s="743"/>
      <c r="N330" s="744"/>
      <c r="O330" s="744"/>
      <c r="P330" s="744"/>
      <c r="Q330" s="743"/>
      <c r="R330" s="743"/>
      <c r="S330" s="743"/>
    </row>
    <row r="331" spans="1:19" ht="13">
      <c r="A331" s="743"/>
      <c r="B331" s="743"/>
      <c r="C331" s="743"/>
      <c r="D331" s="743"/>
      <c r="E331" s="743"/>
      <c r="F331" s="743"/>
      <c r="G331" s="743"/>
      <c r="H331" s="743"/>
      <c r="I331" s="743"/>
      <c r="J331" s="743"/>
      <c r="K331" s="743"/>
      <c r="L331" s="743"/>
      <c r="M331" s="743"/>
      <c r="N331" s="744"/>
      <c r="O331" s="744"/>
      <c r="P331" s="744"/>
      <c r="Q331" s="743"/>
      <c r="R331" s="743"/>
      <c r="S331" s="743"/>
    </row>
    <row r="332" spans="1:19" ht="13">
      <c r="A332" s="743"/>
      <c r="B332" s="743"/>
      <c r="C332" s="743"/>
      <c r="D332" s="743"/>
      <c r="E332" s="743"/>
      <c r="F332" s="743"/>
      <c r="G332" s="743"/>
      <c r="H332" s="743"/>
      <c r="I332" s="743"/>
      <c r="J332" s="743"/>
      <c r="K332" s="743"/>
      <c r="L332" s="743"/>
      <c r="M332" s="743"/>
      <c r="N332" s="744"/>
      <c r="O332" s="744"/>
      <c r="P332" s="744"/>
      <c r="Q332" s="743"/>
      <c r="R332" s="743"/>
      <c r="S332" s="743"/>
    </row>
    <row r="333" spans="1:19" ht="13">
      <c r="A333" s="743"/>
      <c r="B333" s="743"/>
      <c r="C333" s="743"/>
      <c r="D333" s="743"/>
      <c r="E333" s="743"/>
      <c r="F333" s="743"/>
      <c r="G333" s="743"/>
      <c r="H333" s="743"/>
      <c r="I333" s="743"/>
      <c r="J333" s="743"/>
      <c r="K333" s="743"/>
      <c r="L333" s="743"/>
      <c r="M333" s="743"/>
      <c r="N333" s="744"/>
      <c r="O333" s="744"/>
      <c r="P333" s="744"/>
      <c r="Q333" s="743"/>
      <c r="R333" s="743"/>
      <c r="S333" s="743"/>
    </row>
    <row r="334" spans="1:19" ht="13">
      <c r="A334" s="743"/>
      <c r="B334" s="743"/>
      <c r="C334" s="743"/>
      <c r="D334" s="743"/>
      <c r="E334" s="743"/>
      <c r="F334" s="743"/>
      <c r="G334" s="743"/>
      <c r="H334" s="743"/>
      <c r="I334" s="743"/>
      <c r="J334" s="743"/>
      <c r="K334" s="743"/>
      <c r="L334" s="743"/>
      <c r="M334" s="743"/>
      <c r="N334" s="744"/>
      <c r="O334" s="744"/>
      <c r="P334" s="744"/>
      <c r="Q334" s="743"/>
      <c r="R334" s="743"/>
      <c r="S334" s="743"/>
    </row>
    <row r="335" spans="1:19" ht="13">
      <c r="A335" s="743"/>
      <c r="B335" s="743"/>
      <c r="C335" s="743"/>
      <c r="D335" s="743"/>
      <c r="E335" s="743"/>
      <c r="F335" s="743"/>
      <c r="G335" s="743"/>
      <c r="H335" s="743"/>
      <c r="I335" s="743"/>
      <c r="J335" s="743"/>
      <c r="K335" s="743"/>
      <c r="L335" s="743"/>
      <c r="M335" s="743"/>
      <c r="N335" s="744"/>
      <c r="O335" s="744"/>
      <c r="P335" s="744"/>
      <c r="Q335" s="743"/>
      <c r="R335" s="743"/>
      <c r="S335" s="743"/>
    </row>
    <row r="336" spans="1:19" ht="13">
      <c r="A336" s="743"/>
      <c r="B336" s="743"/>
      <c r="C336" s="743"/>
      <c r="D336" s="743"/>
      <c r="E336" s="743"/>
      <c r="F336" s="743"/>
      <c r="G336" s="743"/>
      <c r="H336" s="743"/>
      <c r="I336" s="743"/>
      <c r="J336" s="743"/>
      <c r="K336" s="743"/>
      <c r="L336" s="743"/>
      <c r="M336" s="743"/>
      <c r="N336" s="744"/>
      <c r="O336" s="744"/>
      <c r="P336" s="744"/>
      <c r="Q336" s="743"/>
      <c r="R336" s="743"/>
      <c r="S336" s="743"/>
    </row>
    <row r="337" spans="1:19" ht="13">
      <c r="A337" s="743"/>
      <c r="B337" s="743"/>
      <c r="C337" s="743"/>
      <c r="D337" s="743"/>
      <c r="E337" s="743"/>
      <c r="F337" s="743"/>
      <c r="G337" s="743"/>
      <c r="H337" s="743"/>
      <c r="I337" s="743"/>
      <c r="J337" s="743"/>
      <c r="K337" s="743"/>
      <c r="L337" s="743"/>
      <c r="M337" s="743"/>
      <c r="N337" s="744"/>
      <c r="O337" s="744"/>
      <c r="P337" s="744"/>
      <c r="Q337" s="743"/>
      <c r="R337" s="743"/>
      <c r="S337" s="743"/>
    </row>
    <row r="338" spans="1:19" ht="13">
      <c r="A338" s="743"/>
      <c r="B338" s="743"/>
      <c r="C338" s="743"/>
      <c r="D338" s="743"/>
      <c r="E338" s="743"/>
      <c r="F338" s="743"/>
      <c r="G338" s="743"/>
      <c r="H338" s="743"/>
      <c r="I338" s="743"/>
      <c r="J338" s="743"/>
      <c r="K338" s="743"/>
      <c r="L338" s="743"/>
      <c r="M338" s="743"/>
      <c r="N338" s="744"/>
      <c r="O338" s="744"/>
      <c r="P338" s="744"/>
      <c r="Q338" s="743"/>
      <c r="R338" s="743"/>
      <c r="S338" s="743"/>
    </row>
    <row r="339" spans="1:19" ht="13">
      <c r="A339" s="743"/>
      <c r="B339" s="743"/>
      <c r="C339" s="743"/>
      <c r="D339" s="743"/>
      <c r="E339" s="743"/>
      <c r="F339" s="743"/>
      <c r="G339" s="743"/>
      <c r="H339" s="743"/>
      <c r="I339" s="743"/>
      <c r="J339" s="743"/>
      <c r="K339" s="743"/>
      <c r="L339" s="743"/>
      <c r="M339" s="743"/>
      <c r="N339" s="744"/>
      <c r="O339" s="744"/>
      <c r="P339" s="744"/>
      <c r="Q339" s="743"/>
      <c r="R339" s="743"/>
      <c r="S339" s="743"/>
    </row>
    <row r="340" spans="1:19" ht="13">
      <c r="A340" s="743"/>
      <c r="B340" s="743"/>
      <c r="C340" s="743"/>
      <c r="D340" s="743"/>
      <c r="E340" s="743"/>
      <c r="F340" s="743"/>
      <c r="G340" s="743"/>
      <c r="H340" s="743"/>
      <c r="I340" s="743"/>
      <c r="J340" s="743"/>
      <c r="K340" s="743"/>
      <c r="L340" s="743"/>
      <c r="M340" s="743"/>
      <c r="N340" s="744"/>
      <c r="O340" s="744"/>
      <c r="P340" s="744"/>
      <c r="Q340" s="743"/>
      <c r="R340" s="743"/>
      <c r="S340" s="743"/>
    </row>
    <row r="341" spans="1:19" ht="13">
      <c r="A341" s="743"/>
      <c r="B341" s="743"/>
      <c r="C341" s="743"/>
      <c r="D341" s="743"/>
      <c r="E341" s="743"/>
      <c r="F341" s="743"/>
      <c r="G341" s="743"/>
      <c r="H341" s="743"/>
      <c r="I341" s="743"/>
      <c r="J341" s="743"/>
      <c r="K341" s="743"/>
      <c r="L341" s="743"/>
      <c r="M341" s="743"/>
      <c r="N341" s="744"/>
      <c r="O341" s="744"/>
      <c r="P341" s="744"/>
      <c r="Q341" s="743"/>
      <c r="R341" s="743"/>
      <c r="S341" s="743"/>
    </row>
    <row r="342" spans="1:19" ht="13">
      <c r="A342" s="743"/>
      <c r="B342" s="743"/>
      <c r="C342" s="743"/>
      <c r="D342" s="743"/>
      <c r="E342" s="743"/>
      <c r="F342" s="743"/>
      <c r="G342" s="743"/>
      <c r="H342" s="743"/>
      <c r="I342" s="743"/>
      <c r="J342" s="743"/>
      <c r="K342" s="743"/>
      <c r="L342" s="743"/>
      <c r="M342" s="743"/>
      <c r="N342" s="744"/>
      <c r="O342" s="744"/>
      <c r="P342" s="744"/>
      <c r="Q342" s="743"/>
      <c r="R342" s="743"/>
      <c r="S342" s="743"/>
    </row>
    <row r="343" spans="1:19" ht="13">
      <c r="A343" s="743"/>
      <c r="B343" s="743"/>
      <c r="C343" s="743"/>
      <c r="D343" s="743"/>
      <c r="E343" s="743"/>
      <c r="F343" s="743"/>
      <c r="G343" s="743"/>
      <c r="H343" s="743"/>
      <c r="I343" s="743"/>
      <c r="J343" s="743"/>
      <c r="K343" s="743"/>
      <c r="L343" s="743"/>
      <c r="M343" s="743"/>
      <c r="N343" s="744"/>
      <c r="O343" s="744"/>
      <c r="P343" s="744"/>
      <c r="Q343" s="743"/>
      <c r="R343" s="743"/>
      <c r="S343" s="743"/>
    </row>
    <row r="344" spans="1:19" ht="13">
      <c r="A344" s="743"/>
      <c r="B344" s="743"/>
      <c r="C344" s="743"/>
      <c r="D344" s="743"/>
      <c r="E344" s="743"/>
      <c r="F344" s="743"/>
      <c r="G344" s="743"/>
      <c r="H344" s="743"/>
      <c r="I344" s="743"/>
      <c r="J344" s="743"/>
      <c r="K344" s="743"/>
      <c r="L344" s="743"/>
      <c r="M344" s="743"/>
      <c r="N344" s="744"/>
      <c r="O344" s="744"/>
      <c r="P344" s="744"/>
      <c r="Q344" s="743"/>
      <c r="R344" s="743"/>
      <c r="S344" s="743"/>
    </row>
    <row r="345" spans="1:19" ht="13">
      <c r="A345" s="743"/>
      <c r="B345" s="743"/>
      <c r="C345" s="743"/>
      <c r="D345" s="743"/>
      <c r="E345" s="743"/>
      <c r="F345" s="743"/>
      <c r="G345" s="743"/>
      <c r="H345" s="743"/>
      <c r="I345" s="743"/>
      <c r="J345" s="743"/>
      <c r="K345" s="743"/>
      <c r="L345" s="743"/>
      <c r="M345" s="743"/>
      <c r="N345" s="744"/>
      <c r="O345" s="744"/>
      <c r="P345" s="744"/>
      <c r="Q345" s="743"/>
      <c r="R345" s="743"/>
      <c r="S345" s="743"/>
    </row>
    <row r="346" spans="1:19" ht="13">
      <c r="A346" s="743"/>
      <c r="B346" s="743"/>
      <c r="C346" s="743"/>
      <c r="D346" s="743"/>
      <c r="E346" s="743"/>
      <c r="F346" s="743"/>
      <c r="G346" s="743"/>
      <c r="H346" s="743"/>
      <c r="I346" s="743"/>
      <c r="J346" s="743"/>
      <c r="K346" s="743"/>
      <c r="L346" s="743"/>
      <c r="M346" s="743"/>
      <c r="N346" s="744"/>
      <c r="O346" s="744"/>
      <c r="P346" s="744"/>
      <c r="Q346" s="743"/>
      <c r="R346" s="743"/>
      <c r="S346" s="743"/>
    </row>
    <row r="347" spans="1:19" ht="13">
      <c r="A347" s="743"/>
      <c r="B347" s="743"/>
      <c r="C347" s="743"/>
      <c r="D347" s="743"/>
      <c r="E347" s="743"/>
      <c r="F347" s="743"/>
      <c r="G347" s="743"/>
      <c r="H347" s="743"/>
      <c r="I347" s="743"/>
      <c r="J347" s="743"/>
      <c r="K347" s="743"/>
      <c r="L347" s="743"/>
      <c r="M347" s="743"/>
      <c r="N347" s="744"/>
      <c r="O347" s="744"/>
      <c r="P347" s="744"/>
      <c r="Q347" s="743"/>
      <c r="R347" s="743"/>
      <c r="S347" s="743"/>
    </row>
    <row r="348" spans="1:19" ht="13">
      <c r="A348" s="743"/>
      <c r="B348" s="743"/>
      <c r="C348" s="743"/>
      <c r="D348" s="743"/>
      <c r="E348" s="743"/>
      <c r="F348" s="743"/>
      <c r="G348" s="743"/>
      <c r="H348" s="743"/>
      <c r="I348" s="743"/>
      <c r="J348" s="743"/>
      <c r="K348" s="743"/>
      <c r="L348" s="743"/>
      <c r="M348" s="743"/>
      <c r="N348" s="744"/>
      <c r="O348" s="744"/>
      <c r="P348" s="744"/>
      <c r="Q348" s="743"/>
      <c r="R348" s="743"/>
      <c r="S348" s="743"/>
    </row>
    <row r="349" spans="1:19" ht="13">
      <c r="A349" s="743"/>
      <c r="B349" s="743"/>
      <c r="C349" s="743"/>
      <c r="D349" s="743"/>
      <c r="E349" s="743"/>
      <c r="F349" s="743"/>
      <c r="G349" s="743"/>
      <c r="H349" s="743"/>
      <c r="I349" s="743"/>
      <c r="J349" s="743"/>
      <c r="K349" s="743"/>
      <c r="L349" s="743"/>
      <c r="M349" s="743"/>
      <c r="N349" s="744"/>
      <c r="O349" s="744"/>
      <c r="P349" s="744"/>
      <c r="Q349" s="743"/>
      <c r="R349" s="743"/>
      <c r="S349" s="743"/>
    </row>
    <row r="350" spans="1:19" ht="13">
      <c r="A350" s="743"/>
      <c r="B350" s="743"/>
      <c r="C350" s="743"/>
      <c r="D350" s="743"/>
      <c r="E350" s="743"/>
      <c r="F350" s="743"/>
      <c r="G350" s="743"/>
      <c r="H350" s="743"/>
      <c r="I350" s="743"/>
      <c r="J350" s="743"/>
      <c r="K350" s="743"/>
      <c r="L350" s="743"/>
      <c r="M350" s="743"/>
      <c r="N350" s="744"/>
      <c r="O350" s="744"/>
      <c r="P350" s="744"/>
      <c r="Q350" s="743"/>
      <c r="R350" s="743"/>
      <c r="S350" s="743"/>
    </row>
    <row r="351" spans="1:19" ht="13">
      <c r="A351" s="743"/>
      <c r="B351" s="743"/>
      <c r="C351" s="743"/>
      <c r="D351" s="743"/>
      <c r="E351" s="743"/>
      <c r="F351" s="743"/>
      <c r="G351" s="743"/>
      <c r="H351" s="743"/>
      <c r="I351" s="743"/>
      <c r="J351" s="743"/>
      <c r="K351" s="743"/>
      <c r="L351" s="743"/>
      <c r="M351" s="743"/>
      <c r="N351" s="744"/>
      <c r="O351" s="744"/>
      <c r="P351" s="744"/>
      <c r="Q351" s="743"/>
      <c r="R351" s="743"/>
      <c r="S351" s="743"/>
    </row>
    <row r="352" spans="1:19" ht="13">
      <c r="A352" s="743"/>
      <c r="B352" s="743"/>
      <c r="C352" s="743"/>
      <c r="D352" s="743"/>
      <c r="E352" s="743"/>
      <c r="F352" s="743"/>
      <c r="G352" s="743"/>
      <c r="H352" s="743"/>
      <c r="I352" s="743"/>
      <c r="J352" s="743"/>
      <c r="K352" s="743"/>
      <c r="L352" s="743"/>
      <c r="M352" s="743"/>
      <c r="N352" s="744"/>
      <c r="O352" s="744"/>
      <c r="P352" s="744"/>
      <c r="Q352" s="743"/>
      <c r="R352" s="743"/>
      <c r="S352" s="743"/>
    </row>
    <row r="353" spans="1:19" ht="13">
      <c r="A353" s="743"/>
      <c r="B353" s="743"/>
      <c r="C353" s="743"/>
      <c r="D353" s="743"/>
      <c r="E353" s="743"/>
      <c r="F353" s="743"/>
      <c r="G353" s="743"/>
      <c r="H353" s="743"/>
      <c r="I353" s="743"/>
      <c r="J353" s="743"/>
      <c r="K353" s="743"/>
      <c r="L353" s="743"/>
      <c r="M353" s="743"/>
      <c r="N353" s="744"/>
      <c r="O353" s="744"/>
      <c r="P353" s="744"/>
      <c r="Q353" s="743"/>
      <c r="R353" s="743"/>
      <c r="S353" s="743"/>
    </row>
    <row r="354" spans="1:19" ht="13">
      <c r="A354" s="743"/>
      <c r="B354" s="743"/>
      <c r="C354" s="743"/>
      <c r="D354" s="743"/>
      <c r="E354" s="743"/>
      <c r="F354" s="743"/>
      <c r="G354" s="743"/>
      <c r="H354" s="743"/>
      <c r="I354" s="743"/>
      <c r="J354" s="743"/>
      <c r="K354" s="743"/>
      <c r="L354" s="743"/>
      <c r="M354" s="743"/>
      <c r="N354" s="744"/>
      <c r="O354" s="744"/>
      <c r="P354" s="744"/>
      <c r="Q354" s="743"/>
      <c r="R354" s="743"/>
      <c r="S354" s="743"/>
    </row>
    <row r="355" spans="1:19" ht="13">
      <c r="A355" s="743"/>
      <c r="B355" s="743"/>
      <c r="C355" s="743"/>
      <c r="D355" s="743"/>
      <c r="E355" s="743"/>
      <c r="F355" s="743"/>
      <c r="G355" s="743"/>
      <c r="H355" s="743"/>
      <c r="I355" s="743"/>
      <c r="J355" s="743"/>
      <c r="K355" s="743"/>
      <c r="L355" s="743"/>
      <c r="M355" s="743"/>
      <c r="N355" s="744"/>
      <c r="O355" s="744"/>
      <c r="P355" s="744"/>
      <c r="Q355" s="743"/>
      <c r="R355" s="743"/>
      <c r="S355" s="743"/>
    </row>
    <row r="356" spans="1:19" ht="13">
      <c r="A356" s="743"/>
      <c r="B356" s="743"/>
      <c r="C356" s="743"/>
      <c r="D356" s="743"/>
      <c r="E356" s="743"/>
      <c r="F356" s="743"/>
      <c r="G356" s="743"/>
      <c r="H356" s="743"/>
      <c r="I356" s="743"/>
      <c r="J356" s="743"/>
      <c r="K356" s="743"/>
      <c r="L356" s="743"/>
      <c r="M356" s="743"/>
      <c r="N356" s="744"/>
      <c r="O356" s="744"/>
      <c r="P356" s="744"/>
      <c r="Q356" s="743"/>
      <c r="R356" s="743"/>
      <c r="S356" s="743"/>
    </row>
    <row r="357" spans="1:19" ht="13">
      <c r="A357" s="743"/>
      <c r="B357" s="743"/>
      <c r="C357" s="743"/>
      <c r="D357" s="743"/>
      <c r="E357" s="743"/>
      <c r="F357" s="743"/>
      <c r="G357" s="743"/>
      <c r="H357" s="743"/>
      <c r="I357" s="743"/>
      <c r="J357" s="743"/>
      <c r="K357" s="743"/>
      <c r="L357" s="743"/>
      <c r="M357" s="743"/>
      <c r="N357" s="744"/>
      <c r="O357" s="744"/>
      <c r="P357" s="744"/>
      <c r="Q357" s="743"/>
      <c r="R357" s="743"/>
      <c r="S357" s="743"/>
    </row>
    <row r="358" spans="1:19" ht="13">
      <c r="A358" s="743"/>
      <c r="B358" s="743"/>
      <c r="C358" s="743"/>
      <c r="D358" s="743"/>
      <c r="E358" s="743"/>
      <c r="F358" s="743"/>
      <c r="G358" s="743"/>
      <c r="H358" s="743"/>
      <c r="I358" s="743"/>
      <c r="J358" s="743"/>
      <c r="K358" s="743"/>
      <c r="L358" s="743"/>
      <c r="M358" s="743"/>
      <c r="N358" s="744"/>
      <c r="O358" s="744"/>
      <c r="P358" s="744"/>
      <c r="Q358" s="743"/>
      <c r="R358" s="743"/>
      <c r="S358" s="743"/>
    </row>
    <row r="359" spans="1:19" ht="13">
      <c r="A359" s="743"/>
      <c r="B359" s="743"/>
      <c r="C359" s="743"/>
      <c r="D359" s="743"/>
      <c r="E359" s="743"/>
      <c r="F359" s="743"/>
      <c r="G359" s="743"/>
      <c r="H359" s="743"/>
      <c r="I359" s="743"/>
      <c r="J359" s="743"/>
      <c r="K359" s="743"/>
      <c r="L359" s="743"/>
      <c r="M359" s="743"/>
      <c r="N359" s="744"/>
      <c r="O359" s="744"/>
      <c r="P359" s="744"/>
      <c r="Q359" s="743"/>
      <c r="R359" s="743"/>
      <c r="S359" s="743"/>
    </row>
    <row r="360" spans="1:19" ht="13">
      <c r="A360" s="743"/>
      <c r="B360" s="743"/>
      <c r="C360" s="743"/>
      <c r="D360" s="743"/>
      <c r="E360" s="743"/>
      <c r="F360" s="743"/>
      <c r="G360" s="743"/>
      <c r="H360" s="743"/>
      <c r="I360" s="743"/>
      <c r="J360" s="743"/>
      <c r="K360" s="743"/>
      <c r="L360" s="743"/>
      <c r="M360" s="743"/>
      <c r="N360" s="744"/>
      <c r="O360" s="744"/>
      <c r="P360" s="744"/>
      <c r="Q360" s="743"/>
      <c r="R360" s="743"/>
      <c r="S360" s="743"/>
    </row>
    <row r="361" spans="1:19" ht="13">
      <c r="A361" s="743"/>
      <c r="B361" s="743"/>
      <c r="C361" s="743"/>
      <c r="D361" s="743"/>
      <c r="E361" s="743"/>
      <c r="F361" s="743"/>
      <c r="G361" s="743"/>
      <c r="H361" s="743"/>
      <c r="I361" s="743"/>
      <c r="J361" s="743"/>
      <c r="K361" s="743"/>
      <c r="L361" s="743"/>
      <c r="M361" s="743"/>
      <c r="N361" s="744"/>
      <c r="O361" s="744"/>
      <c r="P361" s="744"/>
      <c r="Q361" s="743"/>
      <c r="R361" s="743"/>
      <c r="S361" s="743"/>
    </row>
    <row r="362" spans="1:19" ht="13">
      <c r="A362" s="743"/>
      <c r="B362" s="743"/>
      <c r="C362" s="743"/>
      <c r="D362" s="743"/>
      <c r="E362" s="743"/>
      <c r="F362" s="743"/>
      <c r="G362" s="743"/>
      <c r="H362" s="743"/>
      <c r="I362" s="743"/>
      <c r="J362" s="743"/>
      <c r="K362" s="743"/>
      <c r="L362" s="743"/>
      <c r="M362" s="743"/>
      <c r="N362" s="744"/>
      <c r="O362" s="744"/>
      <c r="P362" s="744"/>
      <c r="Q362" s="743"/>
      <c r="R362" s="743"/>
      <c r="S362" s="743"/>
    </row>
    <row r="363" spans="1:19" ht="13">
      <c r="A363" s="743"/>
      <c r="B363" s="743"/>
      <c r="C363" s="743"/>
      <c r="D363" s="743"/>
      <c r="E363" s="743"/>
      <c r="F363" s="743"/>
      <c r="G363" s="743"/>
      <c r="H363" s="743"/>
      <c r="I363" s="743"/>
      <c r="J363" s="743"/>
      <c r="K363" s="743"/>
      <c r="L363" s="743"/>
      <c r="M363" s="743"/>
      <c r="N363" s="744"/>
      <c r="O363" s="744"/>
      <c r="P363" s="744"/>
      <c r="Q363" s="743"/>
      <c r="R363" s="743"/>
      <c r="S363" s="743"/>
    </row>
    <row r="364" spans="1:19" ht="13">
      <c r="A364" s="743"/>
      <c r="B364" s="743"/>
      <c r="C364" s="743"/>
      <c r="D364" s="743"/>
      <c r="E364" s="743"/>
      <c r="F364" s="743"/>
      <c r="G364" s="743"/>
      <c r="H364" s="743"/>
      <c r="I364" s="743"/>
      <c r="J364" s="743"/>
      <c r="K364" s="743"/>
      <c r="L364" s="743"/>
      <c r="M364" s="743"/>
      <c r="N364" s="744"/>
      <c r="O364" s="744"/>
      <c r="P364" s="744"/>
      <c r="Q364" s="743"/>
      <c r="R364" s="743"/>
      <c r="S364" s="743"/>
    </row>
    <row r="365" spans="1:19" ht="13">
      <c r="A365" s="743"/>
      <c r="B365" s="743"/>
      <c r="C365" s="743"/>
      <c r="D365" s="743"/>
      <c r="E365" s="743"/>
      <c r="F365" s="743"/>
      <c r="G365" s="743"/>
      <c r="H365" s="743"/>
      <c r="I365" s="743"/>
      <c r="J365" s="743"/>
      <c r="K365" s="743"/>
      <c r="L365" s="743"/>
      <c r="M365" s="743"/>
      <c r="N365" s="744"/>
      <c r="O365" s="744"/>
      <c r="P365" s="744"/>
      <c r="Q365" s="743"/>
      <c r="R365" s="743"/>
      <c r="S365" s="743"/>
    </row>
    <row r="366" spans="1:19" ht="13">
      <c r="A366" s="743"/>
      <c r="B366" s="743"/>
      <c r="C366" s="743"/>
      <c r="D366" s="743"/>
      <c r="E366" s="743"/>
      <c r="F366" s="743"/>
      <c r="G366" s="743"/>
      <c r="H366" s="743"/>
      <c r="I366" s="743"/>
      <c r="J366" s="743"/>
      <c r="K366" s="743"/>
      <c r="L366" s="743"/>
      <c r="M366" s="743"/>
      <c r="N366" s="744"/>
      <c r="O366" s="744"/>
      <c r="P366" s="744"/>
      <c r="Q366" s="743"/>
      <c r="R366" s="743"/>
      <c r="S366" s="743"/>
    </row>
    <row r="367" spans="1:19" ht="13">
      <c r="A367" s="743"/>
      <c r="B367" s="743"/>
      <c r="C367" s="743"/>
      <c r="D367" s="743"/>
      <c r="E367" s="743"/>
      <c r="F367" s="743"/>
      <c r="G367" s="743"/>
      <c r="H367" s="743"/>
      <c r="I367" s="743"/>
      <c r="J367" s="743"/>
      <c r="K367" s="743"/>
      <c r="L367" s="743"/>
      <c r="M367" s="743"/>
      <c r="N367" s="744"/>
      <c r="O367" s="744"/>
      <c r="P367" s="744"/>
      <c r="Q367" s="743"/>
      <c r="R367" s="743"/>
      <c r="S367" s="743"/>
    </row>
    <row r="368" spans="1:19" ht="13">
      <c r="A368" s="743"/>
      <c r="B368" s="743"/>
      <c r="C368" s="743"/>
      <c r="D368" s="743"/>
      <c r="E368" s="743"/>
      <c r="F368" s="743"/>
      <c r="G368" s="743"/>
      <c r="H368" s="743"/>
      <c r="I368" s="743"/>
      <c r="J368" s="743"/>
      <c r="K368" s="743"/>
      <c r="L368" s="743"/>
      <c r="M368" s="743"/>
      <c r="N368" s="744"/>
      <c r="O368" s="744"/>
      <c r="P368" s="744"/>
      <c r="Q368" s="743"/>
      <c r="R368" s="743"/>
      <c r="S368" s="743"/>
    </row>
    <row r="369" spans="1:19" ht="13">
      <c r="A369" s="743"/>
      <c r="B369" s="743"/>
      <c r="C369" s="743"/>
      <c r="D369" s="743"/>
      <c r="E369" s="743"/>
      <c r="F369" s="743"/>
      <c r="G369" s="743"/>
      <c r="H369" s="743"/>
      <c r="I369" s="743"/>
      <c r="J369" s="743"/>
      <c r="K369" s="743"/>
      <c r="L369" s="743"/>
      <c r="M369" s="743"/>
      <c r="N369" s="744"/>
      <c r="O369" s="744"/>
      <c r="P369" s="744"/>
      <c r="Q369" s="743"/>
      <c r="R369" s="743"/>
      <c r="S369" s="743"/>
    </row>
    <row r="370" spans="1:19" ht="13">
      <c r="A370" s="743"/>
      <c r="B370" s="743"/>
      <c r="C370" s="743"/>
      <c r="D370" s="743"/>
      <c r="E370" s="743"/>
      <c r="F370" s="743"/>
      <c r="G370" s="743"/>
      <c r="H370" s="743"/>
      <c r="I370" s="743"/>
      <c r="J370" s="743"/>
      <c r="K370" s="743"/>
      <c r="L370" s="743"/>
      <c r="M370" s="743"/>
      <c r="N370" s="744"/>
      <c r="O370" s="744"/>
      <c r="P370" s="744"/>
      <c r="Q370" s="743"/>
      <c r="R370" s="743"/>
      <c r="S370" s="743"/>
    </row>
    <row r="371" spans="1:19" ht="13">
      <c r="A371" s="743"/>
      <c r="B371" s="743"/>
      <c r="C371" s="743"/>
      <c r="D371" s="743"/>
      <c r="E371" s="743"/>
      <c r="F371" s="743"/>
      <c r="G371" s="743"/>
      <c r="H371" s="743"/>
      <c r="I371" s="743"/>
      <c r="J371" s="743"/>
      <c r="K371" s="743"/>
      <c r="L371" s="743"/>
      <c r="M371" s="743"/>
      <c r="N371" s="744"/>
      <c r="O371" s="744"/>
      <c r="P371" s="744"/>
      <c r="Q371" s="743"/>
      <c r="R371" s="743"/>
      <c r="S371" s="743"/>
    </row>
    <row r="372" spans="1:19" ht="13">
      <c r="A372" s="743"/>
      <c r="B372" s="743"/>
      <c r="C372" s="743"/>
      <c r="D372" s="743"/>
      <c r="E372" s="743"/>
      <c r="F372" s="743"/>
      <c r="G372" s="743"/>
      <c r="H372" s="743"/>
      <c r="I372" s="743"/>
      <c r="J372" s="743"/>
      <c r="K372" s="743"/>
      <c r="L372" s="743"/>
      <c r="M372" s="743"/>
      <c r="N372" s="744"/>
      <c r="O372" s="744"/>
      <c r="P372" s="744"/>
      <c r="Q372" s="743"/>
      <c r="R372" s="743"/>
      <c r="S372" s="743"/>
    </row>
    <row r="373" spans="1:19" ht="13">
      <c r="A373" s="743"/>
      <c r="B373" s="743"/>
      <c r="C373" s="743"/>
      <c r="D373" s="743"/>
      <c r="E373" s="743"/>
      <c r="F373" s="743"/>
      <c r="G373" s="743"/>
      <c r="H373" s="743"/>
      <c r="I373" s="743"/>
      <c r="J373" s="743"/>
      <c r="K373" s="743"/>
      <c r="L373" s="743"/>
      <c r="M373" s="743"/>
      <c r="N373" s="744"/>
      <c r="O373" s="744"/>
      <c r="P373" s="744"/>
      <c r="Q373" s="743"/>
      <c r="R373" s="743"/>
      <c r="S373" s="743"/>
    </row>
    <row r="374" spans="1:19" ht="13">
      <c r="A374" s="743"/>
      <c r="B374" s="743"/>
      <c r="C374" s="743"/>
      <c r="D374" s="743"/>
      <c r="E374" s="743"/>
      <c r="F374" s="743"/>
      <c r="G374" s="743"/>
      <c r="H374" s="743"/>
      <c r="I374" s="743"/>
      <c r="J374" s="743"/>
      <c r="K374" s="743"/>
      <c r="L374" s="743"/>
      <c r="M374" s="743"/>
      <c r="N374" s="744"/>
      <c r="O374" s="744"/>
      <c r="P374" s="744"/>
      <c r="Q374" s="743"/>
      <c r="R374" s="743"/>
      <c r="S374" s="743"/>
    </row>
    <row r="375" spans="1:19" ht="13">
      <c r="A375" s="743"/>
      <c r="B375" s="743"/>
      <c r="C375" s="743"/>
      <c r="D375" s="743"/>
      <c r="E375" s="743"/>
      <c r="F375" s="743"/>
      <c r="G375" s="743"/>
      <c r="H375" s="743"/>
      <c r="I375" s="743"/>
      <c r="J375" s="743"/>
      <c r="K375" s="743"/>
      <c r="L375" s="743"/>
      <c r="M375" s="743"/>
      <c r="N375" s="744"/>
      <c r="O375" s="744"/>
      <c r="P375" s="744"/>
      <c r="Q375" s="743"/>
      <c r="R375" s="743"/>
      <c r="S375" s="743"/>
    </row>
    <row r="376" spans="1:19" ht="13">
      <c r="A376" s="743"/>
      <c r="B376" s="743"/>
      <c r="C376" s="743"/>
      <c r="D376" s="743"/>
      <c r="E376" s="743"/>
      <c r="F376" s="743"/>
      <c r="G376" s="743"/>
      <c r="H376" s="743"/>
      <c r="I376" s="743"/>
      <c r="J376" s="743"/>
      <c r="K376" s="743"/>
      <c r="L376" s="743"/>
      <c r="M376" s="743"/>
      <c r="N376" s="744"/>
      <c r="O376" s="744"/>
      <c r="P376" s="744"/>
      <c r="Q376" s="743"/>
      <c r="R376" s="743"/>
      <c r="S376" s="743"/>
    </row>
    <row r="377" spans="1:19" ht="13">
      <c r="A377" s="743"/>
      <c r="B377" s="743"/>
      <c r="C377" s="743"/>
      <c r="D377" s="743"/>
      <c r="E377" s="743"/>
      <c r="F377" s="743"/>
      <c r="G377" s="743"/>
      <c r="H377" s="743"/>
      <c r="I377" s="743"/>
      <c r="J377" s="743"/>
      <c r="K377" s="743"/>
      <c r="L377" s="743"/>
      <c r="M377" s="743"/>
      <c r="N377" s="744"/>
      <c r="O377" s="744"/>
      <c r="P377" s="744"/>
      <c r="Q377" s="743"/>
      <c r="R377" s="743"/>
      <c r="S377" s="743"/>
    </row>
    <row r="378" spans="1:19" ht="13">
      <c r="A378" s="743"/>
      <c r="B378" s="743"/>
      <c r="C378" s="743"/>
      <c r="D378" s="743"/>
      <c r="E378" s="743"/>
      <c r="F378" s="743"/>
      <c r="G378" s="743"/>
      <c r="H378" s="743"/>
      <c r="I378" s="743"/>
      <c r="J378" s="743"/>
      <c r="K378" s="743"/>
      <c r="L378" s="743"/>
      <c r="M378" s="743"/>
      <c r="N378" s="744"/>
      <c r="O378" s="744"/>
      <c r="P378" s="744"/>
      <c r="Q378" s="743"/>
      <c r="R378" s="743"/>
      <c r="S378" s="743"/>
    </row>
    <row r="379" spans="1:19" ht="13">
      <c r="A379" s="743"/>
      <c r="B379" s="743"/>
      <c r="C379" s="743"/>
      <c r="D379" s="743"/>
      <c r="E379" s="743"/>
      <c r="F379" s="743"/>
      <c r="G379" s="743"/>
      <c r="H379" s="743"/>
      <c r="I379" s="743"/>
      <c r="J379" s="743"/>
      <c r="K379" s="743"/>
      <c r="L379" s="743"/>
      <c r="M379" s="743"/>
      <c r="N379" s="744"/>
      <c r="O379" s="744"/>
      <c r="P379" s="744"/>
      <c r="Q379" s="743"/>
      <c r="R379" s="743"/>
      <c r="S379" s="743"/>
    </row>
    <row r="380" spans="1:19" ht="13">
      <c r="A380" s="743"/>
      <c r="B380" s="743"/>
      <c r="C380" s="743"/>
      <c r="D380" s="743"/>
      <c r="E380" s="743"/>
      <c r="F380" s="743"/>
      <c r="G380" s="743"/>
      <c r="H380" s="743"/>
      <c r="I380" s="743"/>
      <c r="J380" s="743"/>
      <c r="K380" s="743"/>
      <c r="L380" s="743"/>
      <c r="M380" s="743"/>
      <c r="N380" s="744"/>
      <c r="O380" s="744"/>
      <c r="P380" s="744"/>
      <c r="Q380" s="743"/>
      <c r="R380" s="743"/>
      <c r="S380" s="743"/>
    </row>
    <row r="381" spans="1:19" ht="13">
      <c r="A381" s="743"/>
      <c r="B381" s="743"/>
      <c r="C381" s="743"/>
      <c r="D381" s="743"/>
      <c r="E381" s="743"/>
      <c r="F381" s="743"/>
      <c r="G381" s="743"/>
      <c r="H381" s="743"/>
      <c r="I381" s="743"/>
      <c r="J381" s="743"/>
      <c r="K381" s="743"/>
      <c r="L381" s="743"/>
      <c r="M381" s="743"/>
      <c r="N381" s="744"/>
      <c r="O381" s="744"/>
      <c r="P381" s="744"/>
      <c r="Q381" s="743"/>
      <c r="R381" s="743"/>
      <c r="S381" s="743"/>
    </row>
    <row r="382" spans="1:19" ht="13">
      <c r="A382" s="743"/>
      <c r="B382" s="743"/>
      <c r="C382" s="743"/>
      <c r="D382" s="743"/>
      <c r="E382" s="743"/>
      <c r="F382" s="743"/>
      <c r="G382" s="743"/>
      <c r="H382" s="743"/>
      <c r="I382" s="743"/>
      <c r="J382" s="743"/>
      <c r="K382" s="743"/>
      <c r="L382" s="743"/>
      <c r="M382" s="743"/>
      <c r="N382" s="744"/>
      <c r="O382" s="744"/>
      <c r="P382" s="744"/>
      <c r="Q382" s="743"/>
      <c r="R382" s="743"/>
      <c r="S382" s="743"/>
    </row>
    <row r="383" spans="1:19" ht="13">
      <c r="A383" s="743"/>
      <c r="B383" s="743"/>
      <c r="C383" s="743"/>
      <c r="D383" s="743"/>
      <c r="E383" s="743"/>
      <c r="F383" s="743"/>
      <c r="G383" s="743"/>
      <c r="H383" s="743"/>
      <c r="I383" s="743"/>
      <c r="J383" s="743"/>
      <c r="K383" s="743"/>
      <c r="L383" s="743"/>
      <c r="M383" s="743"/>
      <c r="N383" s="744"/>
      <c r="O383" s="744"/>
      <c r="P383" s="744"/>
      <c r="Q383" s="743"/>
      <c r="R383" s="743"/>
      <c r="S383" s="743"/>
    </row>
    <row r="384" spans="1:19" ht="13">
      <c r="A384" s="743"/>
      <c r="B384" s="743"/>
      <c r="C384" s="743"/>
      <c r="D384" s="743"/>
      <c r="E384" s="743"/>
      <c r="F384" s="743"/>
      <c r="G384" s="743"/>
      <c r="H384" s="743"/>
      <c r="I384" s="743"/>
      <c r="J384" s="743"/>
      <c r="K384" s="743"/>
      <c r="L384" s="743"/>
      <c r="M384" s="743"/>
      <c r="N384" s="744"/>
      <c r="O384" s="744"/>
      <c r="P384" s="744"/>
      <c r="Q384" s="743"/>
      <c r="R384" s="743"/>
      <c r="S384" s="743"/>
    </row>
    <row r="385" spans="1:19" ht="13">
      <c r="A385" s="743"/>
      <c r="B385" s="743"/>
      <c r="C385" s="743"/>
      <c r="D385" s="743"/>
      <c r="E385" s="743"/>
      <c r="F385" s="743"/>
      <c r="G385" s="743"/>
      <c r="H385" s="743"/>
      <c r="I385" s="743"/>
      <c r="J385" s="743"/>
      <c r="K385" s="743"/>
      <c r="L385" s="743"/>
      <c r="M385" s="743"/>
      <c r="N385" s="744"/>
      <c r="O385" s="744"/>
      <c r="P385" s="744"/>
      <c r="Q385" s="743"/>
      <c r="R385" s="743"/>
      <c r="S385" s="743"/>
    </row>
    <row r="386" spans="1:19" ht="13">
      <c r="A386" s="743"/>
      <c r="B386" s="743"/>
      <c r="C386" s="743"/>
      <c r="D386" s="743"/>
      <c r="E386" s="743"/>
      <c r="F386" s="743"/>
      <c r="G386" s="743"/>
      <c r="H386" s="743"/>
      <c r="I386" s="743"/>
      <c r="J386" s="743"/>
      <c r="K386" s="743"/>
      <c r="L386" s="743"/>
      <c r="M386" s="743"/>
      <c r="N386" s="744"/>
      <c r="O386" s="744"/>
      <c r="P386" s="744"/>
      <c r="Q386" s="743"/>
      <c r="R386" s="743"/>
      <c r="S386" s="743"/>
    </row>
    <row r="387" spans="1:19" ht="13">
      <c r="A387" s="743"/>
      <c r="B387" s="743"/>
      <c r="C387" s="743"/>
      <c r="D387" s="743"/>
      <c r="E387" s="743"/>
      <c r="F387" s="743"/>
      <c r="G387" s="743"/>
      <c r="H387" s="743"/>
      <c r="I387" s="743"/>
      <c r="J387" s="743"/>
      <c r="K387" s="743"/>
      <c r="L387" s="743"/>
      <c r="M387" s="743"/>
      <c r="N387" s="744"/>
      <c r="O387" s="744"/>
      <c r="P387" s="744"/>
      <c r="Q387" s="743"/>
      <c r="R387" s="743"/>
      <c r="S387" s="743"/>
    </row>
    <row r="388" spans="1:19" ht="13">
      <c r="A388" s="743"/>
      <c r="B388" s="743"/>
      <c r="C388" s="743"/>
      <c r="D388" s="743"/>
      <c r="E388" s="743"/>
      <c r="F388" s="743"/>
      <c r="G388" s="743"/>
      <c r="H388" s="743"/>
      <c r="I388" s="743"/>
      <c r="J388" s="743"/>
      <c r="K388" s="743"/>
      <c r="L388" s="743"/>
      <c r="M388" s="743"/>
      <c r="N388" s="744"/>
      <c r="O388" s="744"/>
      <c r="P388" s="744"/>
      <c r="Q388" s="743"/>
      <c r="R388" s="743"/>
      <c r="S388" s="743"/>
    </row>
    <row r="389" spans="1:19" ht="13">
      <c r="A389" s="743"/>
      <c r="B389" s="743"/>
      <c r="C389" s="743"/>
      <c r="D389" s="743"/>
      <c r="E389" s="743"/>
      <c r="F389" s="743"/>
      <c r="G389" s="743"/>
      <c r="H389" s="743"/>
      <c r="I389" s="743"/>
      <c r="J389" s="743"/>
      <c r="K389" s="743"/>
      <c r="L389" s="743"/>
      <c r="M389" s="743"/>
      <c r="N389" s="744"/>
      <c r="O389" s="744"/>
      <c r="P389" s="744"/>
      <c r="Q389" s="743"/>
      <c r="R389" s="743"/>
      <c r="S389" s="743"/>
    </row>
    <row r="390" spans="1:19" ht="13">
      <c r="A390" s="743"/>
      <c r="B390" s="743"/>
      <c r="C390" s="743"/>
      <c r="D390" s="743"/>
      <c r="E390" s="743"/>
      <c r="F390" s="743"/>
      <c r="G390" s="743"/>
      <c r="H390" s="743"/>
      <c r="I390" s="743"/>
      <c r="J390" s="743"/>
      <c r="K390" s="743"/>
      <c r="L390" s="743"/>
      <c r="M390" s="743"/>
      <c r="N390" s="744"/>
      <c r="O390" s="744"/>
      <c r="P390" s="744"/>
      <c r="Q390" s="743"/>
      <c r="R390" s="743"/>
      <c r="S390" s="743"/>
    </row>
    <row r="391" spans="1:19" ht="13">
      <c r="A391" s="743"/>
      <c r="B391" s="743"/>
      <c r="C391" s="743"/>
      <c r="D391" s="743"/>
      <c r="E391" s="743"/>
      <c r="F391" s="743"/>
      <c r="G391" s="743"/>
      <c r="H391" s="743"/>
      <c r="I391" s="743"/>
      <c r="J391" s="743"/>
      <c r="K391" s="743"/>
      <c r="L391" s="743"/>
      <c r="M391" s="743"/>
      <c r="N391" s="744"/>
      <c r="O391" s="744"/>
      <c r="P391" s="744"/>
      <c r="Q391" s="743"/>
      <c r="R391" s="743"/>
      <c r="S391" s="743"/>
    </row>
    <row r="392" spans="1:19" ht="13">
      <c r="A392" s="743"/>
      <c r="B392" s="743"/>
      <c r="C392" s="743"/>
      <c r="D392" s="743"/>
      <c r="E392" s="743"/>
      <c r="F392" s="743"/>
      <c r="G392" s="743"/>
      <c r="H392" s="743"/>
      <c r="I392" s="743"/>
      <c r="J392" s="743"/>
      <c r="K392" s="743"/>
      <c r="L392" s="743"/>
      <c r="M392" s="743"/>
      <c r="N392" s="744"/>
      <c r="O392" s="744"/>
      <c r="P392" s="744"/>
      <c r="Q392" s="743"/>
      <c r="R392" s="743"/>
      <c r="S392" s="743"/>
    </row>
    <row r="393" spans="1:19" ht="13">
      <c r="A393" s="743"/>
      <c r="B393" s="743"/>
      <c r="C393" s="743"/>
      <c r="D393" s="743"/>
      <c r="E393" s="743"/>
      <c r="F393" s="743"/>
      <c r="G393" s="743"/>
      <c r="H393" s="743"/>
      <c r="I393" s="743"/>
      <c r="J393" s="743"/>
      <c r="K393" s="743"/>
      <c r="L393" s="743"/>
      <c r="M393" s="743"/>
      <c r="N393" s="744"/>
      <c r="O393" s="744"/>
      <c r="P393" s="744"/>
      <c r="Q393" s="743"/>
      <c r="R393" s="743"/>
      <c r="S393" s="743"/>
    </row>
    <row r="394" spans="1:19" ht="13">
      <c r="A394" s="743"/>
      <c r="B394" s="743"/>
      <c r="C394" s="743"/>
      <c r="D394" s="743"/>
      <c r="E394" s="743"/>
      <c r="F394" s="743"/>
      <c r="G394" s="743"/>
      <c r="H394" s="743"/>
      <c r="I394" s="743"/>
      <c r="J394" s="743"/>
      <c r="K394" s="743"/>
      <c r="L394" s="743"/>
      <c r="M394" s="743"/>
      <c r="N394" s="744"/>
      <c r="O394" s="744"/>
      <c r="P394" s="744"/>
      <c r="Q394" s="743"/>
      <c r="R394" s="743"/>
      <c r="S394" s="743"/>
    </row>
    <row r="395" spans="1:19" ht="13">
      <c r="A395" s="743"/>
      <c r="B395" s="743"/>
      <c r="C395" s="743"/>
      <c r="D395" s="743"/>
      <c r="E395" s="743"/>
      <c r="F395" s="743"/>
      <c r="G395" s="743"/>
      <c r="H395" s="743"/>
      <c r="I395" s="743"/>
      <c r="J395" s="743"/>
      <c r="K395" s="743"/>
      <c r="L395" s="743"/>
      <c r="M395" s="743"/>
      <c r="N395" s="744"/>
      <c r="O395" s="744"/>
      <c r="P395" s="744"/>
      <c r="Q395" s="743"/>
      <c r="R395" s="743"/>
      <c r="S395" s="743"/>
    </row>
    <row r="396" spans="1:19" ht="13">
      <c r="A396" s="743"/>
      <c r="B396" s="743"/>
      <c r="C396" s="743"/>
      <c r="D396" s="743"/>
      <c r="E396" s="743"/>
      <c r="F396" s="743"/>
      <c r="G396" s="743"/>
      <c r="H396" s="743"/>
      <c r="I396" s="743"/>
      <c r="J396" s="743"/>
      <c r="K396" s="743"/>
      <c r="L396" s="743"/>
      <c r="M396" s="743"/>
      <c r="N396" s="744"/>
      <c r="O396" s="744"/>
      <c r="P396" s="744"/>
      <c r="Q396" s="743"/>
      <c r="R396" s="743"/>
      <c r="S396" s="743"/>
    </row>
    <row r="397" spans="1:19" ht="13">
      <c r="A397" s="743"/>
      <c r="B397" s="743"/>
      <c r="C397" s="743"/>
      <c r="D397" s="743"/>
      <c r="E397" s="743"/>
      <c r="F397" s="743"/>
      <c r="G397" s="743"/>
      <c r="H397" s="743"/>
      <c r="I397" s="743"/>
      <c r="J397" s="743"/>
      <c r="K397" s="743"/>
      <c r="L397" s="743"/>
      <c r="M397" s="743"/>
      <c r="N397" s="744"/>
      <c r="O397" s="744"/>
      <c r="P397" s="744"/>
      <c r="Q397" s="743"/>
      <c r="R397" s="743"/>
      <c r="S397" s="743"/>
    </row>
    <row r="398" spans="1:19" ht="13">
      <c r="A398" s="743"/>
      <c r="B398" s="743"/>
      <c r="C398" s="743"/>
      <c r="D398" s="743"/>
      <c r="E398" s="743"/>
      <c r="F398" s="743"/>
      <c r="G398" s="743"/>
      <c r="H398" s="743"/>
      <c r="I398" s="743"/>
      <c r="J398" s="743"/>
      <c r="K398" s="743"/>
      <c r="L398" s="743"/>
      <c r="M398" s="743"/>
      <c r="N398" s="744"/>
      <c r="O398" s="744"/>
      <c r="P398" s="744"/>
      <c r="Q398" s="743"/>
      <c r="R398" s="743"/>
      <c r="S398" s="743"/>
    </row>
    <row r="399" spans="1:19" ht="13">
      <c r="A399" s="743"/>
      <c r="B399" s="743"/>
      <c r="C399" s="743"/>
      <c r="D399" s="743"/>
      <c r="E399" s="743"/>
      <c r="F399" s="743"/>
      <c r="G399" s="743"/>
      <c r="H399" s="743"/>
      <c r="I399" s="743"/>
      <c r="J399" s="743"/>
      <c r="K399" s="743"/>
      <c r="L399" s="743"/>
      <c r="M399" s="743"/>
      <c r="N399" s="744"/>
      <c r="O399" s="744"/>
      <c r="P399" s="744"/>
      <c r="Q399" s="743"/>
      <c r="R399" s="743"/>
      <c r="S399" s="743"/>
    </row>
    <row r="400" spans="1:19" ht="13">
      <c r="A400" s="743"/>
      <c r="B400" s="743"/>
      <c r="C400" s="743"/>
      <c r="D400" s="743"/>
      <c r="E400" s="743"/>
      <c r="F400" s="743"/>
      <c r="G400" s="743"/>
      <c r="H400" s="743"/>
      <c r="I400" s="743"/>
      <c r="J400" s="743"/>
      <c r="K400" s="743"/>
      <c r="L400" s="743"/>
      <c r="M400" s="743"/>
      <c r="N400" s="744"/>
      <c r="O400" s="744"/>
      <c r="P400" s="744"/>
      <c r="Q400" s="743"/>
      <c r="R400" s="743"/>
      <c r="S400" s="743"/>
    </row>
    <row r="401" spans="1:19" ht="13">
      <c r="A401" s="743"/>
      <c r="B401" s="743"/>
      <c r="C401" s="743"/>
      <c r="D401" s="743"/>
      <c r="E401" s="743"/>
      <c r="F401" s="743"/>
      <c r="G401" s="743"/>
      <c r="H401" s="743"/>
      <c r="I401" s="743"/>
      <c r="J401" s="743"/>
      <c r="K401" s="743"/>
      <c r="L401" s="743"/>
      <c r="M401" s="743"/>
      <c r="N401" s="744"/>
      <c r="O401" s="744"/>
      <c r="P401" s="744"/>
      <c r="Q401" s="743"/>
      <c r="R401" s="743"/>
      <c r="S401" s="743"/>
    </row>
    <row r="402" spans="1:19" ht="13">
      <c r="A402" s="743"/>
      <c r="B402" s="743"/>
      <c r="C402" s="743"/>
      <c r="D402" s="743"/>
      <c r="E402" s="743"/>
      <c r="F402" s="743"/>
      <c r="G402" s="743"/>
      <c r="H402" s="743"/>
      <c r="I402" s="743"/>
      <c r="J402" s="743"/>
      <c r="K402" s="743"/>
      <c r="L402" s="743"/>
      <c r="M402" s="743"/>
      <c r="N402" s="744"/>
      <c r="O402" s="744"/>
      <c r="P402" s="744"/>
      <c r="Q402" s="743"/>
      <c r="R402" s="743"/>
      <c r="S402" s="743"/>
    </row>
    <row r="403" spans="1:19" ht="13">
      <c r="A403" s="743"/>
      <c r="B403" s="743"/>
      <c r="C403" s="743"/>
      <c r="D403" s="743"/>
      <c r="E403" s="743"/>
      <c r="F403" s="743"/>
      <c r="G403" s="743"/>
      <c r="H403" s="743"/>
      <c r="I403" s="743"/>
      <c r="J403" s="743"/>
      <c r="K403" s="743"/>
      <c r="L403" s="743"/>
      <c r="M403" s="743"/>
      <c r="N403" s="744"/>
      <c r="O403" s="744"/>
      <c r="P403" s="744"/>
      <c r="Q403" s="743"/>
      <c r="R403" s="743"/>
      <c r="S403" s="743"/>
    </row>
    <row r="404" spans="1:19" ht="13">
      <c r="A404" s="743"/>
      <c r="B404" s="743"/>
      <c r="C404" s="743"/>
      <c r="D404" s="743"/>
      <c r="E404" s="743"/>
      <c r="F404" s="743"/>
      <c r="G404" s="743"/>
      <c r="H404" s="743"/>
      <c r="I404" s="743"/>
      <c r="J404" s="743"/>
      <c r="K404" s="743"/>
      <c r="L404" s="743"/>
      <c r="M404" s="743"/>
      <c r="N404" s="744"/>
      <c r="O404" s="744"/>
      <c r="P404" s="744"/>
      <c r="Q404" s="743"/>
      <c r="R404" s="743"/>
      <c r="S404" s="743"/>
    </row>
    <row r="405" spans="1:19" ht="13">
      <c r="A405" s="743"/>
      <c r="B405" s="743"/>
      <c r="C405" s="743"/>
      <c r="D405" s="743"/>
      <c r="E405" s="743"/>
      <c r="F405" s="743"/>
      <c r="G405" s="743"/>
      <c r="H405" s="743"/>
      <c r="I405" s="743"/>
      <c r="J405" s="743"/>
      <c r="K405" s="743"/>
      <c r="L405" s="743"/>
      <c r="M405" s="743"/>
      <c r="N405" s="744"/>
      <c r="O405" s="744"/>
      <c r="P405" s="744"/>
      <c r="Q405" s="743"/>
      <c r="R405" s="743"/>
      <c r="S405" s="743"/>
    </row>
    <row r="406" spans="1:19" ht="13">
      <c r="A406" s="743"/>
      <c r="B406" s="743"/>
      <c r="C406" s="743"/>
      <c r="D406" s="743"/>
      <c r="E406" s="743"/>
      <c r="F406" s="743"/>
      <c r="G406" s="743"/>
      <c r="H406" s="743"/>
      <c r="I406" s="743"/>
      <c r="J406" s="743"/>
      <c r="K406" s="743"/>
      <c r="L406" s="743"/>
      <c r="M406" s="743"/>
      <c r="N406" s="744"/>
      <c r="O406" s="744"/>
      <c r="P406" s="744"/>
      <c r="Q406" s="743"/>
      <c r="R406" s="743"/>
      <c r="S406" s="743"/>
    </row>
    <row r="407" spans="1:19" ht="13">
      <c r="A407" s="743"/>
      <c r="B407" s="743"/>
      <c r="C407" s="743"/>
      <c r="D407" s="743"/>
      <c r="E407" s="743"/>
      <c r="F407" s="743"/>
      <c r="G407" s="743"/>
      <c r="H407" s="743"/>
      <c r="I407" s="743"/>
      <c r="J407" s="743"/>
      <c r="K407" s="743"/>
      <c r="L407" s="743"/>
      <c r="M407" s="743"/>
      <c r="N407" s="744"/>
      <c r="O407" s="744"/>
      <c r="P407" s="744"/>
      <c r="Q407" s="743"/>
      <c r="R407" s="743"/>
      <c r="S407" s="743"/>
    </row>
    <row r="408" spans="1:19" ht="13">
      <c r="A408" s="743"/>
      <c r="B408" s="743"/>
      <c r="C408" s="743"/>
      <c r="D408" s="743"/>
      <c r="E408" s="743"/>
      <c r="F408" s="743"/>
      <c r="G408" s="743"/>
      <c r="H408" s="743"/>
      <c r="I408" s="743"/>
      <c r="J408" s="743"/>
      <c r="K408" s="743"/>
      <c r="L408" s="743"/>
      <c r="M408" s="743"/>
      <c r="N408" s="744"/>
      <c r="O408" s="744"/>
      <c r="P408" s="744"/>
      <c r="Q408" s="743"/>
      <c r="R408" s="743"/>
      <c r="S408" s="743"/>
    </row>
    <row r="409" spans="1:19" ht="13">
      <c r="A409" s="743"/>
      <c r="B409" s="743"/>
      <c r="C409" s="743"/>
      <c r="D409" s="743"/>
      <c r="E409" s="743"/>
      <c r="F409" s="743"/>
      <c r="G409" s="743"/>
      <c r="H409" s="743"/>
      <c r="I409" s="743"/>
      <c r="J409" s="743"/>
      <c r="K409" s="743"/>
      <c r="L409" s="743"/>
      <c r="M409" s="743"/>
      <c r="N409" s="744"/>
      <c r="O409" s="744"/>
      <c r="P409" s="744"/>
      <c r="Q409" s="743"/>
      <c r="R409" s="743"/>
      <c r="S409" s="743"/>
    </row>
    <row r="410" spans="1:19" ht="13">
      <c r="A410" s="743"/>
      <c r="B410" s="743"/>
      <c r="C410" s="743"/>
      <c r="D410" s="743"/>
      <c r="E410" s="743"/>
      <c r="F410" s="743"/>
      <c r="G410" s="743"/>
      <c r="H410" s="743"/>
      <c r="I410" s="743"/>
      <c r="J410" s="743"/>
      <c r="K410" s="743"/>
      <c r="L410" s="743"/>
      <c r="M410" s="743"/>
      <c r="N410" s="744"/>
      <c r="O410" s="744"/>
      <c r="P410" s="744"/>
      <c r="Q410" s="743"/>
      <c r="R410" s="743"/>
      <c r="S410" s="743"/>
    </row>
    <row r="411" spans="1:19" ht="13">
      <c r="A411" s="743"/>
      <c r="B411" s="743"/>
      <c r="C411" s="743"/>
      <c r="D411" s="743"/>
      <c r="E411" s="743"/>
      <c r="F411" s="743"/>
      <c r="G411" s="743"/>
      <c r="H411" s="743"/>
      <c r="I411" s="743"/>
      <c r="J411" s="743"/>
      <c r="K411" s="743"/>
      <c r="L411" s="743"/>
      <c r="M411" s="743"/>
      <c r="N411" s="744"/>
      <c r="O411" s="744"/>
      <c r="P411" s="744"/>
      <c r="Q411" s="743"/>
      <c r="R411" s="743"/>
      <c r="S411" s="743"/>
    </row>
    <row r="412" spans="1:19" ht="13">
      <c r="A412" s="743"/>
      <c r="B412" s="743"/>
      <c r="C412" s="743"/>
      <c r="D412" s="743"/>
      <c r="E412" s="743"/>
      <c r="F412" s="743"/>
      <c r="G412" s="743"/>
      <c r="H412" s="743"/>
      <c r="I412" s="743"/>
      <c r="J412" s="743"/>
      <c r="K412" s="743"/>
      <c r="L412" s="743"/>
      <c r="M412" s="743"/>
      <c r="N412" s="744"/>
      <c r="O412" s="744"/>
      <c r="P412" s="744"/>
      <c r="Q412" s="743"/>
      <c r="R412" s="743"/>
      <c r="S412" s="743"/>
    </row>
    <row r="413" spans="1:19" ht="13">
      <c r="A413" s="743"/>
      <c r="B413" s="743"/>
      <c r="C413" s="743"/>
      <c r="D413" s="743"/>
      <c r="E413" s="743"/>
      <c r="F413" s="743"/>
      <c r="G413" s="743"/>
      <c r="H413" s="743"/>
      <c r="I413" s="743"/>
      <c r="J413" s="743"/>
      <c r="K413" s="743"/>
      <c r="L413" s="743"/>
      <c r="M413" s="743"/>
      <c r="N413" s="744"/>
      <c r="O413" s="744"/>
      <c r="P413" s="744"/>
      <c r="Q413" s="743"/>
      <c r="R413" s="743"/>
      <c r="S413" s="743"/>
    </row>
    <row r="414" spans="1:19" ht="13">
      <c r="A414" s="743"/>
      <c r="B414" s="743"/>
      <c r="C414" s="743"/>
      <c r="D414" s="743"/>
      <c r="E414" s="743"/>
      <c r="F414" s="743"/>
      <c r="G414" s="743"/>
      <c r="H414" s="743"/>
      <c r="I414" s="743"/>
      <c r="J414" s="743"/>
      <c r="K414" s="743"/>
      <c r="L414" s="743"/>
      <c r="M414" s="743"/>
      <c r="N414" s="744"/>
      <c r="O414" s="744"/>
      <c r="P414" s="744"/>
      <c r="Q414" s="743"/>
      <c r="R414" s="743"/>
      <c r="S414" s="743"/>
    </row>
    <row r="415" spans="1:19" ht="13">
      <c r="A415" s="743"/>
      <c r="B415" s="743"/>
      <c r="C415" s="743"/>
      <c r="D415" s="743"/>
      <c r="E415" s="743"/>
      <c r="F415" s="743"/>
      <c r="G415" s="743"/>
      <c r="H415" s="743"/>
      <c r="I415" s="743"/>
      <c r="J415" s="743"/>
      <c r="K415" s="743"/>
      <c r="L415" s="743"/>
      <c r="M415" s="743"/>
      <c r="N415" s="744"/>
      <c r="O415" s="744"/>
      <c r="P415" s="744"/>
      <c r="Q415" s="743"/>
      <c r="R415" s="743"/>
      <c r="S415" s="743"/>
    </row>
    <row r="416" spans="1:19" ht="13">
      <c r="A416" s="743"/>
      <c r="B416" s="743"/>
      <c r="C416" s="743"/>
      <c r="D416" s="743"/>
      <c r="E416" s="743"/>
      <c r="F416" s="743"/>
      <c r="G416" s="743"/>
      <c r="H416" s="743"/>
      <c r="I416" s="743"/>
      <c r="J416" s="743"/>
      <c r="K416" s="743"/>
      <c r="L416" s="743"/>
      <c r="M416" s="743"/>
      <c r="N416" s="744"/>
      <c r="O416" s="744"/>
      <c r="P416" s="744"/>
      <c r="Q416" s="743"/>
      <c r="R416" s="743"/>
      <c r="S416" s="743"/>
    </row>
    <row r="417" spans="1:19" ht="13">
      <c r="A417" s="743"/>
      <c r="B417" s="743"/>
      <c r="C417" s="743"/>
      <c r="D417" s="743"/>
      <c r="E417" s="743"/>
      <c r="F417" s="743"/>
      <c r="G417" s="743"/>
      <c r="H417" s="743"/>
      <c r="I417" s="743"/>
      <c r="J417" s="743"/>
      <c r="K417" s="743"/>
      <c r="L417" s="743"/>
      <c r="M417" s="743"/>
      <c r="N417" s="744"/>
      <c r="O417" s="744"/>
      <c r="P417" s="744"/>
      <c r="Q417" s="743"/>
      <c r="R417" s="743"/>
      <c r="S417" s="743"/>
    </row>
    <row r="418" spans="1:19" ht="13">
      <c r="A418" s="743"/>
      <c r="B418" s="743"/>
      <c r="C418" s="743"/>
      <c r="D418" s="743"/>
      <c r="E418" s="743"/>
      <c r="F418" s="743"/>
      <c r="G418" s="743"/>
      <c r="H418" s="743"/>
      <c r="I418" s="743"/>
      <c r="J418" s="743"/>
      <c r="K418" s="743"/>
      <c r="L418" s="743"/>
      <c r="M418" s="743"/>
      <c r="N418" s="744"/>
      <c r="O418" s="744"/>
      <c r="P418" s="744"/>
      <c r="Q418" s="743"/>
      <c r="R418" s="743"/>
      <c r="S418" s="743"/>
    </row>
    <row r="419" spans="1:19" ht="13">
      <c r="A419" s="743"/>
      <c r="B419" s="743"/>
      <c r="C419" s="743"/>
      <c r="D419" s="743"/>
      <c r="E419" s="743"/>
      <c r="F419" s="743"/>
      <c r="G419" s="743"/>
      <c r="H419" s="743"/>
      <c r="I419" s="743"/>
      <c r="J419" s="743"/>
      <c r="K419" s="743"/>
      <c r="L419" s="743"/>
      <c r="M419" s="743"/>
      <c r="N419" s="744"/>
      <c r="O419" s="744"/>
      <c r="P419" s="744"/>
      <c r="Q419" s="743"/>
      <c r="R419" s="743"/>
      <c r="S419" s="743"/>
    </row>
    <row r="420" spans="1:19" ht="13">
      <c r="A420" s="743"/>
      <c r="B420" s="743"/>
      <c r="C420" s="743"/>
      <c r="D420" s="743"/>
      <c r="E420" s="743"/>
      <c r="F420" s="743"/>
      <c r="G420" s="743"/>
      <c r="H420" s="743"/>
      <c r="I420" s="743"/>
      <c r="J420" s="743"/>
      <c r="K420" s="743"/>
      <c r="L420" s="743"/>
      <c r="M420" s="743"/>
      <c r="N420" s="744"/>
      <c r="O420" s="744"/>
      <c r="P420" s="744"/>
      <c r="Q420" s="743"/>
      <c r="R420" s="743"/>
      <c r="S420" s="743"/>
    </row>
    <row r="421" spans="1:19" ht="13">
      <c r="A421" s="743"/>
      <c r="B421" s="743"/>
      <c r="C421" s="743"/>
      <c r="D421" s="743"/>
      <c r="E421" s="743"/>
      <c r="F421" s="743"/>
      <c r="G421" s="743"/>
      <c r="H421" s="743"/>
      <c r="I421" s="743"/>
      <c r="J421" s="743"/>
      <c r="K421" s="743"/>
      <c r="L421" s="743"/>
      <c r="M421" s="743"/>
      <c r="N421" s="744"/>
      <c r="O421" s="744"/>
      <c r="P421" s="744"/>
      <c r="Q421" s="743"/>
      <c r="R421" s="743"/>
      <c r="S421" s="743"/>
    </row>
    <row r="422" spans="1:19" ht="13">
      <c r="A422" s="743"/>
      <c r="B422" s="743"/>
      <c r="C422" s="743"/>
      <c r="D422" s="743"/>
      <c r="E422" s="743"/>
      <c r="F422" s="743"/>
      <c r="G422" s="743"/>
      <c r="H422" s="743"/>
      <c r="I422" s="743"/>
      <c r="J422" s="743"/>
      <c r="K422" s="743"/>
      <c r="L422" s="743"/>
      <c r="M422" s="743"/>
      <c r="N422" s="744"/>
      <c r="O422" s="744"/>
      <c r="P422" s="744"/>
      <c r="Q422" s="743"/>
      <c r="R422" s="743"/>
      <c r="S422" s="743"/>
    </row>
    <row r="423" spans="1:19" ht="13">
      <c r="A423" s="743"/>
      <c r="B423" s="743"/>
      <c r="C423" s="743"/>
      <c r="D423" s="743"/>
      <c r="E423" s="743"/>
      <c r="F423" s="743"/>
      <c r="G423" s="743"/>
      <c r="H423" s="743"/>
      <c r="I423" s="743"/>
      <c r="J423" s="743"/>
      <c r="K423" s="743"/>
      <c r="L423" s="743"/>
      <c r="M423" s="743"/>
      <c r="N423" s="744"/>
      <c r="O423" s="744"/>
      <c r="P423" s="744"/>
      <c r="Q423" s="743"/>
      <c r="R423" s="743"/>
      <c r="S423" s="743"/>
    </row>
    <row r="424" spans="1:19" ht="13">
      <c r="A424" s="743"/>
      <c r="B424" s="743"/>
      <c r="C424" s="743"/>
      <c r="D424" s="743"/>
      <c r="E424" s="743"/>
      <c r="F424" s="743"/>
      <c r="G424" s="743"/>
      <c r="H424" s="743"/>
      <c r="I424" s="743"/>
      <c r="J424" s="743"/>
      <c r="K424" s="743"/>
      <c r="L424" s="743"/>
      <c r="M424" s="743"/>
      <c r="N424" s="744"/>
      <c r="O424" s="744"/>
      <c r="P424" s="744"/>
      <c r="Q424" s="743"/>
      <c r="R424" s="743"/>
      <c r="S424" s="743"/>
    </row>
    <row r="425" spans="1:19" ht="13">
      <c r="A425" s="743"/>
      <c r="B425" s="743"/>
      <c r="C425" s="743"/>
      <c r="D425" s="743"/>
      <c r="E425" s="743"/>
      <c r="F425" s="743"/>
      <c r="G425" s="743"/>
      <c r="H425" s="743"/>
      <c r="I425" s="743"/>
      <c r="J425" s="743"/>
      <c r="K425" s="743"/>
      <c r="L425" s="743"/>
      <c r="M425" s="743"/>
      <c r="N425" s="744"/>
      <c r="O425" s="744"/>
      <c r="P425" s="744"/>
      <c r="Q425" s="743"/>
      <c r="R425" s="743"/>
      <c r="S425" s="743"/>
    </row>
    <row r="426" spans="1:19" ht="13">
      <c r="A426" s="743"/>
      <c r="B426" s="743"/>
      <c r="C426" s="743"/>
      <c r="D426" s="743"/>
      <c r="E426" s="743"/>
      <c r="F426" s="743"/>
      <c r="G426" s="743"/>
      <c r="H426" s="743"/>
      <c r="I426" s="743"/>
      <c r="J426" s="743"/>
      <c r="K426" s="743"/>
      <c r="L426" s="743"/>
      <c r="M426" s="743"/>
      <c r="N426" s="744"/>
      <c r="O426" s="744"/>
      <c r="P426" s="744"/>
      <c r="Q426" s="743"/>
      <c r="R426" s="743"/>
      <c r="S426" s="743"/>
    </row>
    <row r="427" spans="1:19" ht="13">
      <c r="A427" s="743"/>
      <c r="B427" s="743"/>
      <c r="C427" s="743"/>
      <c r="D427" s="743"/>
      <c r="E427" s="743"/>
      <c r="F427" s="743"/>
      <c r="G427" s="743"/>
      <c r="H427" s="743"/>
      <c r="I427" s="743"/>
      <c r="J427" s="743"/>
      <c r="K427" s="743"/>
      <c r="L427" s="743"/>
      <c r="M427" s="743"/>
      <c r="N427" s="744"/>
      <c r="O427" s="744"/>
      <c r="P427" s="744"/>
      <c r="Q427" s="743"/>
      <c r="R427" s="743"/>
      <c r="S427" s="743"/>
    </row>
    <row r="428" spans="1:19" ht="13">
      <c r="A428" s="743"/>
      <c r="B428" s="743"/>
      <c r="C428" s="743"/>
      <c r="D428" s="743"/>
      <c r="E428" s="743"/>
      <c r="F428" s="743"/>
      <c r="G428" s="743"/>
      <c r="H428" s="743"/>
      <c r="I428" s="743"/>
      <c r="J428" s="743"/>
      <c r="K428" s="743"/>
      <c r="L428" s="743"/>
      <c r="M428" s="743"/>
      <c r="N428" s="744"/>
      <c r="O428" s="744"/>
      <c r="P428" s="744"/>
      <c r="Q428" s="743"/>
      <c r="R428" s="743"/>
      <c r="S428" s="743"/>
    </row>
    <row r="429" spans="1:19" ht="13">
      <c r="A429" s="743"/>
      <c r="B429" s="743"/>
      <c r="C429" s="743"/>
      <c r="D429" s="743"/>
      <c r="E429" s="743"/>
      <c r="F429" s="743"/>
      <c r="G429" s="743"/>
      <c r="H429" s="743"/>
      <c r="I429" s="743"/>
      <c r="J429" s="743"/>
      <c r="K429" s="743"/>
      <c r="L429" s="743"/>
      <c r="M429" s="743"/>
      <c r="N429" s="744"/>
      <c r="O429" s="744"/>
      <c r="P429" s="744"/>
      <c r="Q429" s="743"/>
      <c r="R429" s="743"/>
      <c r="S429" s="743"/>
    </row>
    <row r="430" spans="1:19" ht="13">
      <c r="A430" s="743"/>
      <c r="B430" s="743"/>
      <c r="C430" s="743"/>
      <c r="D430" s="743"/>
      <c r="E430" s="743"/>
      <c r="F430" s="743"/>
      <c r="G430" s="743"/>
      <c r="H430" s="743"/>
      <c r="I430" s="743"/>
      <c r="J430" s="743"/>
      <c r="K430" s="743"/>
      <c r="L430" s="743"/>
      <c r="M430" s="743"/>
      <c r="N430" s="744"/>
      <c r="O430" s="744"/>
      <c r="P430" s="744"/>
      <c r="Q430" s="743"/>
      <c r="R430" s="743"/>
      <c r="S430" s="743"/>
    </row>
    <row r="431" spans="1:19" ht="13">
      <c r="A431" s="743"/>
      <c r="B431" s="743"/>
      <c r="C431" s="743"/>
      <c r="D431" s="743"/>
      <c r="E431" s="743"/>
      <c r="F431" s="743"/>
      <c r="G431" s="743"/>
      <c r="H431" s="743"/>
      <c r="I431" s="743"/>
      <c r="J431" s="743"/>
      <c r="K431" s="743"/>
      <c r="L431" s="743"/>
      <c r="M431" s="743"/>
      <c r="N431" s="744"/>
      <c r="O431" s="744"/>
      <c r="P431" s="744"/>
      <c r="Q431" s="743"/>
      <c r="R431" s="743"/>
      <c r="S431" s="743"/>
    </row>
    <row r="432" spans="1:19" ht="13">
      <c r="A432" s="743"/>
      <c r="B432" s="743"/>
      <c r="C432" s="743"/>
      <c r="D432" s="743"/>
      <c r="E432" s="743"/>
      <c r="F432" s="743"/>
      <c r="G432" s="743"/>
      <c r="H432" s="743"/>
      <c r="I432" s="743"/>
      <c r="J432" s="743"/>
      <c r="K432" s="743"/>
      <c r="L432" s="743"/>
      <c r="M432" s="743"/>
      <c r="N432" s="744"/>
      <c r="O432" s="744"/>
      <c r="P432" s="744"/>
      <c r="Q432" s="743"/>
      <c r="R432" s="743"/>
      <c r="S432" s="743"/>
    </row>
    <row r="433" spans="1:19" ht="13">
      <c r="A433" s="743"/>
      <c r="B433" s="743"/>
      <c r="C433" s="743"/>
      <c r="D433" s="743"/>
      <c r="E433" s="743"/>
      <c r="F433" s="743"/>
      <c r="G433" s="743"/>
      <c r="H433" s="743"/>
      <c r="I433" s="743"/>
      <c r="J433" s="743"/>
      <c r="K433" s="743"/>
      <c r="L433" s="743"/>
      <c r="M433" s="743"/>
      <c r="N433" s="744"/>
      <c r="O433" s="744"/>
      <c r="P433" s="744"/>
      <c r="Q433" s="743"/>
      <c r="R433" s="743"/>
      <c r="S433" s="743"/>
    </row>
    <row r="434" spans="1:19" ht="13">
      <c r="A434" s="743"/>
      <c r="B434" s="743"/>
      <c r="C434" s="743"/>
      <c r="D434" s="743"/>
      <c r="E434" s="743"/>
      <c r="F434" s="743"/>
      <c r="G434" s="743"/>
      <c r="H434" s="743"/>
      <c r="I434" s="743"/>
      <c r="J434" s="743"/>
      <c r="K434" s="743"/>
      <c r="L434" s="743"/>
      <c r="M434" s="743"/>
      <c r="N434" s="744"/>
      <c r="O434" s="744"/>
      <c r="P434" s="744"/>
      <c r="Q434" s="743"/>
      <c r="R434" s="743"/>
      <c r="S434" s="743"/>
    </row>
    <row r="435" spans="1:19" ht="13">
      <c r="A435" s="743"/>
      <c r="B435" s="743"/>
      <c r="C435" s="743"/>
      <c r="D435" s="743"/>
      <c r="E435" s="743"/>
      <c r="F435" s="743"/>
      <c r="G435" s="743"/>
      <c r="H435" s="743"/>
      <c r="I435" s="743"/>
      <c r="J435" s="743"/>
      <c r="K435" s="743"/>
      <c r="L435" s="743"/>
      <c r="M435" s="743"/>
      <c r="N435" s="744"/>
      <c r="O435" s="744"/>
      <c r="P435" s="744"/>
      <c r="Q435" s="743"/>
      <c r="R435" s="743"/>
      <c r="S435" s="743"/>
    </row>
    <row r="436" spans="1:19" ht="13">
      <c r="A436" s="743"/>
      <c r="B436" s="743"/>
      <c r="C436" s="743"/>
      <c r="D436" s="743"/>
      <c r="E436" s="743"/>
      <c r="F436" s="743"/>
      <c r="G436" s="743"/>
      <c r="H436" s="743"/>
      <c r="I436" s="743"/>
      <c r="J436" s="743"/>
      <c r="K436" s="743"/>
      <c r="L436" s="743"/>
      <c r="M436" s="743"/>
      <c r="N436" s="744"/>
      <c r="O436" s="744"/>
      <c r="P436" s="744"/>
      <c r="Q436" s="743"/>
      <c r="R436" s="743"/>
      <c r="S436" s="743"/>
    </row>
    <row r="437" spans="1:19" ht="13">
      <c r="A437" s="743"/>
      <c r="B437" s="743"/>
      <c r="C437" s="743"/>
      <c r="D437" s="743"/>
      <c r="E437" s="743"/>
      <c r="F437" s="743"/>
      <c r="G437" s="743"/>
      <c r="H437" s="743"/>
      <c r="I437" s="743"/>
      <c r="J437" s="743"/>
      <c r="K437" s="743"/>
      <c r="L437" s="743"/>
      <c r="M437" s="743"/>
      <c r="N437" s="744"/>
      <c r="O437" s="744"/>
      <c r="P437" s="744"/>
      <c r="Q437" s="743"/>
      <c r="R437" s="743"/>
      <c r="S437" s="743"/>
    </row>
    <row r="438" spans="1:19" ht="13">
      <c r="A438" s="743"/>
      <c r="B438" s="743"/>
      <c r="C438" s="743"/>
      <c r="D438" s="743"/>
      <c r="E438" s="743"/>
      <c r="F438" s="743"/>
      <c r="G438" s="743"/>
      <c r="H438" s="743"/>
      <c r="I438" s="743"/>
      <c r="J438" s="743"/>
      <c r="K438" s="743"/>
      <c r="L438" s="743"/>
      <c r="M438" s="743"/>
      <c r="N438" s="744"/>
      <c r="O438" s="744"/>
      <c r="P438" s="744"/>
      <c r="Q438" s="743"/>
      <c r="R438" s="743"/>
      <c r="S438" s="743"/>
    </row>
    <row r="439" spans="1:19" ht="13">
      <c r="A439" s="743"/>
      <c r="B439" s="743"/>
      <c r="C439" s="743"/>
      <c r="D439" s="743"/>
      <c r="E439" s="743"/>
      <c r="F439" s="743"/>
      <c r="G439" s="743"/>
      <c r="H439" s="743"/>
      <c r="I439" s="743"/>
      <c r="J439" s="743"/>
      <c r="K439" s="743"/>
      <c r="L439" s="743"/>
      <c r="M439" s="743"/>
      <c r="N439" s="744"/>
      <c r="O439" s="744"/>
      <c r="P439" s="744"/>
      <c r="Q439" s="743"/>
      <c r="R439" s="743"/>
      <c r="S439" s="743"/>
    </row>
    <row r="440" spans="1:19" ht="13">
      <c r="A440" s="743"/>
      <c r="B440" s="743"/>
      <c r="C440" s="743"/>
      <c r="D440" s="743"/>
      <c r="E440" s="743"/>
      <c r="F440" s="743"/>
      <c r="G440" s="743"/>
      <c r="H440" s="743"/>
      <c r="I440" s="743"/>
      <c r="J440" s="743"/>
      <c r="K440" s="743"/>
      <c r="L440" s="743"/>
      <c r="M440" s="743"/>
      <c r="N440" s="744"/>
      <c r="O440" s="744"/>
      <c r="P440" s="744"/>
      <c r="Q440" s="743"/>
      <c r="R440" s="743"/>
      <c r="S440" s="743"/>
    </row>
    <row r="441" spans="1:19" ht="13">
      <c r="A441" s="743"/>
      <c r="B441" s="743"/>
      <c r="C441" s="743"/>
      <c r="D441" s="743"/>
      <c r="E441" s="743"/>
      <c r="F441" s="743"/>
      <c r="G441" s="743"/>
      <c r="H441" s="743"/>
      <c r="I441" s="743"/>
      <c r="J441" s="743"/>
      <c r="K441" s="743"/>
      <c r="L441" s="743"/>
      <c r="M441" s="743"/>
      <c r="N441" s="744"/>
      <c r="O441" s="744"/>
      <c r="P441" s="744"/>
      <c r="Q441" s="743"/>
      <c r="R441" s="743"/>
      <c r="S441" s="743"/>
    </row>
    <row r="442" spans="1:19" ht="13">
      <c r="A442" s="743"/>
      <c r="B442" s="743"/>
      <c r="C442" s="743"/>
      <c r="D442" s="743"/>
      <c r="E442" s="743"/>
      <c r="F442" s="743"/>
      <c r="G442" s="743"/>
      <c r="H442" s="743"/>
      <c r="I442" s="743"/>
      <c r="J442" s="743"/>
      <c r="K442" s="743"/>
      <c r="L442" s="743"/>
      <c r="M442" s="743"/>
      <c r="N442" s="744"/>
      <c r="O442" s="744"/>
      <c r="P442" s="744"/>
      <c r="Q442" s="743"/>
      <c r="R442" s="743"/>
      <c r="S442" s="743"/>
    </row>
    <row r="443" spans="1:19" ht="13">
      <c r="A443" s="743"/>
      <c r="B443" s="743"/>
      <c r="C443" s="743"/>
      <c r="D443" s="743"/>
      <c r="E443" s="743"/>
      <c r="F443" s="743"/>
      <c r="G443" s="743"/>
      <c r="H443" s="743"/>
      <c r="I443" s="743"/>
      <c r="J443" s="743"/>
      <c r="K443" s="743"/>
      <c r="L443" s="743"/>
      <c r="M443" s="743"/>
      <c r="N443" s="744"/>
      <c r="O443" s="744"/>
      <c r="P443" s="744"/>
      <c r="Q443" s="743"/>
      <c r="R443" s="743"/>
      <c r="S443" s="743"/>
    </row>
    <row r="444" spans="1:19" ht="13">
      <c r="A444" s="743"/>
      <c r="B444" s="743"/>
      <c r="C444" s="743"/>
      <c r="D444" s="743"/>
      <c r="E444" s="743"/>
      <c r="F444" s="743"/>
      <c r="G444" s="743"/>
      <c r="H444" s="743"/>
      <c r="I444" s="743"/>
      <c r="J444" s="743"/>
      <c r="K444" s="743"/>
      <c r="L444" s="743"/>
      <c r="M444" s="743"/>
      <c r="N444" s="744"/>
      <c r="O444" s="744"/>
      <c r="P444" s="744"/>
      <c r="Q444" s="743"/>
      <c r="R444" s="743"/>
      <c r="S444" s="743"/>
    </row>
    <row r="445" spans="1:19" ht="13">
      <c r="A445" s="743"/>
      <c r="B445" s="743"/>
      <c r="C445" s="743"/>
      <c r="D445" s="743"/>
      <c r="E445" s="743"/>
      <c r="F445" s="743"/>
      <c r="G445" s="743"/>
      <c r="H445" s="743"/>
      <c r="I445" s="743"/>
      <c r="J445" s="743"/>
      <c r="K445" s="743"/>
      <c r="L445" s="743"/>
      <c r="M445" s="743"/>
      <c r="N445" s="744"/>
      <c r="O445" s="744"/>
      <c r="P445" s="744"/>
      <c r="Q445" s="743"/>
      <c r="R445" s="743"/>
      <c r="S445" s="743"/>
    </row>
    <row r="446" spans="1:19" ht="13">
      <c r="A446" s="743"/>
      <c r="B446" s="743"/>
      <c r="C446" s="743"/>
      <c r="D446" s="743"/>
      <c r="E446" s="743"/>
      <c r="F446" s="743"/>
      <c r="G446" s="743"/>
      <c r="H446" s="743"/>
      <c r="I446" s="743"/>
      <c r="J446" s="743"/>
      <c r="K446" s="743"/>
      <c r="L446" s="743"/>
      <c r="M446" s="743"/>
      <c r="N446" s="744"/>
      <c r="O446" s="744"/>
      <c r="P446" s="744"/>
      <c r="Q446" s="743"/>
      <c r="R446" s="743"/>
      <c r="S446" s="743"/>
    </row>
    <row r="447" spans="1:19" ht="13">
      <c r="A447" s="743"/>
      <c r="B447" s="743"/>
      <c r="C447" s="743"/>
      <c r="D447" s="743"/>
      <c r="E447" s="743"/>
      <c r="F447" s="743"/>
      <c r="G447" s="743"/>
      <c r="H447" s="743"/>
      <c r="I447" s="743"/>
      <c r="J447" s="743"/>
      <c r="K447" s="743"/>
      <c r="L447" s="743"/>
      <c r="M447" s="743"/>
      <c r="N447" s="744"/>
      <c r="O447" s="744"/>
      <c r="P447" s="744"/>
      <c r="Q447" s="743"/>
      <c r="R447" s="743"/>
      <c r="S447" s="743"/>
    </row>
    <row r="448" spans="1:19" ht="13">
      <c r="A448" s="743"/>
      <c r="B448" s="743"/>
      <c r="C448" s="743"/>
      <c r="D448" s="743"/>
      <c r="E448" s="743"/>
      <c r="F448" s="743"/>
      <c r="G448" s="743"/>
      <c r="H448" s="743"/>
      <c r="I448" s="743"/>
      <c r="J448" s="743"/>
      <c r="K448" s="743"/>
      <c r="L448" s="743"/>
      <c r="M448" s="743"/>
      <c r="N448" s="744"/>
      <c r="O448" s="744"/>
      <c r="P448" s="744"/>
      <c r="Q448" s="743"/>
      <c r="R448" s="743"/>
      <c r="S448" s="743"/>
    </row>
    <row r="449" spans="1:19" ht="13">
      <c r="A449" s="743"/>
      <c r="B449" s="743"/>
      <c r="C449" s="743"/>
      <c r="D449" s="743"/>
      <c r="E449" s="743"/>
      <c r="F449" s="743"/>
      <c r="G449" s="743"/>
      <c r="H449" s="743"/>
      <c r="I449" s="743"/>
      <c r="J449" s="743"/>
      <c r="K449" s="743"/>
      <c r="L449" s="743"/>
      <c r="M449" s="743"/>
      <c r="N449" s="744"/>
      <c r="O449" s="744"/>
      <c r="P449" s="744"/>
      <c r="Q449" s="743"/>
      <c r="R449" s="743"/>
      <c r="S449" s="743"/>
    </row>
    <row r="450" spans="1:19" ht="13">
      <c r="A450" s="743"/>
      <c r="B450" s="743"/>
      <c r="C450" s="743"/>
      <c r="D450" s="743"/>
      <c r="E450" s="743"/>
      <c r="F450" s="743"/>
      <c r="G450" s="743"/>
      <c r="H450" s="743"/>
      <c r="I450" s="743"/>
      <c r="J450" s="743"/>
      <c r="K450" s="743"/>
      <c r="L450" s="743"/>
      <c r="M450" s="743"/>
      <c r="N450" s="744"/>
      <c r="O450" s="744"/>
      <c r="P450" s="744"/>
      <c r="Q450" s="743"/>
      <c r="R450" s="743"/>
      <c r="S450" s="743"/>
    </row>
    <row r="451" spans="1:19" ht="13">
      <c r="A451" s="743"/>
      <c r="B451" s="743"/>
      <c r="C451" s="743"/>
      <c r="D451" s="743"/>
      <c r="E451" s="743"/>
      <c r="F451" s="743"/>
      <c r="G451" s="743"/>
      <c r="H451" s="743"/>
      <c r="I451" s="743"/>
      <c r="J451" s="743"/>
      <c r="K451" s="743"/>
      <c r="L451" s="743"/>
      <c r="M451" s="743"/>
      <c r="N451" s="744"/>
      <c r="O451" s="744"/>
      <c r="P451" s="744"/>
      <c r="Q451" s="743"/>
      <c r="R451" s="743"/>
      <c r="S451" s="743"/>
    </row>
    <row r="452" spans="1:19" ht="13">
      <c r="A452" s="743"/>
      <c r="B452" s="743"/>
      <c r="C452" s="743"/>
      <c r="D452" s="743"/>
      <c r="E452" s="743"/>
      <c r="F452" s="743"/>
      <c r="G452" s="743"/>
      <c r="H452" s="743"/>
      <c r="I452" s="743"/>
      <c r="J452" s="743"/>
      <c r="K452" s="743"/>
      <c r="L452" s="743"/>
      <c r="M452" s="743"/>
      <c r="N452" s="744"/>
      <c r="O452" s="744"/>
      <c r="P452" s="744"/>
      <c r="Q452" s="743"/>
      <c r="R452" s="743"/>
      <c r="S452" s="743"/>
    </row>
    <row r="453" spans="1:19" ht="13">
      <c r="A453" s="743"/>
      <c r="B453" s="743"/>
      <c r="C453" s="743"/>
      <c r="D453" s="743"/>
      <c r="E453" s="743"/>
      <c r="F453" s="743"/>
      <c r="G453" s="743"/>
      <c r="H453" s="743"/>
      <c r="I453" s="743"/>
      <c r="J453" s="743"/>
      <c r="K453" s="743"/>
      <c r="L453" s="743"/>
      <c r="M453" s="743"/>
      <c r="N453" s="744"/>
      <c r="O453" s="744"/>
      <c r="P453" s="744"/>
      <c r="Q453" s="743"/>
      <c r="R453" s="743"/>
      <c r="S453" s="743"/>
    </row>
    <row r="454" spans="1:19" ht="13">
      <c r="A454" s="743"/>
      <c r="B454" s="743"/>
      <c r="C454" s="743"/>
      <c r="D454" s="743"/>
      <c r="E454" s="743"/>
      <c r="F454" s="743"/>
      <c r="G454" s="743"/>
      <c r="H454" s="743"/>
      <c r="I454" s="743"/>
      <c r="J454" s="743"/>
      <c r="K454" s="743"/>
      <c r="L454" s="743"/>
      <c r="M454" s="743"/>
      <c r="N454" s="744"/>
      <c r="O454" s="744"/>
      <c r="P454" s="744"/>
      <c r="Q454" s="743"/>
      <c r="R454" s="743"/>
      <c r="S454" s="743"/>
    </row>
    <row r="455" spans="1:19" ht="13">
      <c r="A455" s="743"/>
      <c r="B455" s="743"/>
      <c r="C455" s="743"/>
      <c r="D455" s="743"/>
      <c r="E455" s="743"/>
      <c r="F455" s="743"/>
      <c r="G455" s="743"/>
      <c r="H455" s="743"/>
      <c r="I455" s="743"/>
      <c r="J455" s="743"/>
      <c r="K455" s="743"/>
      <c r="L455" s="743"/>
      <c r="M455" s="743"/>
      <c r="N455" s="744"/>
      <c r="O455" s="744"/>
      <c r="P455" s="744"/>
      <c r="Q455" s="743"/>
      <c r="R455" s="743"/>
      <c r="S455" s="743"/>
    </row>
    <row r="456" spans="1:19" ht="13">
      <c r="A456" s="743"/>
      <c r="B456" s="743"/>
      <c r="C456" s="743"/>
      <c r="D456" s="743"/>
      <c r="E456" s="743"/>
      <c r="F456" s="743"/>
      <c r="G456" s="743"/>
      <c r="H456" s="743"/>
      <c r="I456" s="743"/>
      <c r="J456" s="743"/>
      <c r="K456" s="743"/>
      <c r="L456" s="743"/>
      <c r="M456" s="743"/>
      <c r="N456" s="744"/>
      <c r="O456" s="744"/>
      <c r="P456" s="744"/>
      <c r="Q456" s="743"/>
      <c r="R456" s="743"/>
      <c r="S456" s="743"/>
    </row>
    <row r="457" spans="1:19" ht="13">
      <c r="A457" s="743"/>
      <c r="B457" s="743"/>
      <c r="C457" s="743"/>
      <c r="D457" s="743"/>
      <c r="E457" s="743"/>
      <c r="F457" s="743"/>
      <c r="G457" s="743"/>
      <c r="H457" s="743"/>
      <c r="I457" s="743"/>
      <c r="J457" s="743"/>
      <c r="K457" s="743"/>
      <c r="L457" s="743"/>
      <c r="M457" s="743"/>
      <c r="N457" s="744"/>
      <c r="O457" s="744"/>
      <c r="P457" s="744"/>
      <c r="Q457" s="743"/>
      <c r="R457" s="743"/>
      <c r="S457" s="743"/>
    </row>
    <row r="458" spans="1:19" ht="13">
      <c r="A458" s="743"/>
      <c r="B458" s="743"/>
      <c r="C458" s="743"/>
      <c r="D458" s="743"/>
      <c r="E458" s="743"/>
      <c r="F458" s="743"/>
      <c r="G458" s="743"/>
      <c r="H458" s="743"/>
      <c r="I458" s="743"/>
      <c r="J458" s="743"/>
      <c r="K458" s="743"/>
      <c r="L458" s="743"/>
      <c r="M458" s="743"/>
      <c r="N458" s="744"/>
      <c r="O458" s="744"/>
      <c r="P458" s="744"/>
      <c r="Q458" s="743"/>
      <c r="R458" s="743"/>
      <c r="S458" s="743"/>
    </row>
    <row r="459" spans="1:19" ht="13">
      <c r="A459" s="743"/>
      <c r="B459" s="743"/>
      <c r="C459" s="743"/>
      <c r="D459" s="743"/>
      <c r="E459" s="743"/>
      <c r="F459" s="743"/>
      <c r="G459" s="743"/>
      <c r="H459" s="743"/>
      <c r="I459" s="743"/>
      <c r="J459" s="743"/>
      <c r="K459" s="743"/>
      <c r="L459" s="743"/>
      <c r="M459" s="743"/>
      <c r="N459" s="744"/>
      <c r="O459" s="744"/>
      <c r="P459" s="744"/>
      <c r="Q459" s="743"/>
      <c r="R459" s="743"/>
      <c r="S459" s="743"/>
    </row>
    <row r="460" spans="1:19" ht="13">
      <c r="A460" s="743"/>
      <c r="B460" s="743"/>
      <c r="C460" s="743"/>
      <c r="D460" s="743"/>
      <c r="E460" s="743"/>
      <c r="F460" s="743"/>
      <c r="G460" s="743"/>
      <c r="H460" s="743"/>
      <c r="I460" s="743"/>
      <c r="J460" s="743"/>
      <c r="K460" s="743"/>
      <c r="L460" s="743"/>
      <c r="M460" s="743"/>
      <c r="N460" s="744"/>
      <c r="O460" s="744"/>
      <c r="P460" s="744"/>
      <c r="Q460" s="743"/>
      <c r="R460" s="743"/>
      <c r="S460" s="743"/>
    </row>
    <row r="461" spans="1:19" ht="13">
      <c r="A461" s="743"/>
      <c r="B461" s="743"/>
      <c r="C461" s="743"/>
      <c r="D461" s="743"/>
      <c r="E461" s="743"/>
      <c r="F461" s="743"/>
      <c r="G461" s="743"/>
      <c r="H461" s="743"/>
      <c r="I461" s="743"/>
      <c r="J461" s="743"/>
      <c r="K461" s="743"/>
      <c r="L461" s="743"/>
      <c r="M461" s="743"/>
      <c r="N461" s="744"/>
      <c r="O461" s="744"/>
      <c r="P461" s="744"/>
      <c r="Q461" s="743"/>
      <c r="R461" s="743"/>
      <c r="S461" s="743"/>
    </row>
    <row r="462" spans="1:19" ht="13">
      <c r="A462" s="743"/>
      <c r="B462" s="743"/>
      <c r="C462" s="743"/>
      <c r="D462" s="743"/>
      <c r="E462" s="743"/>
      <c r="F462" s="743"/>
      <c r="G462" s="743"/>
      <c r="H462" s="743"/>
      <c r="I462" s="743"/>
      <c r="J462" s="743"/>
      <c r="K462" s="743"/>
      <c r="L462" s="743"/>
      <c r="M462" s="743"/>
      <c r="N462" s="744"/>
      <c r="O462" s="744"/>
      <c r="P462" s="744"/>
      <c r="Q462" s="743"/>
      <c r="R462" s="743"/>
      <c r="S462" s="743"/>
    </row>
    <row r="463" spans="1:19" ht="13">
      <c r="A463" s="743"/>
      <c r="B463" s="743"/>
      <c r="C463" s="743"/>
      <c r="D463" s="743"/>
      <c r="E463" s="743"/>
      <c r="F463" s="743"/>
      <c r="G463" s="743"/>
      <c r="H463" s="743"/>
      <c r="I463" s="743"/>
      <c r="J463" s="743"/>
      <c r="K463" s="743"/>
      <c r="L463" s="743"/>
      <c r="M463" s="743"/>
      <c r="N463" s="744"/>
      <c r="O463" s="744"/>
      <c r="P463" s="744"/>
      <c r="Q463" s="743"/>
      <c r="R463" s="743"/>
      <c r="S463" s="743"/>
    </row>
    <row r="464" spans="1:19" ht="13">
      <c r="A464" s="743"/>
      <c r="B464" s="743"/>
      <c r="C464" s="743"/>
      <c r="D464" s="743"/>
      <c r="E464" s="743"/>
      <c r="F464" s="743"/>
      <c r="G464" s="743"/>
      <c r="H464" s="743"/>
      <c r="I464" s="743"/>
      <c r="J464" s="743"/>
      <c r="K464" s="743"/>
      <c r="L464" s="743"/>
      <c r="M464" s="743"/>
      <c r="N464" s="744"/>
      <c r="O464" s="744"/>
      <c r="P464" s="744"/>
      <c r="Q464" s="743"/>
      <c r="R464" s="743"/>
      <c r="S464" s="743"/>
    </row>
    <row r="465" spans="1:19" ht="13">
      <c r="A465" s="743"/>
      <c r="B465" s="743"/>
      <c r="C465" s="743"/>
      <c r="D465" s="743"/>
      <c r="E465" s="743"/>
      <c r="F465" s="743"/>
      <c r="G465" s="743"/>
      <c r="H465" s="743"/>
      <c r="I465" s="743"/>
      <c r="J465" s="743"/>
      <c r="K465" s="743"/>
      <c r="L465" s="743"/>
      <c r="M465" s="743"/>
      <c r="N465" s="744"/>
      <c r="O465" s="744"/>
      <c r="P465" s="744"/>
      <c r="Q465" s="743"/>
      <c r="R465" s="743"/>
      <c r="S465" s="743"/>
    </row>
    <row r="466" spans="1:19" ht="13">
      <c r="A466" s="743"/>
      <c r="B466" s="743"/>
      <c r="C466" s="743"/>
      <c r="D466" s="743"/>
      <c r="E466" s="743"/>
      <c r="F466" s="743"/>
      <c r="G466" s="743"/>
      <c r="H466" s="743"/>
      <c r="I466" s="743"/>
      <c r="J466" s="743"/>
      <c r="K466" s="743"/>
      <c r="L466" s="743"/>
      <c r="M466" s="743"/>
      <c r="N466" s="744"/>
      <c r="O466" s="744"/>
      <c r="P466" s="744"/>
      <c r="Q466" s="743"/>
      <c r="R466" s="743"/>
      <c r="S466" s="743"/>
    </row>
    <row r="467" spans="1:19" ht="13">
      <c r="A467" s="743"/>
      <c r="B467" s="743"/>
      <c r="C467" s="743"/>
      <c r="D467" s="743"/>
      <c r="E467" s="743"/>
      <c r="F467" s="743"/>
      <c r="G467" s="743"/>
      <c r="H467" s="743"/>
      <c r="I467" s="743"/>
      <c r="J467" s="743"/>
      <c r="K467" s="743"/>
      <c r="L467" s="743"/>
      <c r="M467" s="743"/>
      <c r="N467" s="744"/>
      <c r="O467" s="744"/>
      <c r="P467" s="744"/>
      <c r="Q467" s="743"/>
      <c r="R467" s="743"/>
      <c r="S467" s="743"/>
    </row>
    <row r="468" spans="1:19" ht="13">
      <c r="A468" s="743"/>
      <c r="B468" s="743"/>
      <c r="C468" s="743"/>
      <c r="D468" s="743"/>
      <c r="E468" s="743"/>
      <c r="F468" s="743"/>
      <c r="G468" s="743"/>
      <c r="H468" s="743"/>
      <c r="I468" s="743"/>
      <c r="J468" s="743"/>
      <c r="K468" s="743"/>
      <c r="L468" s="743"/>
      <c r="M468" s="743"/>
      <c r="N468" s="744"/>
      <c r="O468" s="744"/>
      <c r="P468" s="744"/>
      <c r="Q468" s="743"/>
      <c r="R468" s="743"/>
      <c r="S468" s="743"/>
    </row>
    <row r="469" spans="1:19" ht="13">
      <c r="A469" s="743"/>
      <c r="B469" s="743"/>
      <c r="C469" s="743"/>
      <c r="D469" s="743"/>
      <c r="E469" s="743"/>
      <c r="F469" s="743"/>
      <c r="G469" s="743"/>
      <c r="H469" s="743"/>
      <c r="I469" s="743"/>
      <c r="J469" s="743"/>
      <c r="K469" s="743"/>
      <c r="L469" s="743"/>
      <c r="M469" s="743"/>
      <c r="N469" s="744"/>
      <c r="O469" s="744"/>
      <c r="P469" s="744"/>
      <c r="Q469" s="743"/>
      <c r="R469" s="743"/>
      <c r="S469" s="743"/>
    </row>
    <row r="470" spans="1:19" ht="13">
      <c r="A470" s="743"/>
      <c r="B470" s="743"/>
      <c r="C470" s="743"/>
      <c r="D470" s="743"/>
      <c r="E470" s="743"/>
      <c r="F470" s="743"/>
      <c r="G470" s="743"/>
      <c r="H470" s="743"/>
      <c r="I470" s="743"/>
      <c r="J470" s="743"/>
      <c r="K470" s="743"/>
      <c r="L470" s="743"/>
      <c r="M470" s="743"/>
      <c r="N470" s="744"/>
      <c r="O470" s="744"/>
      <c r="P470" s="744"/>
      <c r="Q470" s="743"/>
      <c r="R470" s="743"/>
      <c r="S470" s="743"/>
    </row>
    <row r="471" spans="1:19" ht="13">
      <c r="A471" s="743"/>
      <c r="B471" s="743"/>
      <c r="C471" s="743"/>
      <c r="D471" s="743"/>
      <c r="E471" s="743"/>
      <c r="F471" s="743"/>
      <c r="G471" s="743"/>
      <c r="H471" s="743"/>
      <c r="I471" s="743"/>
      <c r="J471" s="743"/>
      <c r="K471" s="743"/>
      <c r="L471" s="743"/>
      <c r="M471" s="743"/>
      <c r="N471" s="744"/>
      <c r="O471" s="744"/>
      <c r="P471" s="744"/>
      <c r="Q471" s="743"/>
      <c r="R471" s="743"/>
      <c r="S471" s="743"/>
    </row>
    <row r="472" spans="1:19" ht="13">
      <c r="A472" s="743"/>
      <c r="B472" s="743"/>
      <c r="C472" s="743"/>
      <c r="D472" s="743"/>
      <c r="E472" s="743"/>
      <c r="F472" s="743"/>
      <c r="G472" s="743"/>
      <c r="H472" s="743"/>
      <c r="I472" s="743"/>
      <c r="J472" s="743"/>
      <c r="K472" s="743"/>
      <c r="L472" s="743"/>
      <c r="M472" s="743"/>
      <c r="N472" s="744"/>
      <c r="O472" s="744"/>
      <c r="P472" s="744"/>
      <c r="Q472" s="743"/>
      <c r="R472" s="743"/>
      <c r="S472" s="743"/>
    </row>
    <row r="473" spans="1:19" ht="13">
      <c r="A473" s="743"/>
      <c r="B473" s="743"/>
      <c r="C473" s="743"/>
      <c r="D473" s="743"/>
      <c r="E473" s="743"/>
      <c r="F473" s="743"/>
      <c r="G473" s="743"/>
      <c r="H473" s="743"/>
      <c r="I473" s="743"/>
      <c r="J473" s="743"/>
      <c r="K473" s="743"/>
      <c r="L473" s="743"/>
      <c r="M473" s="743"/>
      <c r="N473" s="744"/>
      <c r="O473" s="744"/>
      <c r="P473" s="744"/>
      <c r="Q473" s="743"/>
      <c r="R473" s="743"/>
      <c r="S473" s="743"/>
    </row>
    <row r="474" spans="1:19" ht="13">
      <c r="A474" s="743"/>
      <c r="B474" s="743"/>
      <c r="C474" s="743"/>
      <c r="D474" s="743"/>
      <c r="E474" s="743"/>
      <c r="F474" s="743"/>
      <c r="G474" s="743"/>
      <c r="H474" s="743"/>
      <c r="I474" s="743"/>
      <c r="J474" s="743"/>
      <c r="K474" s="743"/>
      <c r="L474" s="743"/>
      <c r="M474" s="743"/>
      <c r="N474" s="744"/>
      <c r="O474" s="744"/>
      <c r="P474" s="744"/>
      <c r="Q474" s="743"/>
      <c r="R474" s="743"/>
      <c r="S474" s="743"/>
    </row>
    <row r="475" spans="1:19" ht="13">
      <c r="A475" s="743"/>
      <c r="B475" s="743"/>
      <c r="C475" s="743"/>
      <c r="D475" s="743"/>
      <c r="E475" s="743"/>
      <c r="F475" s="743"/>
      <c r="G475" s="743"/>
      <c r="H475" s="743"/>
      <c r="I475" s="743"/>
      <c r="J475" s="743"/>
      <c r="K475" s="743"/>
      <c r="L475" s="743"/>
      <c r="M475" s="743"/>
      <c r="N475" s="744"/>
      <c r="O475" s="744"/>
      <c r="P475" s="744"/>
      <c r="Q475" s="743"/>
      <c r="R475" s="743"/>
      <c r="S475" s="743"/>
    </row>
    <row r="476" spans="1:19" ht="13">
      <c r="A476" s="743"/>
      <c r="B476" s="743"/>
      <c r="C476" s="743"/>
      <c r="D476" s="743"/>
      <c r="E476" s="743"/>
      <c r="F476" s="743"/>
      <c r="G476" s="743"/>
      <c r="H476" s="743"/>
      <c r="I476" s="743"/>
      <c r="J476" s="743"/>
      <c r="K476" s="743"/>
      <c r="L476" s="743"/>
      <c r="M476" s="743"/>
      <c r="N476" s="744"/>
      <c r="O476" s="744"/>
      <c r="P476" s="744"/>
      <c r="Q476" s="743"/>
      <c r="R476" s="743"/>
      <c r="S476" s="743"/>
    </row>
    <row r="477" spans="1:19" ht="13">
      <c r="A477" s="743"/>
      <c r="B477" s="743"/>
      <c r="C477" s="743"/>
      <c r="D477" s="743"/>
      <c r="E477" s="743"/>
      <c r="F477" s="743"/>
      <c r="G477" s="743"/>
      <c r="H477" s="743"/>
      <c r="I477" s="743"/>
      <c r="J477" s="743"/>
      <c r="K477" s="743"/>
      <c r="L477" s="743"/>
      <c r="M477" s="743"/>
      <c r="N477" s="744"/>
      <c r="O477" s="744"/>
      <c r="P477" s="744"/>
      <c r="Q477" s="743"/>
      <c r="R477" s="743"/>
      <c r="S477" s="743"/>
    </row>
    <row r="478" spans="1:19" ht="13">
      <c r="A478" s="743"/>
      <c r="B478" s="743"/>
      <c r="C478" s="743"/>
      <c r="D478" s="743"/>
      <c r="E478" s="743"/>
      <c r="F478" s="743"/>
      <c r="G478" s="743"/>
      <c r="H478" s="743"/>
      <c r="I478" s="743"/>
      <c r="J478" s="743"/>
      <c r="K478" s="743"/>
      <c r="L478" s="743"/>
      <c r="M478" s="743"/>
      <c r="N478" s="744"/>
      <c r="O478" s="744"/>
      <c r="P478" s="744"/>
      <c r="Q478" s="743"/>
      <c r="R478" s="743"/>
      <c r="S478" s="743"/>
    </row>
    <row r="479" spans="1:19" ht="13">
      <c r="A479" s="743"/>
      <c r="B479" s="743"/>
      <c r="C479" s="743"/>
      <c r="D479" s="743"/>
      <c r="E479" s="743"/>
      <c r="F479" s="743"/>
      <c r="G479" s="743"/>
      <c r="H479" s="743"/>
      <c r="I479" s="743"/>
      <c r="J479" s="743"/>
      <c r="K479" s="743"/>
      <c r="L479" s="743"/>
      <c r="M479" s="743"/>
      <c r="N479" s="744"/>
      <c r="O479" s="744"/>
      <c r="P479" s="744"/>
      <c r="Q479" s="743"/>
      <c r="R479" s="743"/>
      <c r="S479" s="743"/>
    </row>
    <row r="480" spans="1:19" ht="13">
      <c r="A480" s="743"/>
      <c r="B480" s="743"/>
      <c r="C480" s="743"/>
      <c r="D480" s="743"/>
      <c r="E480" s="743"/>
      <c r="F480" s="743"/>
      <c r="G480" s="743"/>
      <c r="H480" s="743"/>
      <c r="I480" s="743"/>
      <c r="J480" s="743"/>
      <c r="K480" s="743"/>
      <c r="L480" s="743"/>
      <c r="M480" s="743"/>
      <c r="N480" s="744"/>
      <c r="O480" s="744"/>
      <c r="P480" s="744"/>
      <c r="Q480" s="743"/>
      <c r="R480" s="743"/>
      <c r="S480" s="743"/>
    </row>
    <row r="481" spans="1:19" ht="13">
      <c r="A481" s="743"/>
      <c r="B481" s="743"/>
      <c r="C481" s="743"/>
      <c r="D481" s="743"/>
      <c r="E481" s="743"/>
      <c r="F481" s="743"/>
      <c r="G481" s="743"/>
      <c r="H481" s="743"/>
      <c r="I481" s="743"/>
      <c r="J481" s="743"/>
      <c r="K481" s="743"/>
      <c r="L481" s="743"/>
      <c r="M481" s="743"/>
      <c r="N481" s="744"/>
      <c r="O481" s="744"/>
      <c r="P481" s="744"/>
      <c r="Q481" s="743"/>
      <c r="R481" s="743"/>
      <c r="S481" s="743"/>
    </row>
    <row r="482" spans="1:19" ht="13">
      <c r="A482" s="743"/>
      <c r="B482" s="743"/>
      <c r="C482" s="743"/>
      <c r="D482" s="743"/>
      <c r="E482" s="743"/>
      <c r="F482" s="743"/>
      <c r="G482" s="743"/>
      <c r="H482" s="743"/>
      <c r="I482" s="743"/>
      <c r="J482" s="743"/>
      <c r="K482" s="743"/>
      <c r="L482" s="743"/>
      <c r="M482" s="743"/>
      <c r="N482" s="744"/>
      <c r="O482" s="744"/>
      <c r="P482" s="744"/>
      <c r="Q482" s="743"/>
      <c r="R482" s="743"/>
      <c r="S482" s="743"/>
    </row>
    <row r="483" spans="1:19" ht="13">
      <c r="A483" s="743"/>
      <c r="B483" s="743"/>
      <c r="C483" s="743"/>
      <c r="D483" s="743"/>
      <c r="E483" s="743"/>
      <c r="F483" s="743"/>
      <c r="G483" s="743"/>
      <c r="H483" s="743"/>
      <c r="I483" s="743"/>
      <c r="J483" s="743"/>
      <c r="K483" s="743"/>
      <c r="L483" s="743"/>
      <c r="M483" s="743"/>
      <c r="N483" s="744"/>
      <c r="O483" s="744"/>
      <c r="P483" s="744"/>
      <c r="Q483" s="743"/>
      <c r="R483" s="743"/>
      <c r="S483" s="743"/>
    </row>
    <row r="484" spans="1:19" ht="13">
      <c r="A484" s="743"/>
      <c r="B484" s="743"/>
      <c r="C484" s="743"/>
      <c r="D484" s="743"/>
      <c r="E484" s="743"/>
      <c r="F484" s="743"/>
      <c r="G484" s="743"/>
      <c r="H484" s="743"/>
      <c r="I484" s="743"/>
      <c r="J484" s="743"/>
      <c r="K484" s="743"/>
      <c r="L484" s="743"/>
      <c r="M484" s="743"/>
      <c r="N484" s="744"/>
      <c r="O484" s="744"/>
      <c r="P484" s="744"/>
      <c r="Q484" s="743"/>
      <c r="R484" s="743"/>
      <c r="S484" s="743"/>
    </row>
    <row r="485" spans="1:19" ht="13">
      <c r="A485" s="743"/>
      <c r="B485" s="743"/>
      <c r="C485" s="743"/>
      <c r="D485" s="743"/>
      <c r="E485" s="743"/>
      <c r="F485" s="743"/>
      <c r="G485" s="743"/>
      <c r="H485" s="743"/>
      <c r="I485" s="743"/>
      <c r="J485" s="743"/>
      <c r="K485" s="743"/>
      <c r="L485" s="743"/>
      <c r="M485" s="743"/>
      <c r="N485" s="744"/>
      <c r="O485" s="744"/>
      <c r="P485" s="744"/>
      <c r="Q485" s="743"/>
      <c r="R485" s="743"/>
      <c r="S485" s="743"/>
    </row>
    <row r="486" spans="1:19" ht="13">
      <c r="A486" s="743"/>
      <c r="B486" s="743"/>
      <c r="C486" s="743"/>
      <c r="D486" s="743"/>
      <c r="E486" s="743"/>
      <c r="F486" s="743"/>
      <c r="G486" s="743"/>
      <c r="H486" s="743"/>
      <c r="I486" s="743"/>
      <c r="J486" s="743"/>
      <c r="K486" s="743"/>
      <c r="L486" s="743"/>
      <c r="M486" s="743"/>
      <c r="N486" s="744"/>
      <c r="O486" s="744"/>
      <c r="P486" s="744"/>
      <c r="Q486" s="743"/>
      <c r="R486" s="743"/>
      <c r="S486" s="743"/>
    </row>
    <row r="487" spans="1:19" ht="13">
      <c r="A487" s="743"/>
      <c r="B487" s="743"/>
      <c r="C487" s="743"/>
      <c r="D487" s="743"/>
      <c r="E487" s="743"/>
      <c r="F487" s="743"/>
      <c r="G487" s="743"/>
      <c r="H487" s="743"/>
      <c r="I487" s="743"/>
      <c r="J487" s="743"/>
      <c r="K487" s="743"/>
      <c r="L487" s="743"/>
      <c r="M487" s="743"/>
      <c r="N487" s="744"/>
      <c r="O487" s="744"/>
      <c r="P487" s="744"/>
      <c r="Q487" s="743"/>
      <c r="R487" s="743"/>
      <c r="S487" s="743"/>
    </row>
    <row r="488" spans="1:19" ht="13">
      <c r="A488" s="743"/>
      <c r="B488" s="743"/>
      <c r="C488" s="743"/>
      <c r="D488" s="743"/>
      <c r="E488" s="743"/>
      <c r="F488" s="743"/>
      <c r="G488" s="743"/>
      <c r="H488" s="743"/>
      <c r="I488" s="743"/>
      <c r="J488" s="743"/>
      <c r="K488" s="743"/>
      <c r="L488" s="743"/>
      <c r="M488" s="743"/>
      <c r="N488" s="744"/>
      <c r="O488" s="744"/>
      <c r="P488" s="744"/>
      <c r="Q488" s="743"/>
      <c r="R488" s="743"/>
      <c r="S488" s="743"/>
    </row>
    <row r="489" spans="1:19" ht="13">
      <c r="A489" s="743"/>
      <c r="B489" s="743"/>
      <c r="C489" s="743"/>
      <c r="D489" s="743"/>
      <c r="E489" s="743"/>
      <c r="F489" s="743"/>
      <c r="G489" s="743"/>
      <c r="H489" s="743"/>
      <c r="I489" s="743"/>
      <c r="J489" s="743"/>
      <c r="K489" s="743"/>
      <c r="L489" s="743"/>
      <c r="M489" s="743"/>
      <c r="N489" s="744"/>
      <c r="O489" s="744"/>
      <c r="P489" s="744"/>
      <c r="Q489" s="743"/>
      <c r="R489" s="743"/>
      <c r="S489" s="743"/>
    </row>
    <row r="490" spans="1:19" ht="13">
      <c r="A490" s="743"/>
      <c r="B490" s="743"/>
      <c r="C490" s="743"/>
      <c r="D490" s="743"/>
      <c r="E490" s="743"/>
      <c r="F490" s="743"/>
      <c r="G490" s="743"/>
      <c r="H490" s="743"/>
      <c r="I490" s="743"/>
      <c r="J490" s="743"/>
      <c r="K490" s="743"/>
      <c r="L490" s="743"/>
      <c r="M490" s="743"/>
      <c r="N490" s="744"/>
      <c r="O490" s="744"/>
      <c r="P490" s="744"/>
      <c r="Q490" s="743"/>
      <c r="R490" s="743"/>
      <c r="S490" s="743"/>
    </row>
    <row r="491" spans="1:19" ht="13">
      <c r="A491" s="743"/>
      <c r="B491" s="743"/>
      <c r="C491" s="743"/>
      <c r="D491" s="743"/>
      <c r="E491" s="743"/>
      <c r="F491" s="743"/>
      <c r="G491" s="743"/>
      <c r="H491" s="743"/>
      <c r="I491" s="743"/>
      <c r="J491" s="743"/>
      <c r="K491" s="743"/>
      <c r="L491" s="743"/>
      <c r="M491" s="743"/>
      <c r="N491" s="744"/>
      <c r="O491" s="744"/>
      <c r="P491" s="744"/>
      <c r="Q491" s="743"/>
      <c r="R491" s="743"/>
      <c r="S491" s="743"/>
    </row>
    <row r="492" spans="1:19" ht="13">
      <c r="A492" s="743"/>
      <c r="B492" s="743"/>
      <c r="C492" s="743"/>
      <c r="D492" s="743"/>
      <c r="E492" s="743"/>
      <c r="F492" s="743"/>
      <c r="G492" s="743"/>
      <c r="H492" s="743"/>
      <c r="I492" s="743"/>
      <c r="J492" s="743"/>
      <c r="K492" s="743"/>
      <c r="L492" s="743"/>
      <c r="M492" s="743"/>
      <c r="N492" s="744"/>
      <c r="O492" s="744"/>
      <c r="P492" s="744"/>
      <c r="Q492" s="743"/>
      <c r="R492" s="743"/>
      <c r="S492" s="743"/>
    </row>
    <row r="493" spans="1:19" ht="13">
      <c r="A493" s="743"/>
      <c r="B493" s="743"/>
      <c r="C493" s="743"/>
      <c r="D493" s="743"/>
      <c r="E493" s="743"/>
      <c r="F493" s="743"/>
      <c r="G493" s="743"/>
      <c r="H493" s="743"/>
      <c r="I493" s="743"/>
      <c r="J493" s="743"/>
      <c r="K493" s="743"/>
      <c r="L493" s="743"/>
      <c r="M493" s="743"/>
      <c r="N493" s="744"/>
      <c r="O493" s="744"/>
      <c r="P493" s="744"/>
      <c r="Q493" s="743"/>
      <c r="R493" s="743"/>
      <c r="S493" s="743"/>
    </row>
    <row r="494" spans="1:19" ht="13">
      <c r="A494" s="743"/>
      <c r="B494" s="743"/>
      <c r="C494" s="743"/>
      <c r="D494" s="743"/>
      <c r="E494" s="743"/>
      <c r="F494" s="743"/>
      <c r="G494" s="743"/>
      <c r="H494" s="743"/>
      <c r="I494" s="743"/>
      <c r="J494" s="743"/>
      <c r="K494" s="743"/>
      <c r="L494" s="743"/>
      <c r="M494" s="743"/>
      <c r="N494" s="744"/>
      <c r="O494" s="744"/>
      <c r="P494" s="744"/>
      <c r="Q494" s="743"/>
      <c r="R494" s="743"/>
      <c r="S494" s="743"/>
    </row>
    <row r="495" spans="1:19" ht="13">
      <c r="A495" s="743"/>
      <c r="B495" s="743"/>
      <c r="C495" s="743"/>
      <c r="D495" s="743"/>
      <c r="E495" s="743"/>
      <c r="F495" s="743"/>
      <c r="G495" s="743"/>
      <c r="H495" s="743"/>
      <c r="I495" s="743"/>
      <c r="J495" s="743"/>
      <c r="K495" s="743"/>
      <c r="L495" s="743"/>
      <c r="M495" s="743"/>
      <c r="N495" s="744"/>
      <c r="O495" s="744"/>
      <c r="P495" s="744"/>
      <c r="Q495" s="743"/>
      <c r="R495" s="743"/>
      <c r="S495" s="743"/>
    </row>
    <row r="496" spans="1:19" ht="13">
      <c r="A496" s="743"/>
      <c r="B496" s="743"/>
      <c r="C496" s="743"/>
      <c r="D496" s="743"/>
      <c r="E496" s="743"/>
      <c r="F496" s="743"/>
      <c r="G496" s="743"/>
      <c r="H496" s="743"/>
      <c r="I496" s="743"/>
      <c r="J496" s="743"/>
      <c r="K496" s="743"/>
      <c r="L496" s="743"/>
      <c r="M496" s="743"/>
      <c r="N496" s="744"/>
      <c r="O496" s="744"/>
      <c r="P496" s="744"/>
      <c r="Q496" s="743"/>
      <c r="R496" s="743"/>
      <c r="S496" s="743"/>
    </row>
    <row r="497" spans="1:19" ht="13">
      <c r="A497" s="743"/>
      <c r="B497" s="743"/>
      <c r="C497" s="743"/>
      <c r="D497" s="743"/>
      <c r="E497" s="743"/>
      <c r="F497" s="743"/>
      <c r="G497" s="743"/>
      <c r="H497" s="743"/>
      <c r="I497" s="743"/>
      <c r="J497" s="743"/>
      <c r="K497" s="743"/>
      <c r="L497" s="743"/>
      <c r="M497" s="743"/>
      <c r="N497" s="744"/>
      <c r="O497" s="744"/>
      <c r="P497" s="744"/>
      <c r="Q497" s="743"/>
      <c r="R497" s="743"/>
      <c r="S497" s="743"/>
    </row>
    <row r="498" spans="1:19" ht="13">
      <c r="A498" s="743"/>
      <c r="B498" s="743"/>
      <c r="C498" s="743"/>
      <c r="D498" s="743"/>
      <c r="E498" s="743"/>
      <c r="F498" s="743"/>
      <c r="G498" s="743"/>
      <c r="H498" s="743"/>
      <c r="I498" s="743"/>
      <c r="J498" s="743"/>
      <c r="K498" s="743"/>
      <c r="L498" s="743"/>
      <c r="M498" s="743"/>
      <c r="N498" s="744"/>
      <c r="O498" s="744"/>
      <c r="P498" s="744"/>
      <c r="Q498" s="743"/>
      <c r="R498" s="743"/>
      <c r="S498" s="743"/>
    </row>
    <row r="499" spans="1:19" ht="13">
      <c r="A499" s="743"/>
      <c r="B499" s="743"/>
      <c r="C499" s="743"/>
      <c r="D499" s="743"/>
      <c r="E499" s="743"/>
      <c r="F499" s="743"/>
      <c r="G499" s="743"/>
      <c r="H499" s="743"/>
      <c r="I499" s="743"/>
      <c r="J499" s="743"/>
      <c r="K499" s="743"/>
      <c r="L499" s="743"/>
      <c r="M499" s="743"/>
      <c r="N499" s="744"/>
      <c r="O499" s="744"/>
      <c r="P499" s="744"/>
      <c r="Q499" s="743"/>
      <c r="R499" s="743"/>
      <c r="S499" s="743"/>
    </row>
    <row r="500" spans="1:19" ht="13">
      <c r="A500" s="743"/>
      <c r="B500" s="743"/>
      <c r="C500" s="743"/>
      <c r="D500" s="743"/>
      <c r="E500" s="743"/>
      <c r="F500" s="743"/>
      <c r="G500" s="743"/>
      <c r="H500" s="743"/>
      <c r="I500" s="743"/>
      <c r="J500" s="743"/>
      <c r="K500" s="743"/>
      <c r="L500" s="743"/>
      <c r="M500" s="743"/>
      <c r="N500" s="744"/>
      <c r="O500" s="744"/>
      <c r="P500" s="744"/>
      <c r="Q500" s="743"/>
      <c r="R500" s="743"/>
      <c r="S500" s="743"/>
    </row>
    <row r="501" spans="1:19" ht="13">
      <c r="A501" s="743"/>
      <c r="B501" s="743"/>
      <c r="C501" s="743"/>
      <c r="D501" s="743"/>
      <c r="E501" s="743"/>
      <c r="F501" s="743"/>
      <c r="G501" s="743"/>
      <c r="H501" s="743"/>
      <c r="I501" s="743"/>
      <c r="J501" s="743"/>
      <c r="K501" s="743"/>
      <c r="L501" s="743"/>
      <c r="M501" s="743"/>
      <c r="N501" s="744"/>
      <c r="O501" s="744"/>
      <c r="P501" s="744"/>
      <c r="Q501" s="743"/>
      <c r="R501" s="743"/>
      <c r="S501" s="743"/>
    </row>
    <row r="502" spans="1:19" ht="13">
      <c r="A502" s="743"/>
      <c r="B502" s="743"/>
      <c r="C502" s="743"/>
      <c r="D502" s="743"/>
      <c r="E502" s="743"/>
      <c r="F502" s="743"/>
      <c r="G502" s="743"/>
      <c r="H502" s="743"/>
      <c r="I502" s="743"/>
      <c r="J502" s="743"/>
      <c r="K502" s="743"/>
      <c r="L502" s="743"/>
      <c r="M502" s="743"/>
      <c r="N502" s="744"/>
      <c r="O502" s="744"/>
      <c r="P502" s="744"/>
      <c r="Q502" s="743"/>
      <c r="R502" s="743"/>
      <c r="S502" s="743"/>
    </row>
    <row r="503" spans="1:19" ht="13">
      <c r="A503" s="743"/>
      <c r="B503" s="743"/>
      <c r="C503" s="743"/>
      <c r="D503" s="743"/>
      <c r="E503" s="743"/>
      <c r="F503" s="743"/>
      <c r="G503" s="743"/>
      <c r="H503" s="743"/>
      <c r="I503" s="743"/>
      <c r="J503" s="743"/>
      <c r="K503" s="743"/>
      <c r="L503" s="743"/>
      <c r="M503" s="743"/>
      <c r="N503" s="744"/>
      <c r="O503" s="744"/>
      <c r="P503" s="744"/>
      <c r="Q503" s="743"/>
      <c r="R503" s="743"/>
      <c r="S503" s="743"/>
    </row>
    <row r="504" spans="1:19" ht="13">
      <c r="A504" s="743"/>
      <c r="B504" s="743"/>
      <c r="C504" s="743"/>
      <c r="D504" s="743"/>
      <c r="E504" s="743"/>
      <c r="F504" s="743"/>
      <c r="G504" s="743"/>
      <c r="H504" s="743"/>
      <c r="I504" s="743"/>
      <c r="J504" s="743"/>
      <c r="K504" s="743"/>
      <c r="L504" s="743"/>
      <c r="M504" s="743"/>
      <c r="N504" s="744"/>
      <c r="O504" s="744"/>
      <c r="P504" s="744"/>
      <c r="Q504" s="743"/>
      <c r="R504" s="743"/>
      <c r="S504" s="743"/>
    </row>
    <row r="505" spans="1:19" ht="13">
      <c r="A505" s="743"/>
      <c r="B505" s="743"/>
      <c r="C505" s="743"/>
      <c r="D505" s="743"/>
      <c r="E505" s="743"/>
      <c r="F505" s="743"/>
      <c r="G505" s="743"/>
      <c r="H505" s="743"/>
      <c r="I505" s="743"/>
      <c r="J505" s="743"/>
      <c r="K505" s="743"/>
      <c r="L505" s="743"/>
      <c r="M505" s="743"/>
      <c r="N505" s="744"/>
      <c r="O505" s="744"/>
      <c r="P505" s="744"/>
      <c r="Q505" s="743"/>
      <c r="R505" s="743"/>
      <c r="S505" s="743"/>
    </row>
    <row r="506" spans="1:19" ht="13">
      <c r="A506" s="743"/>
      <c r="B506" s="743"/>
      <c r="C506" s="743"/>
      <c r="D506" s="743"/>
      <c r="E506" s="743"/>
      <c r="F506" s="743"/>
      <c r="G506" s="743"/>
      <c r="H506" s="743"/>
      <c r="I506" s="743"/>
      <c r="J506" s="743"/>
      <c r="K506" s="743"/>
      <c r="L506" s="743"/>
      <c r="M506" s="743"/>
      <c r="N506" s="744"/>
      <c r="O506" s="744"/>
      <c r="P506" s="744"/>
      <c r="Q506" s="743"/>
      <c r="R506" s="743"/>
      <c r="S506" s="743"/>
    </row>
    <row r="507" spans="1:19" ht="13">
      <c r="A507" s="743"/>
      <c r="B507" s="743"/>
      <c r="C507" s="743"/>
      <c r="D507" s="743"/>
      <c r="E507" s="743"/>
      <c r="F507" s="743"/>
      <c r="G507" s="743"/>
      <c r="H507" s="743"/>
      <c r="I507" s="743"/>
      <c r="J507" s="743"/>
      <c r="K507" s="743"/>
      <c r="L507" s="743"/>
      <c r="M507" s="743"/>
      <c r="N507" s="744"/>
      <c r="O507" s="744"/>
      <c r="P507" s="744"/>
      <c r="Q507" s="743"/>
      <c r="R507" s="743"/>
      <c r="S507" s="743"/>
    </row>
    <row r="508" spans="1:19" ht="13">
      <c r="A508" s="743"/>
      <c r="B508" s="743"/>
      <c r="C508" s="743"/>
      <c r="D508" s="743"/>
      <c r="E508" s="743"/>
      <c r="F508" s="743"/>
      <c r="G508" s="743"/>
      <c r="H508" s="743"/>
      <c r="I508" s="743"/>
      <c r="J508" s="743"/>
      <c r="K508" s="743"/>
      <c r="L508" s="743"/>
      <c r="M508" s="743"/>
      <c r="N508" s="744"/>
      <c r="O508" s="744"/>
      <c r="P508" s="744"/>
      <c r="Q508" s="743"/>
      <c r="R508" s="743"/>
      <c r="S508" s="743"/>
    </row>
    <row r="509" spans="1:19" ht="13">
      <c r="A509" s="743"/>
      <c r="B509" s="743"/>
      <c r="C509" s="743"/>
      <c r="D509" s="743"/>
      <c r="E509" s="743"/>
      <c r="F509" s="743"/>
      <c r="G509" s="743"/>
      <c r="H509" s="743"/>
      <c r="I509" s="743"/>
      <c r="J509" s="743"/>
      <c r="K509" s="743"/>
      <c r="L509" s="743"/>
      <c r="M509" s="743"/>
      <c r="N509" s="744"/>
      <c r="O509" s="744"/>
      <c r="P509" s="744"/>
      <c r="Q509" s="743"/>
      <c r="R509" s="743"/>
      <c r="S509" s="743"/>
    </row>
    <row r="510" spans="1:19" ht="13">
      <c r="A510" s="743"/>
      <c r="B510" s="743"/>
      <c r="C510" s="743"/>
      <c r="D510" s="743"/>
      <c r="E510" s="743"/>
      <c r="F510" s="743"/>
      <c r="G510" s="743"/>
      <c r="H510" s="743"/>
      <c r="I510" s="743"/>
      <c r="J510" s="743"/>
      <c r="K510" s="743"/>
      <c r="L510" s="743"/>
      <c r="M510" s="743"/>
      <c r="N510" s="744"/>
      <c r="O510" s="744"/>
      <c r="P510" s="744"/>
      <c r="Q510" s="743"/>
      <c r="R510" s="743"/>
      <c r="S510" s="743"/>
    </row>
    <row r="511" spans="1:19" ht="13">
      <c r="A511" s="743"/>
      <c r="B511" s="743"/>
      <c r="C511" s="743"/>
      <c r="D511" s="743"/>
      <c r="E511" s="743"/>
      <c r="F511" s="743"/>
      <c r="G511" s="743"/>
      <c r="H511" s="743"/>
      <c r="I511" s="743"/>
      <c r="J511" s="743"/>
      <c r="K511" s="743"/>
      <c r="L511" s="743"/>
      <c r="M511" s="743"/>
      <c r="N511" s="744"/>
      <c r="O511" s="744"/>
      <c r="P511" s="744"/>
      <c r="Q511" s="743"/>
      <c r="R511" s="743"/>
      <c r="S511" s="743"/>
    </row>
    <row r="512" spans="1:19" ht="13">
      <c r="A512" s="743"/>
      <c r="B512" s="743"/>
      <c r="C512" s="743"/>
      <c r="D512" s="743"/>
      <c r="E512" s="743"/>
      <c r="F512" s="743"/>
      <c r="G512" s="743"/>
      <c r="H512" s="743"/>
      <c r="I512" s="743"/>
      <c r="J512" s="743"/>
      <c r="K512" s="743"/>
      <c r="L512" s="743"/>
      <c r="M512" s="743"/>
      <c r="N512" s="744"/>
      <c r="O512" s="744"/>
      <c r="P512" s="744"/>
      <c r="Q512" s="743"/>
      <c r="R512" s="743"/>
      <c r="S512" s="743"/>
    </row>
    <row r="513" spans="1:19" ht="13">
      <c r="A513" s="743"/>
      <c r="B513" s="743"/>
      <c r="C513" s="743"/>
      <c r="D513" s="743"/>
      <c r="E513" s="743"/>
      <c r="F513" s="743"/>
      <c r="G513" s="743"/>
      <c r="H513" s="743"/>
      <c r="I513" s="743"/>
      <c r="J513" s="743"/>
      <c r="K513" s="743"/>
      <c r="L513" s="743"/>
      <c r="M513" s="743"/>
      <c r="N513" s="744"/>
      <c r="O513" s="744"/>
      <c r="P513" s="744"/>
      <c r="Q513" s="743"/>
      <c r="R513" s="743"/>
      <c r="S513" s="743"/>
    </row>
    <row r="514" spans="1:19" ht="13">
      <c r="A514" s="743"/>
      <c r="B514" s="743"/>
      <c r="C514" s="743"/>
      <c r="D514" s="743"/>
      <c r="E514" s="743"/>
      <c r="F514" s="743"/>
      <c r="G514" s="743"/>
      <c r="H514" s="743"/>
      <c r="I514" s="743"/>
      <c r="J514" s="743"/>
      <c r="K514" s="743"/>
      <c r="L514" s="743"/>
      <c r="M514" s="743"/>
      <c r="N514" s="744"/>
      <c r="O514" s="744"/>
      <c r="P514" s="744"/>
      <c r="Q514" s="743"/>
      <c r="R514" s="743"/>
      <c r="S514" s="743"/>
    </row>
    <row r="515" spans="1:19" ht="13">
      <c r="A515" s="743"/>
      <c r="B515" s="743"/>
      <c r="C515" s="743"/>
      <c r="D515" s="743"/>
      <c r="E515" s="743"/>
      <c r="F515" s="743"/>
      <c r="G515" s="743"/>
      <c r="H515" s="743"/>
      <c r="I515" s="743"/>
      <c r="J515" s="743"/>
      <c r="K515" s="743"/>
      <c r="L515" s="743"/>
      <c r="M515" s="743"/>
      <c r="N515" s="744"/>
      <c r="O515" s="744"/>
      <c r="P515" s="744"/>
      <c r="Q515" s="743"/>
      <c r="R515" s="743"/>
      <c r="S515" s="743"/>
    </row>
    <row r="516" spans="1:19" ht="13">
      <c r="A516" s="743"/>
      <c r="B516" s="743"/>
      <c r="C516" s="743"/>
      <c r="D516" s="743"/>
      <c r="E516" s="743"/>
      <c r="F516" s="743"/>
      <c r="G516" s="743"/>
      <c r="H516" s="743"/>
      <c r="I516" s="743"/>
      <c r="J516" s="743"/>
      <c r="K516" s="743"/>
      <c r="L516" s="743"/>
      <c r="M516" s="743"/>
      <c r="N516" s="744"/>
      <c r="O516" s="744"/>
      <c r="P516" s="744"/>
      <c r="Q516" s="743"/>
      <c r="R516" s="743"/>
      <c r="S516" s="743"/>
    </row>
    <row r="517" spans="1:19" ht="13">
      <c r="A517" s="743"/>
      <c r="B517" s="743"/>
      <c r="C517" s="743"/>
      <c r="D517" s="743"/>
      <c r="E517" s="743"/>
      <c r="F517" s="743"/>
      <c r="G517" s="743"/>
      <c r="H517" s="743"/>
      <c r="I517" s="743"/>
      <c r="J517" s="743"/>
      <c r="K517" s="743"/>
      <c r="L517" s="743"/>
      <c r="M517" s="743"/>
      <c r="N517" s="744"/>
      <c r="O517" s="744"/>
      <c r="P517" s="744"/>
      <c r="Q517" s="743"/>
      <c r="R517" s="743"/>
      <c r="S517" s="743"/>
    </row>
    <row r="518" spans="1:19" ht="13">
      <c r="A518" s="743"/>
      <c r="B518" s="743"/>
      <c r="C518" s="743"/>
      <c r="D518" s="743"/>
      <c r="E518" s="743"/>
      <c r="F518" s="743"/>
      <c r="G518" s="743"/>
      <c r="H518" s="743"/>
      <c r="I518" s="743"/>
      <c r="J518" s="743"/>
      <c r="K518" s="743"/>
      <c r="L518" s="743"/>
      <c r="M518" s="743"/>
      <c r="N518" s="744"/>
      <c r="O518" s="744"/>
      <c r="P518" s="744"/>
      <c r="Q518" s="743"/>
      <c r="R518" s="743"/>
      <c r="S518" s="743"/>
    </row>
    <row r="519" spans="1:19" ht="13">
      <c r="A519" s="743"/>
      <c r="B519" s="743"/>
      <c r="C519" s="743"/>
      <c r="D519" s="743"/>
      <c r="E519" s="743"/>
      <c r="F519" s="743"/>
      <c r="G519" s="743"/>
      <c r="H519" s="743"/>
      <c r="I519" s="743"/>
      <c r="J519" s="743"/>
      <c r="K519" s="743"/>
      <c r="L519" s="743"/>
      <c r="M519" s="743"/>
      <c r="N519" s="744"/>
      <c r="O519" s="744"/>
      <c r="P519" s="744"/>
      <c r="Q519" s="743"/>
      <c r="R519" s="743"/>
      <c r="S519" s="743"/>
    </row>
    <row r="520" spans="1:19" ht="13">
      <c r="A520" s="743"/>
      <c r="B520" s="743"/>
      <c r="C520" s="743"/>
      <c r="D520" s="743"/>
      <c r="E520" s="743"/>
      <c r="F520" s="743"/>
      <c r="G520" s="743"/>
      <c r="H520" s="743"/>
      <c r="I520" s="743"/>
      <c r="J520" s="743"/>
      <c r="K520" s="743"/>
      <c r="L520" s="743"/>
      <c r="M520" s="743"/>
      <c r="N520" s="744"/>
      <c r="O520" s="744"/>
      <c r="P520" s="744"/>
      <c r="Q520" s="743"/>
      <c r="R520" s="743"/>
      <c r="S520" s="743"/>
    </row>
    <row r="521" spans="1:19" ht="13">
      <c r="A521" s="743"/>
      <c r="B521" s="743"/>
      <c r="C521" s="743"/>
      <c r="D521" s="743"/>
      <c r="E521" s="743"/>
      <c r="F521" s="743"/>
      <c r="G521" s="743"/>
      <c r="H521" s="743"/>
      <c r="I521" s="743"/>
      <c r="J521" s="743"/>
      <c r="K521" s="743"/>
      <c r="L521" s="743"/>
      <c r="M521" s="743"/>
      <c r="N521" s="744"/>
      <c r="O521" s="744"/>
      <c r="P521" s="744"/>
      <c r="Q521" s="743"/>
      <c r="R521" s="743"/>
      <c r="S521" s="743"/>
    </row>
    <row r="522" spans="1:19" ht="13">
      <c r="A522" s="743"/>
      <c r="B522" s="743"/>
      <c r="C522" s="743"/>
      <c r="D522" s="743"/>
      <c r="E522" s="743"/>
      <c r="F522" s="743"/>
      <c r="G522" s="743"/>
      <c r="H522" s="743"/>
      <c r="I522" s="743"/>
      <c r="J522" s="743"/>
      <c r="K522" s="743"/>
      <c r="L522" s="743"/>
      <c r="M522" s="743"/>
      <c r="N522" s="744"/>
      <c r="O522" s="744"/>
      <c r="P522" s="744"/>
      <c r="Q522" s="743"/>
      <c r="R522" s="743"/>
      <c r="S522" s="743"/>
    </row>
    <row r="523" spans="1:19" ht="13">
      <c r="A523" s="743"/>
      <c r="B523" s="743"/>
      <c r="C523" s="743"/>
      <c r="D523" s="743"/>
      <c r="E523" s="743"/>
      <c r="F523" s="743"/>
      <c r="G523" s="743"/>
      <c r="H523" s="743"/>
      <c r="I523" s="743"/>
      <c r="J523" s="743"/>
      <c r="K523" s="743"/>
      <c r="L523" s="743"/>
      <c r="M523" s="743"/>
      <c r="N523" s="744"/>
      <c r="O523" s="744"/>
      <c r="P523" s="744"/>
      <c r="Q523" s="743"/>
      <c r="R523" s="743"/>
      <c r="S523" s="743"/>
    </row>
    <row r="524" spans="1:19" ht="13">
      <c r="A524" s="743"/>
      <c r="B524" s="743"/>
      <c r="C524" s="743"/>
      <c r="D524" s="743"/>
      <c r="E524" s="743"/>
      <c r="F524" s="743"/>
      <c r="G524" s="743"/>
      <c r="H524" s="743"/>
      <c r="I524" s="743"/>
      <c r="J524" s="743"/>
      <c r="K524" s="743"/>
      <c r="L524" s="743"/>
      <c r="M524" s="743"/>
      <c r="N524" s="744"/>
      <c r="O524" s="744"/>
      <c r="P524" s="744"/>
      <c r="Q524" s="743"/>
      <c r="R524" s="743"/>
      <c r="S524" s="743"/>
    </row>
    <row r="525" spans="1:19" ht="13">
      <c r="A525" s="743"/>
      <c r="B525" s="743"/>
      <c r="C525" s="743"/>
      <c r="D525" s="743"/>
      <c r="E525" s="743"/>
      <c r="F525" s="743"/>
      <c r="G525" s="743"/>
      <c r="H525" s="743"/>
      <c r="I525" s="743"/>
      <c r="J525" s="743"/>
      <c r="K525" s="743"/>
      <c r="L525" s="743"/>
      <c r="M525" s="743"/>
      <c r="N525" s="744"/>
      <c r="O525" s="744"/>
      <c r="P525" s="744"/>
      <c r="Q525" s="743"/>
      <c r="R525" s="743"/>
      <c r="S525" s="743"/>
    </row>
    <row r="526" spans="1:19" ht="13">
      <c r="A526" s="743"/>
      <c r="B526" s="743"/>
      <c r="C526" s="743"/>
      <c r="D526" s="743"/>
      <c r="E526" s="743"/>
      <c r="F526" s="743"/>
      <c r="G526" s="743"/>
      <c r="H526" s="743"/>
      <c r="I526" s="743"/>
      <c r="J526" s="743"/>
      <c r="K526" s="743"/>
      <c r="L526" s="743"/>
      <c r="M526" s="743"/>
      <c r="N526" s="744"/>
      <c r="O526" s="744"/>
      <c r="P526" s="744"/>
      <c r="Q526" s="743"/>
      <c r="R526" s="743"/>
      <c r="S526" s="743"/>
    </row>
    <row r="527" spans="1:19" ht="13">
      <c r="A527" s="743"/>
      <c r="B527" s="743"/>
      <c r="C527" s="743"/>
      <c r="D527" s="743"/>
      <c r="E527" s="743"/>
      <c r="F527" s="743"/>
      <c r="G527" s="743"/>
      <c r="H527" s="743"/>
      <c r="I527" s="743"/>
      <c r="J527" s="743"/>
      <c r="K527" s="743"/>
      <c r="L527" s="743"/>
      <c r="M527" s="743"/>
      <c r="N527" s="744"/>
      <c r="O527" s="744"/>
      <c r="P527" s="744"/>
      <c r="Q527" s="743"/>
      <c r="R527" s="743"/>
      <c r="S527" s="743"/>
    </row>
    <row r="528" spans="1:19" ht="13">
      <c r="A528" s="743"/>
      <c r="B528" s="743"/>
      <c r="C528" s="743"/>
      <c r="D528" s="743"/>
      <c r="E528" s="743"/>
      <c r="F528" s="743"/>
      <c r="G528" s="743"/>
      <c r="H528" s="743"/>
      <c r="I528" s="743"/>
      <c r="J528" s="743"/>
      <c r="K528" s="743"/>
      <c r="L528" s="743"/>
      <c r="M528" s="743"/>
      <c r="N528" s="744"/>
      <c r="O528" s="744"/>
      <c r="P528" s="744"/>
      <c r="Q528" s="743"/>
      <c r="R528" s="743"/>
      <c r="S528" s="743"/>
    </row>
    <row r="529" spans="1:19" ht="13">
      <c r="A529" s="743"/>
      <c r="B529" s="743"/>
      <c r="C529" s="743"/>
      <c r="D529" s="743"/>
      <c r="E529" s="743"/>
      <c r="F529" s="743"/>
      <c r="G529" s="743"/>
      <c r="H529" s="743"/>
      <c r="I529" s="743"/>
      <c r="J529" s="743"/>
      <c r="K529" s="743"/>
      <c r="L529" s="743"/>
      <c r="M529" s="743"/>
      <c r="N529" s="744"/>
      <c r="O529" s="744"/>
      <c r="P529" s="744"/>
      <c r="Q529" s="743"/>
      <c r="R529" s="743"/>
      <c r="S529" s="743"/>
    </row>
    <row r="530" spans="1:19" ht="13">
      <c r="A530" s="743"/>
      <c r="B530" s="743"/>
      <c r="C530" s="743"/>
      <c r="D530" s="743"/>
      <c r="E530" s="743"/>
      <c r="F530" s="743"/>
      <c r="G530" s="743"/>
      <c r="H530" s="743"/>
      <c r="I530" s="743"/>
      <c r="J530" s="743"/>
      <c r="K530" s="743"/>
      <c r="L530" s="743"/>
      <c r="M530" s="743"/>
      <c r="N530" s="744"/>
      <c r="O530" s="744"/>
      <c r="P530" s="744"/>
      <c r="Q530" s="743"/>
      <c r="R530" s="743"/>
      <c r="S530" s="743"/>
    </row>
    <row r="531" spans="1:19" ht="13">
      <c r="A531" s="743"/>
      <c r="B531" s="743"/>
      <c r="C531" s="743"/>
      <c r="D531" s="743"/>
      <c r="E531" s="743"/>
      <c r="F531" s="743"/>
      <c r="G531" s="743"/>
      <c r="H531" s="743"/>
      <c r="I531" s="743"/>
      <c r="J531" s="743"/>
      <c r="K531" s="743"/>
      <c r="L531" s="743"/>
      <c r="M531" s="743"/>
      <c r="N531" s="744"/>
      <c r="O531" s="744"/>
      <c r="P531" s="744"/>
      <c r="Q531" s="743"/>
      <c r="R531" s="743"/>
      <c r="S531" s="743"/>
    </row>
    <row r="532" spans="1:19" ht="13">
      <c r="A532" s="743"/>
      <c r="B532" s="743"/>
      <c r="C532" s="743"/>
      <c r="D532" s="743"/>
      <c r="E532" s="743"/>
      <c r="F532" s="743"/>
      <c r="G532" s="743"/>
      <c r="H532" s="743"/>
      <c r="I532" s="743"/>
      <c r="J532" s="743"/>
      <c r="K532" s="743"/>
      <c r="L532" s="743"/>
      <c r="M532" s="743"/>
      <c r="N532" s="744"/>
      <c r="O532" s="744"/>
      <c r="P532" s="744"/>
      <c r="Q532" s="743"/>
      <c r="R532" s="743"/>
      <c r="S532" s="743"/>
    </row>
    <row r="533" spans="1:19" ht="13">
      <c r="A533" s="743"/>
      <c r="B533" s="743"/>
      <c r="C533" s="743"/>
      <c r="D533" s="743"/>
      <c r="E533" s="743"/>
      <c r="F533" s="743"/>
      <c r="G533" s="743"/>
      <c r="H533" s="743"/>
      <c r="I533" s="743"/>
      <c r="J533" s="743"/>
      <c r="K533" s="743"/>
      <c r="L533" s="743"/>
      <c r="M533" s="743"/>
      <c r="N533" s="744"/>
      <c r="O533" s="744"/>
      <c r="P533" s="744"/>
      <c r="Q533" s="743"/>
      <c r="R533" s="743"/>
      <c r="S533" s="743"/>
    </row>
    <row r="534" spans="1:19" ht="13">
      <c r="A534" s="743"/>
      <c r="B534" s="743"/>
      <c r="C534" s="743"/>
      <c r="D534" s="743"/>
      <c r="E534" s="743"/>
      <c r="F534" s="743"/>
      <c r="G534" s="743"/>
      <c r="H534" s="743"/>
      <c r="I534" s="743"/>
      <c r="J534" s="743"/>
      <c r="K534" s="743"/>
      <c r="L534" s="743"/>
      <c r="M534" s="743"/>
      <c r="N534" s="744"/>
      <c r="O534" s="744"/>
      <c r="P534" s="744"/>
      <c r="Q534" s="743"/>
      <c r="R534" s="743"/>
      <c r="S534" s="743"/>
    </row>
    <row r="535" spans="1:19" ht="13">
      <c r="A535" s="743"/>
      <c r="B535" s="743"/>
      <c r="C535" s="743"/>
      <c r="D535" s="743"/>
      <c r="E535" s="743"/>
      <c r="F535" s="743"/>
      <c r="G535" s="743"/>
      <c r="H535" s="743"/>
      <c r="I535" s="743"/>
      <c r="J535" s="743"/>
      <c r="K535" s="743"/>
      <c r="L535" s="743"/>
      <c r="M535" s="743"/>
      <c r="N535" s="744"/>
      <c r="O535" s="744"/>
      <c r="P535" s="744"/>
      <c r="Q535" s="743"/>
      <c r="R535" s="743"/>
      <c r="S535" s="743"/>
    </row>
    <row r="536" spans="1:19" ht="13">
      <c r="A536" s="743"/>
      <c r="B536" s="743"/>
      <c r="C536" s="743"/>
      <c r="D536" s="743"/>
      <c r="E536" s="743"/>
      <c r="F536" s="743"/>
      <c r="G536" s="743"/>
      <c r="H536" s="743"/>
      <c r="I536" s="743"/>
      <c r="J536" s="743"/>
      <c r="K536" s="743"/>
      <c r="L536" s="743"/>
      <c r="M536" s="743"/>
      <c r="N536" s="744"/>
      <c r="O536" s="744"/>
      <c r="P536" s="744"/>
      <c r="Q536" s="743"/>
      <c r="R536" s="743"/>
      <c r="S536" s="743"/>
    </row>
    <row r="537" spans="1:19" ht="13">
      <c r="A537" s="743"/>
      <c r="B537" s="743"/>
      <c r="C537" s="743"/>
      <c r="D537" s="743"/>
      <c r="E537" s="743"/>
      <c r="F537" s="743"/>
      <c r="G537" s="743"/>
      <c r="H537" s="743"/>
      <c r="I537" s="743"/>
      <c r="J537" s="743"/>
      <c r="K537" s="743"/>
      <c r="L537" s="743"/>
      <c r="M537" s="743"/>
      <c r="N537" s="744"/>
      <c r="O537" s="744"/>
      <c r="P537" s="744"/>
      <c r="Q537" s="743"/>
      <c r="R537" s="743"/>
      <c r="S537" s="743"/>
    </row>
    <row r="538" spans="1:19" ht="13">
      <c r="A538" s="743"/>
      <c r="B538" s="743"/>
      <c r="C538" s="743"/>
      <c r="D538" s="743"/>
      <c r="E538" s="743"/>
      <c r="F538" s="743"/>
      <c r="G538" s="743"/>
      <c r="H538" s="743"/>
      <c r="I538" s="743"/>
      <c r="J538" s="743"/>
      <c r="K538" s="743"/>
      <c r="L538" s="743"/>
      <c r="M538" s="743"/>
      <c r="N538" s="744"/>
      <c r="O538" s="744"/>
      <c r="P538" s="744"/>
      <c r="Q538" s="743"/>
      <c r="R538" s="743"/>
      <c r="S538" s="743"/>
    </row>
    <row r="539" spans="1:19" ht="13">
      <c r="A539" s="743"/>
      <c r="B539" s="743"/>
      <c r="C539" s="743"/>
      <c r="D539" s="743"/>
      <c r="E539" s="743"/>
      <c r="F539" s="743"/>
      <c r="G539" s="743"/>
      <c r="H539" s="743"/>
      <c r="I539" s="743"/>
      <c r="J539" s="743"/>
      <c r="K539" s="743"/>
      <c r="L539" s="743"/>
      <c r="M539" s="743"/>
      <c r="N539" s="744"/>
      <c r="O539" s="744"/>
      <c r="P539" s="744"/>
      <c r="Q539" s="743"/>
      <c r="R539" s="743"/>
      <c r="S539" s="743"/>
    </row>
    <row r="540" spans="1:19" ht="13">
      <c r="A540" s="743"/>
      <c r="B540" s="743"/>
      <c r="C540" s="743"/>
      <c r="D540" s="743"/>
      <c r="E540" s="743"/>
      <c r="F540" s="743"/>
      <c r="G540" s="743"/>
      <c r="H540" s="743"/>
      <c r="I540" s="743"/>
      <c r="J540" s="743"/>
      <c r="K540" s="743"/>
      <c r="L540" s="743"/>
      <c r="M540" s="743"/>
      <c r="N540" s="744"/>
      <c r="O540" s="744"/>
      <c r="P540" s="744"/>
      <c r="Q540" s="743"/>
      <c r="R540" s="743"/>
      <c r="S540" s="743"/>
    </row>
    <row r="541" spans="1:19" ht="13">
      <c r="A541" s="743"/>
      <c r="B541" s="743"/>
      <c r="C541" s="743"/>
      <c r="D541" s="743"/>
      <c r="E541" s="743"/>
      <c r="F541" s="743"/>
      <c r="G541" s="743"/>
      <c r="H541" s="743"/>
      <c r="I541" s="743"/>
      <c r="J541" s="743"/>
      <c r="K541" s="743"/>
      <c r="L541" s="743"/>
      <c r="M541" s="743"/>
      <c r="N541" s="744"/>
      <c r="O541" s="744"/>
      <c r="P541" s="744"/>
      <c r="Q541" s="743"/>
      <c r="R541" s="743"/>
      <c r="S541" s="743"/>
    </row>
    <row r="542" spans="1:19" ht="13">
      <c r="A542" s="743"/>
      <c r="B542" s="743"/>
      <c r="C542" s="743"/>
      <c r="D542" s="743"/>
      <c r="E542" s="743"/>
      <c r="F542" s="743"/>
      <c r="G542" s="743"/>
      <c r="H542" s="743"/>
      <c r="I542" s="743"/>
      <c r="J542" s="743"/>
      <c r="K542" s="743"/>
      <c r="L542" s="743"/>
      <c r="M542" s="743"/>
      <c r="N542" s="744"/>
      <c r="O542" s="744"/>
      <c r="P542" s="744"/>
      <c r="Q542" s="743"/>
      <c r="R542" s="743"/>
      <c r="S542" s="743"/>
    </row>
    <row r="543" spans="1:19" ht="13">
      <c r="A543" s="743"/>
      <c r="B543" s="743"/>
      <c r="C543" s="743"/>
      <c r="D543" s="743"/>
      <c r="E543" s="743"/>
      <c r="F543" s="743"/>
      <c r="G543" s="743"/>
      <c r="H543" s="743"/>
      <c r="I543" s="743"/>
      <c r="J543" s="743"/>
      <c r="K543" s="743"/>
      <c r="L543" s="743"/>
      <c r="M543" s="743"/>
      <c r="N543" s="744"/>
      <c r="O543" s="744"/>
      <c r="P543" s="744"/>
      <c r="Q543" s="743"/>
      <c r="R543" s="743"/>
      <c r="S543" s="743"/>
    </row>
    <row r="544" spans="1:19" ht="13">
      <c r="A544" s="743"/>
      <c r="B544" s="743"/>
      <c r="C544" s="743"/>
      <c r="D544" s="743"/>
      <c r="E544" s="743"/>
      <c r="F544" s="743"/>
      <c r="G544" s="743"/>
      <c r="H544" s="743"/>
      <c r="I544" s="743"/>
      <c r="J544" s="743"/>
      <c r="K544" s="743"/>
      <c r="L544" s="743"/>
      <c r="M544" s="743"/>
      <c r="N544" s="744"/>
      <c r="O544" s="744"/>
      <c r="P544" s="744"/>
      <c r="Q544" s="743"/>
      <c r="R544" s="743"/>
      <c r="S544" s="743"/>
    </row>
    <row r="545" spans="1:19" ht="13">
      <c r="A545" s="743"/>
      <c r="B545" s="743"/>
      <c r="C545" s="743"/>
      <c r="D545" s="743"/>
      <c r="E545" s="743"/>
      <c r="F545" s="743"/>
      <c r="G545" s="743"/>
      <c r="H545" s="743"/>
      <c r="I545" s="743"/>
      <c r="J545" s="743"/>
      <c r="K545" s="743"/>
      <c r="L545" s="743"/>
      <c r="M545" s="743"/>
      <c r="N545" s="744"/>
      <c r="O545" s="744"/>
      <c r="P545" s="744"/>
      <c r="Q545" s="743"/>
      <c r="R545" s="743"/>
      <c r="S545" s="743"/>
    </row>
    <row r="546" spans="1:19" ht="13">
      <c r="A546" s="743"/>
      <c r="B546" s="743"/>
      <c r="C546" s="743"/>
      <c r="D546" s="743"/>
      <c r="E546" s="743"/>
      <c r="F546" s="743"/>
      <c r="G546" s="743"/>
      <c r="H546" s="743"/>
      <c r="I546" s="743"/>
      <c r="J546" s="743"/>
      <c r="K546" s="743"/>
      <c r="L546" s="743"/>
      <c r="M546" s="743"/>
      <c r="N546" s="744"/>
      <c r="O546" s="744"/>
      <c r="P546" s="744"/>
      <c r="Q546" s="743"/>
      <c r="R546" s="743"/>
      <c r="S546" s="743"/>
    </row>
    <row r="547" spans="1:19" ht="13">
      <c r="A547" s="743"/>
      <c r="B547" s="743"/>
      <c r="C547" s="743"/>
      <c r="D547" s="743"/>
      <c r="E547" s="743"/>
      <c r="F547" s="743"/>
      <c r="G547" s="743"/>
      <c r="H547" s="743"/>
      <c r="I547" s="743"/>
      <c r="J547" s="743"/>
      <c r="K547" s="743"/>
      <c r="L547" s="743"/>
      <c r="M547" s="743"/>
      <c r="N547" s="744"/>
      <c r="O547" s="744"/>
      <c r="P547" s="744"/>
      <c r="Q547" s="743"/>
      <c r="R547" s="743"/>
      <c r="S547" s="743"/>
    </row>
    <row r="548" spans="1:19" ht="13">
      <c r="A548" s="743"/>
      <c r="B548" s="743"/>
      <c r="C548" s="743"/>
      <c r="D548" s="743"/>
      <c r="E548" s="743"/>
      <c r="F548" s="743"/>
      <c r="G548" s="743"/>
      <c r="H548" s="743"/>
      <c r="I548" s="743"/>
      <c r="J548" s="743"/>
      <c r="K548" s="743"/>
      <c r="L548" s="743"/>
      <c r="M548" s="743"/>
      <c r="N548" s="744"/>
      <c r="O548" s="744"/>
      <c r="P548" s="744"/>
      <c r="Q548" s="743"/>
      <c r="R548" s="743"/>
      <c r="S548" s="743"/>
    </row>
    <row r="549" spans="1:19" ht="13">
      <c r="A549" s="743"/>
      <c r="B549" s="743"/>
      <c r="C549" s="743"/>
      <c r="D549" s="743"/>
      <c r="E549" s="743"/>
      <c r="F549" s="743"/>
      <c r="G549" s="743"/>
      <c r="H549" s="743"/>
      <c r="I549" s="743"/>
      <c r="J549" s="743"/>
      <c r="K549" s="743"/>
      <c r="L549" s="743"/>
      <c r="M549" s="743"/>
      <c r="N549" s="744"/>
      <c r="O549" s="744"/>
      <c r="P549" s="744"/>
      <c r="Q549" s="743"/>
      <c r="R549" s="743"/>
      <c r="S549" s="743"/>
    </row>
    <row r="550" spans="1:19" ht="13">
      <c r="A550" s="743"/>
      <c r="B550" s="743"/>
      <c r="C550" s="743"/>
      <c r="D550" s="743"/>
      <c r="E550" s="743"/>
      <c r="F550" s="743"/>
      <c r="G550" s="743"/>
      <c r="H550" s="743"/>
      <c r="I550" s="743"/>
      <c r="J550" s="743"/>
      <c r="K550" s="743"/>
      <c r="L550" s="743"/>
      <c r="M550" s="743"/>
      <c r="N550" s="744"/>
      <c r="O550" s="744"/>
      <c r="P550" s="744"/>
      <c r="Q550" s="743"/>
      <c r="R550" s="743"/>
      <c r="S550" s="743"/>
    </row>
    <row r="551" spans="1:19" ht="13">
      <c r="A551" s="743"/>
      <c r="B551" s="743"/>
      <c r="C551" s="743"/>
      <c r="D551" s="743"/>
      <c r="E551" s="743"/>
      <c r="F551" s="743"/>
      <c r="G551" s="743"/>
      <c r="H551" s="743"/>
      <c r="I551" s="743"/>
      <c r="J551" s="743"/>
      <c r="K551" s="743"/>
      <c r="L551" s="743"/>
      <c r="M551" s="743"/>
      <c r="N551" s="744"/>
      <c r="O551" s="744"/>
      <c r="P551" s="744"/>
      <c r="Q551" s="743"/>
      <c r="R551" s="743"/>
      <c r="S551" s="743"/>
    </row>
    <row r="552" spans="1:19" ht="13">
      <c r="A552" s="743"/>
      <c r="B552" s="743"/>
      <c r="C552" s="743"/>
      <c r="D552" s="743"/>
      <c r="E552" s="743"/>
      <c r="F552" s="743"/>
      <c r="G552" s="743"/>
      <c r="H552" s="743"/>
      <c r="I552" s="743"/>
      <c r="J552" s="743"/>
      <c r="K552" s="743"/>
      <c r="L552" s="743"/>
      <c r="M552" s="743"/>
      <c r="N552" s="744"/>
      <c r="O552" s="744"/>
      <c r="P552" s="744"/>
      <c r="Q552" s="743"/>
      <c r="R552" s="743"/>
      <c r="S552" s="743"/>
    </row>
    <row r="553" spans="1:19" ht="13">
      <c r="A553" s="743"/>
      <c r="B553" s="743"/>
      <c r="C553" s="743"/>
      <c r="D553" s="743"/>
      <c r="E553" s="743"/>
      <c r="F553" s="743"/>
      <c r="G553" s="743"/>
      <c r="H553" s="743"/>
      <c r="I553" s="743"/>
      <c r="J553" s="743"/>
      <c r="K553" s="743"/>
      <c r="L553" s="743"/>
      <c r="M553" s="743"/>
      <c r="N553" s="744"/>
      <c r="O553" s="744"/>
      <c r="P553" s="744"/>
      <c r="Q553" s="743"/>
      <c r="R553" s="743"/>
      <c r="S553" s="743"/>
    </row>
    <row r="554" spans="1:19" ht="13">
      <c r="A554" s="743"/>
      <c r="B554" s="743"/>
      <c r="C554" s="743"/>
      <c r="D554" s="743"/>
      <c r="E554" s="743"/>
      <c r="F554" s="743"/>
      <c r="G554" s="743"/>
      <c r="H554" s="743"/>
      <c r="I554" s="743"/>
      <c r="J554" s="743"/>
      <c r="K554" s="743"/>
      <c r="L554" s="743"/>
      <c r="M554" s="743"/>
      <c r="N554" s="744"/>
      <c r="O554" s="744"/>
      <c r="P554" s="744"/>
      <c r="Q554" s="743"/>
      <c r="R554" s="743"/>
      <c r="S554" s="743"/>
    </row>
    <row r="555" spans="1:19" ht="13">
      <c r="A555" s="743"/>
      <c r="B555" s="743"/>
      <c r="C555" s="743"/>
      <c r="D555" s="743"/>
      <c r="E555" s="743"/>
      <c r="F555" s="743"/>
      <c r="G555" s="743"/>
      <c r="H555" s="743"/>
      <c r="I555" s="743"/>
      <c r="J555" s="743"/>
      <c r="K555" s="743"/>
      <c r="L555" s="743"/>
      <c r="M555" s="743"/>
      <c r="N555" s="744"/>
      <c r="O555" s="744"/>
      <c r="P555" s="744"/>
      <c r="Q555" s="743"/>
      <c r="R555" s="743"/>
      <c r="S555" s="743"/>
    </row>
    <row r="556" spans="1:19" ht="13">
      <c r="A556" s="743"/>
      <c r="B556" s="743"/>
      <c r="C556" s="743"/>
      <c r="D556" s="743"/>
      <c r="E556" s="743"/>
      <c r="F556" s="743"/>
      <c r="G556" s="743"/>
      <c r="H556" s="743"/>
      <c r="I556" s="743"/>
      <c r="J556" s="743"/>
      <c r="K556" s="743"/>
      <c r="L556" s="743"/>
      <c r="M556" s="743"/>
      <c r="N556" s="744"/>
      <c r="O556" s="744"/>
      <c r="P556" s="744"/>
      <c r="Q556" s="743"/>
      <c r="R556" s="743"/>
      <c r="S556" s="743"/>
    </row>
    <row r="557" spans="1:19" ht="13">
      <c r="A557" s="743"/>
      <c r="B557" s="743"/>
      <c r="C557" s="743"/>
      <c r="D557" s="743"/>
      <c r="E557" s="743"/>
      <c r="F557" s="743"/>
      <c r="G557" s="743"/>
      <c r="H557" s="743"/>
      <c r="I557" s="743"/>
      <c r="J557" s="743"/>
      <c r="K557" s="743"/>
      <c r="L557" s="743"/>
      <c r="M557" s="743"/>
      <c r="N557" s="744"/>
      <c r="O557" s="744"/>
      <c r="P557" s="744"/>
      <c r="Q557" s="743"/>
      <c r="R557" s="743"/>
      <c r="S557" s="743"/>
    </row>
    <row r="558" spans="1:19" ht="13">
      <c r="A558" s="743"/>
      <c r="B558" s="743"/>
      <c r="C558" s="743"/>
      <c r="D558" s="743"/>
      <c r="E558" s="743"/>
      <c r="F558" s="743"/>
      <c r="G558" s="743"/>
      <c r="H558" s="743"/>
      <c r="I558" s="743"/>
      <c r="J558" s="743"/>
      <c r="K558" s="743"/>
      <c r="L558" s="743"/>
      <c r="M558" s="743"/>
      <c r="N558" s="744"/>
      <c r="O558" s="744"/>
      <c r="P558" s="744"/>
      <c r="Q558" s="743"/>
      <c r="R558" s="743"/>
      <c r="S558" s="743"/>
    </row>
    <row r="559" spans="1:19" ht="13">
      <c r="A559" s="743"/>
      <c r="B559" s="743"/>
      <c r="C559" s="743"/>
      <c r="D559" s="743"/>
      <c r="E559" s="743"/>
      <c r="F559" s="743"/>
      <c r="G559" s="743"/>
      <c r="H559" s="743"/>
      <c r="I559" s="743"/>
      <c r="J559" s="743"/>
      <c r="K559" s="743"/>
      <c r="L559" s="743"/>
      <c r="M559" s="743"/>
      <c r="N559" s="744"/>
      <c r="O559" s="744"/>
      <c r="P559" s="744"/>
      <c r="Q559" s="743"/>
      <c r="R559" s="743"/>
      <c r="S559" s="743"/>
    </row>
    <row r="560" spans="1:19" ht="13">
      <c r="A560" s="743"/>
      <c r="B560" s="743"/>
      <c r="C560" s="743"/>
      <c r="D560" s="743"/>
      <c r="E560" s="743"/>
      <c r="F560" s="743"/>
      <c r="G560" s="743"/>
      <c r="H560" s="743"/>
      <c r="I560" s="743"/>
      <c r="J560" s="743"/>
      <c r="K560" s="743"/>
      <c r="L560" s="743"/>
      <c r="M560" s="743"/>
      <c r="N560" s="744"/>
      <c r="O560" s="744"/>
      <c r="P560" s="744"/>
      <c r="Q560" s="743"/>
      <c r="R560" s="743"/>
      <c r="S560" s="743"/>
    </row>
    <row r="561" spans="1:19" ht="13">
      <c r="A561" s="743"/>
      <c r="B561" s="743"/>
      <c r="C561" s="743"/>
      <c r="D561" s="743"/>
      <c r="E561" s="743"/>
      <c r="F561" s="743"/>
      <c r="G561" s="743"/>
      <c r="H561" s="743"/>
      <c r="I561" s="743"/>
      <c r="J561" s="743"/>
      <c r="K561" s="743"/>
      <c r="L561" s="743"/>
      <c r="M561" s="743"/>
      <c r="N561" s="744"/>
      <c r="O561" s="744"/>
      <c r="P561" s="744"/>
      <c r="Q561" s="743"/>
      <c r="R561" s="743"/>
      <c r="S561" s="743"/>
    </row>
    <row r="562" spans="1:19" ht="13">
      <c r="A562" s="743"/>
      <c r="B562" s="743"/>
      <c r="C562" s="743"/>
      <c r="D562" s="743"/>
      <c r="E562" s="743"/>
      <c r="F562" s="743"/>
      <c r="G562" s="743"/>
      <c r="H562" s="743"/>
      <c r="I562" s="743"/>
      <c r="J562" s="743"/>
      <c r="K562" s="743"/>
      <c r="L562" s="743"/>
      <c r="M562" s="743"/>
      <c r="N562" s="744"/>
      <c r="O562" s="744"/>
      <c r="P562" s="744"/>
      <c r="Q562" s="743"/>
      <c r="R562" s="743"/>
      <c r="S562" s="743"/>
    </row>
    <row r="563" spans="1:19" ht="13">
      <c r="A563" s="743"/>
      <c r="B563" s="743"/>
      <c r="C563" s="743"/>
      <c r="D563" s="743"/>
      <c r="E563" s="743"/>
      <c r="F563" s="743"/>
      <c r="G563" s="743"/>
      <c r="H563" s="743"/>
      <c r="I563" s="743"/>
      <c r="J563" s="743"/>
      <c r="K563" s="743"/>
      <c r="L563" s="743"/>
      <c r="M563" s="743"/>
      <c r="N563" s="744"/>
      <c r="O563" s="744"/>
      <c r="P563" s="744"/>
      <c r="Q563" s="743"/>
      <c r="R563" s="743"/>
      <c r="S563" s="743"/>
    </row>
    <row r="564" spans="1:19" ht="13">
      <c r="A564" s="743"/>
      <c r="B564" s="743"/>
      <c r="C564" s="743"/>
      <c r="D564" s="743"/>
      <c r="E564" s="743"/>
      <c r="F564" s="743"/>
      <c r="G564" s="743"/>
      <c r="H564" s="743"/>
      <c r="I564" s="743"/>
      <c r="J564" s="743"/>
      <c r="K564" s="743"/>
      <c r="L564" s="743"/>
      <c r="M564" s="743"/>
      <c r="N564" s="744"/>
      <c r="O564" s="744"/>
      <c r="P564" s="744"/>
      <c r="Q564" s="743"/>
      <c r="R564" s="743"/>
      <c r="S564" s="743"/>
    </row>
    <row r="565" spans="1:19" ht="13">
      <c r="A565" s="743"/>
      <c r="B565" s="743"/>
      <c r="C565" s="743"/>
      <c r="D565" s="743"/>
      <c r="E565" s="743"/>
      <c r="F565" s="743"/>
      <c r="G565" s="743"/>
      <c r="H565" s="743"/>
      <c r="I565" s="743"/>
      <c r="J565" s="743"/>
      <c r="K565" s="743"/>
      <c r="L565" s="743"/>
      <c r="M565" s="743"/>
      <c r="N565" s="744"/>
      <c r="O565" s="744"/>
      <c r="P565" s="744"/>
      <c r="Q565" s="743"/>
      <c r="R565" s="743"/>
      <c r="S565" s="743"/>
    </row>
    <row r="566" spans="1:19" ht="13">
      <c r="A566" s="743"/>
      <c r="B566" s="743"/>
      <c r="C566" s="743"/>
      <c r="D566" s="743"/>
      <c r="E566" s="743"/>
      <c r="F566" s="743"/>
      <c r="G566" s="743"/>
      <c r="H566" s="743"/>
      <c r="I566" s="743"/>
      <c r="J566" s="743"/>
      <c r="K566" s="743"/>
      <c r="L566" s="743"/>
      <c r="M566" s="743"/>
      <c r="N566" s="744"/>
      <c r="O566" s="744"/>
      <c r="P566" s="744"/>
      <c r="Q566" s="743"/>
      <c r="R566" s="743"/>
      <c r="S566" s="743"/>
    </row>
    <row r="567" spans="1:19" ht="13">
      <c r="A567" s="743"/>
      <c r="B567" s="743"/>
      <c r="C567" s="743"/>
      <c r="D567" s="743"/>
      <c r="E567" s="743"/>
      <c r="F567" s="743"/>
      <c r="G567" s="743"/>
      <c r="H567" s="743"/>
      <c r="I567" s="743"/>
      <c r="J567" s="743"/>
      <c r="K567" s="743"/>
      <c r="L567" s="743"/>
      <c r="M567" s="743"/>
      <c r="N567" s="744"/>
      <c r="O567" s="744"/>
      <c r="P567" s="744"/>
      <c r="Q567" s="743"/>
      <c r="R567" s="743"/>
      <c r="S567" s="743"/>
    </row>
    <row r="568" spans="1:19" ht="13">
      <c r="A568" s="743"/>
      <c r="B568" s="743"/>
      <c r="C568" s="743"/>
      <c r="D568" s="743"/>
      <c r="E568" s="743"/>
      <c r="F568" s="743"/>
      <c r="G568" s="743"/>
      <c r="H568" s="743"/>
      <c r="I568" s="743"/>
      <c r="J568" s="743"/>
      <c r="K568" s="743"/>
      <c r="L568" s="743"/>
      <c r="M568" s="743"/>
      <c r="N568" s="744"/>
      <c r="O568" s="744"/>
      <c r="P568" s="744"/>
      <c r="Q568" s="743"/>
      <c r="R568" s="743"/>
      <c r="S568" s="743"/>
    </row>
    <row r="569" spans="1:19" ht="13">
      <c r="A569" s="743"/>
      <c r="B569" s="743"/>
      <c r="C569" s="743"/>
      <c r="D569" s="743"/>
      <c r="E569" s="743"/>
      <c r="F569" s="743"/>
      <c r="G569" s="743"/>
      <c r="H569" s="743"/>
      <c r="I569" s="743"/>
      <c r="J569" s="743"/>
      <c r="K569" s="743"/>
      <c r="L569" s="743"/>
      <c r="M569" s="743"/>
      <c r="N569" s="744"/>
      <c r="O569" s="744"/>
      <c r="P569" s="744"/>
      <c r="Q569" s="743"/>
      <c r="R569" s="743"/>
      <c r="S569" s="743"/>
    </row>
    <row r="570" spans="1:19" ht="13">
      <c r="A570" s="743"/>
      <c r="B570" s="743"/>
      <c r="C570" s="743"/>
      <c r="D570" s="743"/>
      <c r="E570" s="743"/>
      <c r="F570" s="743"/>
      <c r="G570" s="743"/>
      <c r="H570" s="743"/>
      <c r="I570" s="743"/>
      <c r="J570" s="743"/>
      <c r="K570" s="743"/>
      <c r="L570" s="743"/>
      <c r="M570" s="743"/>
      <c r="N570" s="744"/>
      <c r="O570" s="744"/>
      <c r="P570" s="744"/>
      <c r="Q570" s="743"/>
      <c r="R570" s="743"/>
      <c r="S570" s="743"/>
    </row>
    <row r="571" spans="1:19" ht="13">
      <c r="A571" s="743"/>
      <c r="B571" s="743"/>
      <c r="C571" s="743"/>
      <c r="D571" s="743"/>
      <c r="E571" s="743"/>
      <c r="F571" s="743"/>
      <c r="G571" s="743"/>
      <c r="H571" s="743"/>
      <c r="I571" s="743"/>
      <c r="J571" s="743"/>
      <c r="K571" s="743"/>
      <c r="L571" s="743"/>
      <c r="M571" s="743"/>
      <c r="N571" s="744"/>
      <c r="O571" s="744"/>
      <c r="P571" s="744"/>
      <c r="Q571" s="743"/>
      <c r="R571" s="743"/>
      <c r="S571" s="743"/>
    </row>
    <row r="572" spans="1:19" ht="13">
      <c r="A572" s="743"/>
      <c r="B572" s="743"/>
      <c r="C572" s="743"/>
      <c r="D572" s="743"/>
      <c r="E572" s="743"/>
      <c r="F572" s="743"/>
      <c r="G572" s="743"/>
      <c r="H572" s="743"/>
      <c r="I572" s="743"/>
      <c r="J572" s="743"/>
      <c r="K572" s="743"/>
      <c r="L572" s="743"/>
      <c r="M572" s="743"/>
      <c r="N572" s="744"/>
      <c r="O572" s="744"/>
      <c r="P572" s="744"/>
      <c r="Q572" s="743"/>
      <c r="R572" s="743"/>
      <c r="S572" s="743"/>
    </row>
    <row r="573" spans="1:19" ht="13">
      <c r="A573" s="743"/>
      <c r="B573" s="743"/>
      <c r="C573" s="743"/>
      <c r="D573" s="743"/>
      <c r="E573" s="743"/>
      <c r="F573" s="743"/>
      <c r="G573" s="743"/>
      <c r="H573" s="743"/>
      <c r="I573" s="743"/>
      <c r="J573" s="743"/>
      <c r="K573" s="743"/>
      <c r="L573" s="743"/>
      <c r="M573" s="743"/>
      <c r="N573" s="744"/>
      <c r="O573" s="744"/>
      <c r="P573" s="744"/>
      <c r="Q573" s="743"/>
      <c r="R573" s="743"/>
      <c r="S573" s="743"/>
    </row>
    <row r="574" spans="1:19" ht="13">
      <c r="A574" s="743"/>
      <c r="B574" s="743"/>
      <c r="C574" s="743"/>
      <c r="D574" s="743"/>
      <c r="E574" s="743"/>
      <c r="F574" s="743"/>
      <c r="G574" s="743"/>
      <c r="H574" s="743"/>
      <c r="I574" s="743"/>
      <c r="J574" s="743"/>
      <c r="K574" s="743"/>
      <c r="L574" s="743"/>
      <c r="M574" s="743"/>
      <c r="N574" s="744"/>
      <c r="O574" s="744"/>
      <c r="P574" s="744"/>
      <c r="Q574" s="743"/>
      <c r="R574" s="743"/>
      <c r="S574" s="743"/>
    </row>
    <row r="575" spans="1:19" ht="13">
      <c r="A575" s="743"/>
      <c r="B575" s="743"/>
      <c r="C575" s="743"/>
      <c r="D575" s="743"/>
      <c r="E575" s="743"/>
      <c r="F575" s="743"/>
      <c r="G575" s="743"/>
      <c r="H575" s="743"/>
      <c r="I575" s="743"/>
      <c r="J575" s="743"/>
      <c r="K575" s="743"/>
      <c r="L575" s="743"/>
      <c r="M575" s="743"/>
      <c r="N575" s="744"/>
      <c r="O575" s="744"/>
      <c r="P575" s="744"/>
      <c r="Q575" s="743"/>
      <c r="R575" s="743"/>
      <c r="S575" s="743"/>
    </row>
    <row r="576" spans="1:19" ht="13">
      <c r="A576" s="743"/>
      <c r="B576" s="743"/>
      <c r="C576" s="743"/>
      <c r="D576" s="743"/>
      <c r="E576" s="743"/>
      <c r="F576" s="743"/>
      <c r="G576" s="743"/>
      <c r="H576" s="743"/>
      <c r="I576" s="743"/>
      <c r="J576" s="743"/>
      <c r="K576" s="743"/>
      <c r="L576" s="743"/>
      <c r="M576" s="743"/>
      <c r="N576" s="744"/>
      <c r="O576" s="744"/>
      <c r="P576" s="744"/>
      <c r="Q576" s="743"/>
      <c r="R576" s="743"/>
      <c r="S576" s="743"/>
    </row>
    <row r="577" spans="1:19" ht="13">
      <c r="A577" s="743"/>
      <c r="B577" s="743"/>
      <c r="C577" s="743"/>
      <c r="D577" s="743"/>
      <c r="E577" s="743"/>
      <c r="F577" s="743"/>
      <c r="G577" s="743"/>
      <c r="H577" s="743"/>
      <c r="I577" s="743"/>
      <c r="J577" s="743"/>
      <c r="K577" s="743"/>
      <c r="L577" s="743"/>
      <c r="M577" s="743"/>
      <c r="N577" s="744"/>
      <c r="O577" s="744"/>
      <c r="P577" s="744"/>
      <c r="Q577" s="743"/>
      <c r="R577" s="743"/>
      <c r="S577" s="743"/>
    </row>
    <row r="578" spans="1:19" ht="13">
      <c r="A578" s="743"/>
      <c r="B578" s="743"/>
      <c r="C578" s="743"/>
      <c r="D578" s="743"/>
      <c r="E578" s="743"/>
      <c r="F578" s="743"/>
      <c r="G578" s="743"/>
      <c r="H578" s="743"/>
      <c r="I578" s="743"/>
      <c r="J578" s="743"/>
      <c r="K578" s="743"/>
      <c r="L578" s="743"/>
      <c r="M578" s="743"/>
      <c r="N578" s="744"/>
      <c r="O578" s="744"/>
      <c r="P578" s="744"/>
      <c r="Q578" s="743"/>
      <c r="R578" s="743"/>
      <c r="S578" s="743"/>
    </row>
    <row r="579" spans="1:19" ht="13">
      <c r="A579" s="743"/>
      <c r="B579" s="743"/>
      <c r="C579" s="743"/>
      <c r="D579" s="743"/>
      <c r="E579" s="743"/>
      <c r="F579" s="743"/>
      <c r="G579" s="743"/>
      <c r="H579" s="743"/>
      <c r="I579" s="743"/>
      <c r="J579" s="743"/>
      <c r="K579" s="743"/>
      <c r="L579" s="743"/>
      <c r="M579" s="743"/>
      <c r="N579" s="744"/>
      <c r="O579" s="744"/>
      <c r="P579" s="744"/>
      <c r="Q579" s="743"/>
      <c r="R579" s="743"/>
      <c r="S579" s="743"/>
    </row>
    <row r="580" spans="1:19" ht="13">
      <c r="A580" s="743"/>
      <c r="B580" s="743"/>
      <c r="C580" s="743"/>
      <c r="D580" s="743"/>
      <c r="E580" s="743"/>
      <c r="F580" s="743"/>
      <c r="G580" s="743"/>
      <c r="H580" s="743"/>
      <c r="I580" s="743"/>
      <c r="J580" s="743"/>
      <c r="K580" s="743"/>
      <c r="L580" s="743"/>
      <c r="M580" s="743"/>
      <c r="N580" s="744"/>
      <c r="O580" s="744"/>
      <c r="P580" s="744"/>
      <c r="Q580" s="743"/>
      <c r="R580" s="743"/>
      <c r="S580" s="743"/>
    </row>
    <row r="581" spans="1:19" ht="13">
      <c r="A581" s="743"/>
      <c r="B581" s="743"/>
      <c r="C581" s="743"/>
      <c r="D581" s="743"/>
      <c r="E581" s="743"/>
      <c r="F581" s="743"/>
      <c r="G581" s="743"/>
      <c r="H581" s="743"/>
      <c r="I581" s="743"/>
      <c r="J581" s="743"/>
      <c r="K581" s="743"/>
      <c r="L581" s="743"/>
      <c r="M581" s="743"/>
      <c r="N581" s="744"/>
      <c r="O581" s="744"/>
      <c r="P581" s="744"/>
      <c r="Q581" s="743"/>
      <c r="R581" s="743"/>
      <c r="S581" s="743"/>
    </row>
    <row r="582" spans="1:19" ht="13">
      <c r="A582" s="743"/>
      <c r="B582" s="743"/>
      <c r="C582" s="743"/>
      <c r="D582" s="743"/>
      <c r="E582" s="743"/>
      <c r="F582" s="743"/>
      <c r="G582" s="743"/>
      <c r="H582" s="743"/>
      <c r="I582" s="743"/>
      <c r="J582" s="743"/>
      <c r="K582" s="743"/>
      <c r="L582" s="743"/>
      <c r="M582" s="743"/>
      <c r="N582" s="744"/>
      <c r="O582" s="744"/>
      <c r="P582" s="744"/>
      <c r="Q582" s="743"/>
      <c r="R582" s="743"/>
      <c r="S582" s="743"/>
    </row>
    <row r="583" spans="1:19" ht="13">
      <c r="A583" s="743"/>
      <c r="B583" s="743"/>
      <c r="C583" s="743"/>
      <c r="D583" s="743"/>
      <c r="E583" s="743"/>
      <c r="F583" s="743"/>
      <c r="G583" s="743"/>
      <c r="H583" s="743"/>
      <c r="I583" s="743"/>
      <c r="J583" s="743"/>
      <c r="K583" s="743"/>
      <c r="L583" s="743"/>
      <c r="M583" s="743"/>
      <c r="N583" s="744"/>
      <c r="O583" s="744"/>
      <c r="P583" s="744"/>
      <c r="Q583" s="743"/>
      <c r="R583" s="743"/>
      <c r="S583" s="743"/>
    </row>
    <row r="584" spans="1:19" ht="13">
      <c r="A584" s="743"/>
      <c r="B584" s="743"/>
      <c r="C584" s="743"/>
      <c r="D584" s="743"/>
      <c r="E584" s="743"/>
      <c r="F584" s="743"/>
      <c r="G584" s="743"/>
      <c r="H584" s="743"/>
      <c r="I584" s="743"/>
      <c r="J584" s="743"/>
      <c r="K584" s="743"/>
      <c r="L584" s="743"/>
      <c r="M584" s="743"/>
      <c r="N584" s="744"/>
      <c r="O584" s="744"/>
      <c r="P584" s="744"/>
      <c r="Q584" s="743"/>
      <c r="R584" s="743"/>
      <c r="S584" s="743"/>
    </row>
    <row r="585" spans="1:19" ht="13">
      <c r="A585" s="743"/>
      <c r="B585" s="743"/>
      <c r="C585" s="743"/>
      <c r="D585" s="743"/>
      <c r="E585" s="743"/>
      <c r="F585" s="743"/>
      <c r="G585" s="743"/>
      <c r="H585" s="743"/>
      <c r="I585" s="743"/>
      <c r="J585" s="743"/>
      <c r="K585" s="743"/>
      <c r="L585" s="743"/>
      <c r="M585" s="743"/>
      <c r="N585" s="744"/>
      <c r="O585" s="744"/>
      <c r="P585" s="744"/>
      <c r="Q585" s="743"/>
      <c r="R585" s="743"/>
      <c r="S585" s="743"/>
    </row>
    <row r="586" spans="1:19" ht="13">
      <c r="A586" s="743"/>
      <c r="B586" s="743"/>
      <c r="C586" s="743"/>
      <c r="D586" s="743"/>
      <c r="E586" s="743"/>
      <c r="F586" s="743"/>
      <c r="G586" s="743"/>
      <c r="H586" s="743"/>
      <c r="I586" s="743"/>
      <c r="J586" s="743"/>
      <c r="K586" s="743"/>
      <c r="L586" s="743"/>
      <c r="M586" s="743"/>
      <c r="N586" s="744"/>
      <c r="O586" s="744"/>
      <c r="P586" s="744"/>
      <c r="Q586" s="743"/>
      <c r="R586" s="743"/>
      <c r="S586" s="743"/>
    </row>
    <row r="587" spans="1:19" ht="13">
      <c r="A587" s="743"/>
      <c r="B587" s="743"/>
      <c r="C587" s="743"/>
      <c r="D587" s="743"/>
      <c r="E587" s="743"/>
      <c r="F587" s="743"/>
      <c r="G587" s="743"/>
      <c r="H587" s="743"/>
      <c r="I587" s="743"/>
      <c r="J587" s="743"/>
      <c r="K587" s="743"/>
      <c r="L587" s="743"/>
      <c r="M587" s="743"/>
      <c r="N587" s="744"/>
      <c r="O587" s="744"/>
      <c r="P587" s="744"/>
      <c r="Q587" s="743"/>
      <c r="R587" s="743"/>
      <c r="S587" s="743"/>
    </row>
    <row r="588" spans="1:19" ht="13">
      <c r="A588" s="743"/>
      <c r="B588" s="743"/>
      <c r="C588" s="743"/>
      <c r="D588" s="743"/>
      <c r="E588" s="743"/>
      <c r="F588" s="743"/>
      <c r="G588" s="743"/>
      <c r="H588" s="743"/>
      <c r="I588" s="743"/>
      <c r="J588" s="743"/>
      <c r="K588" s="743"/>
      <c r="L588" s="743"/>
      <c r="M588" s="743"/>
      <c r="N588" s="744"/>
      <c r="O588" s="744"/>
      <c r="P588" s="744"/>
      <c r="Q588" s="743"/>
      <c r="R588" s="743"/>
      <c r="S588" s="743"/>
    </row>
    <row r="589" spans="1:19" ht="13">
      <c r="A589" s="743"/>
      <c r="B589" s="743"/>
      <c r="C589" s="743"/>
      <c r="D589" s="743"/>
      <c r="E589" s="743"/>
      <c r="F589" s="743"/>
      <c r="G589" s="743"/>
      <c r="H589" s="743"/>
      <c r="I589" s="743"/>
      <c r="J589" s="743"/>
      <c r="K589" s="743"/>
      <c r="L589" s="743"/>
      <c r="M589" s="743"/>
      <c r="N589" s="744"/>
      <c r="O589" s="744"/>
      <c r="P589" s="744"/>
      <c r="Q589" s="743"/>
      <c r="R589" s="743"/>
      <c r="S589" s="743"/>
    </row>
    <row r="590" spans="1:19" ht="13">
      <c r="A590" s="743"/>
      <c r="B590" s="743"/>
      <c r="C590" s="743"/>
      <c r="D590" s="743"/>
      <c r="E590" s="743"/>
      <c r="F590" s="743"/>
      <c r="G590" s="743"/>
      <c r="H590" s="743"/>
      <c r="I590" s="743"/>
      <c r="J590" s="743"/>
      <c r="K590" s="743"/>
      <c r="L590" s="743"/>
      <c r="M590" s="743"/>
      <c r="N590" s="744"/>
      <c r="O590" s="744"/>
      <c r="P590" s="744"/>
      <c r="Q590" s="743"/>
      <c r="R590" s="743"/>
      <c r="S590" s="743"/>
    </row>
    <row r="591" spans="1:19" ht="13">
      <c r="A591" s="743"/>
      <c r="B591" s="743"/>
      <c r="C591" s="743"/>
      <c r="D591" s="743"/>
      <c r="E591" s="743"/>
      <c r="F591" s="743"/>
      <c r="G591" s="743"/>
      <c r="H591" s="743"/>
      <c r="I591" s="743"/>
      <c r="J591" s="743"/>
      <c r="K591" s="743"/>
      <c r="L591" s="743"/>
      <c r="M591" s="743"/>
      <c r="N591" s="744"/>
      <c r="O591" s="744"/>
      <c r="P591" s="744"/>
      <c r="Q591" s="743"/>
      <c r="R591" s="743"/>
      <c r="S591" s="743"/>
    </row>
    <row r="592" spans="1:19" ht="13">
      <c r="A592" s="743"/>
      <c r="B592" s="743"/>
      <c r="C592" s="743"/>
      <c r="D592" s="743"/>
      <c r="E592" s="743"/>
      <c r="F592" s="743"/>
      <c r="G592" s="743"/>
      <c r="H592" s="743"/>
      <c r="I592" s="743"/>
      <c r="J592" s="743"/>
      <c r="K592" s="743"/>
      <c r="L592" s="743"/>
      <c r="M592" s="743"/>
      <c r="N592" s="744"/>
      <c r="O592" s="744"/>
      <c r="P592" s="744"/>
      <c r="Q592" s="743"/>
      <c r="R592" s="743"/>
      <c r="S592" s="743"/>
    </row>
    <row r="593" spans="1:19" ht="13">
      <c r="A593" s="743"/>
      <c r="B593" s="743"/>
      <c r="C593" s="743"/>
      <c r="D593" s="743"/>
      <c r="E593" s="743"/>
      <c r="F593" s="743"/>
      <c r="G593" s="743"/>
      <c r="H593" s="743"/>
      <c r="I593" s="743"/>
      <c r="J593" s="743"/>
      <c r="K593" s="743"/>
      <c r="L593" s="743"/>
      <c r="M593" s="743"/>
      <c r="N593" s="744"/>
      <c r="O593" s="744"/>
      <c r="P593" s="744"/>
      <c r="Q593" s="743"/>
      <c r="R593" s="743"/>
      <c r="S593" s="743"/>
    </row>
    <row r="594" spans="1:19" ht="13">
      <c r="A594" s="743"/>
      <c r="B594" s="743"/>
      <c r="C594" s="743"/>
      <c r="D594" s="743"/>
      <c r="E594" s="743"/>
      <c r="F594" s="743"/>
      <c r="G594" s="743"/>
      <c r="H594" s="743"/>
      <c r="I594" s="743"/>
      <c r="J594" s="743"/>
      <c r="K594" s="743"/>
      <c r="L594" s="743"/>
      <c r="M594" s="743"/>
      <c r="N594" s="744"/>
      <c r="O594" s="744"/>
      <c r="P594" s="744"/>
      <c r="Q594" s="743"/>
      <c r="R594" s="743"/>
      <c r="S594" s="743"/>
    </row>
    <row r="595" spans="1:19" ht="13">
      <c r="A595" s="743"/>
      <c r="B595" s="743"/>
      <c r="C595" s="743"/>
      <c r="D595" s="743"/>
      <c r="E595" s="743"/>
      <c r="F595" s="743"/>
      <c r="G595" s="743"/>
      <c r="H595" s="743"/>
      <c r="I595" s="743"/>
      <c r="J595" s="743"/>
      <c r="K595" s="743"/>
      <c r="L595" s="743"/>
      <c r="M595" s="743"/>
      <c r="N595" s="744"/>
      <c r="O595" s="744"/>
      <c r="P595" s="744"/>
      <c r="Q595" s="743"/>
      <c r="R595" s="743"/>
      <c r="S595" s="743"/>
    </row>
    <row r="596" spans="1:19" ht="13">
      <c r="A596" s="743"/>
      <c r="B596" s="743"/>
      <c r="C596" s="743"/>
      <c r="D596" s="743"/>
      <c r="E596" s="743"/>
      <c r="F596" s="743"/>
      <c r="G596" s="743"/>
      <c r="H596" s="743"/>
      <c r="I596" s="743"/>
      <c r="J596" s="743"/>
      <c r="K596" s="743"/>
      <c r="L596" s="743"/>
      <c r="M596" s="743"/>
      <c r="N596" s="744"/>
      <c r="O596" s="744"/>
      <c r="P596" s="744"/>
      <c r="Q596" s="743"/>
      <c r="R596" s="743"/>
      <c r="S596" s="743"/>
    </row>
    <row r="597" spans="1:19" ht="13">
      <c r="A597" s="743"/>
      <c r="B597" s="743"/>
      <c r="C597" s="743"/>
      <c r="D597" s="743"/>
      <c r="E597" s="743"/>
      <c r="F597" s="743"/>
      <c r="G597" s="743"/>
      <c r="H597" s="743"/>
      <c r="I597" s="743"/>
      <c r="J597" s="743"/>
      <c r="K597" s="743"/>
      <c r="L597" s="743"/>
      <c r="M597" s="743"/>
      <c r="N597" s="744"/>
      <c r="O597" s="744"/>
      <c r="P597" s="744"/>
      <c r="Q597" s="743"/>
      <c r="R597" s="743"/>
      <c r="S597" s="743"/>
    </row>
    <row r="598" spans="1:19" ht="13">
      <c r="A598" s="743"/>
      <c r="B598" s="743"/>
      <c r="C598" s="743"/>
      <c r="D598" s="743"/>
      <c r="E598" s="743"/>
      <c r="F598" s="743"/>
      <c r="G598" s="743"/>
      <c r="H598" s="743"/>
      <c r="I598" s="743"/>
      <c r="J598" s="743"/>
      <c r="K598" s="743"/>
      <c r="L598" s="743"/>
      <c r="M598" s="743"/>
      <c r="N598" s="744"/>
      <c r="O598" s="744"/>
      <c r="P598" s="744"/>
      <c r="Q598" s="743"/>
      <c r="R598" s="743"/>
      <c r="S598" s="743"/>
    </row>
    <row r="599" spans="1:19" ht="13">
      <c r="A599" s="743"/>
      <c r="B599" s="743"/>
      <c r="C599" s="743"/>
      <c r="D599" s="743"/>
      <c r="E599" s="743"/>
      <c r="F599" s="743"/>
      <c r="G599" s="743"/>
      <c r="H599" s="743"/>
      <c r="I599" s="743"/>
      <c r="J599" s="743"/>
      <c r="K599" s="743"/>
      <c r="L599" s="743"/>
      <c r="M599" s="743"/>
      <c r="N599" s="744"/>
      <c r="O599" s="744"/>
      <c r="P599" s="744"/>
      <c r="Q599" s="743"/>
      <c r="R599" s="743"/>
      <c r="S599" s="743"/>
    </row>
    <row r="600" spans="1:19" ht="13">
      <c r="A600" s="743"/>
      <c r="B600" s="743"/>
      <c r="C600" s="743"/>
      <c r="D600" s="743"/>
      <c r="E600" s="743"/>
      <c r="F600" s="743"/>
      <c r="G600" s="743"/>
      <c r="H600" s="743"/>
      <c r="I600" s="743"/>
      <c r="J600" s="743"/>
      <c r="K600" s="743"/>
      <c r="L600" s="743"/>
      <c r="M600" s="743"/>
      <c r="N600" s="744"/>
      <c r="O600" s="744"/>
      <c r="P600" s="744"/>
      <c r="Q600" s="743"/>
      <c r="R600" s="743"/>
      <c r="S600" s="743"/>
    </row>
    <row r="601" spans="1:19" ht="13">
      <c r="A601" s="743"/>
      <c r="B601" s="743"/>
      <c r="C601" s="743"/>
      <c r="D601" s="743"/>
      <c r="E601" s="743"/>
      <c r="F601" s="743"/>
      <c r="G601" s="743"/>
      <c r="H601" s="743"/>
      <c r="I601" s="743"/>
      <c r="J601" s="743"/>
      <c r="K601" s="743"/>
      <c r="L601" s="743"/>
      <c r="M601" s="743"/>
      <c r="N601" s="744"/>
      <c r="O601" s="744"/>
      <c r="P601" s="744"/>
      <c r="Q601" s="743"/>
      <c r="R601" s="743"/>
      <c r="S601" s="743"/>
    </row>
    <row r="602" spans="1:19" ht="13">
      <c r="A602" s="743"/>
      <c r="B602" s="743"/>
      <c r="C602" s="743"/>
      <c r="D602" s="743"/>
      <c r="E602" s="743"/>
      <c r="F602" s="743"/>
      <c r="G602" s="743"/>
      <c r="H602" s="743"/>
      <c r="I602" s="743"/>
      <c r="J602" s="743"/>
      <c r="K602" s="743"/>
      <c r="L602" s="743"/>
      <c r="M602" s="743"/>
      <c r="N602" s="744"/>
      <c r="O602" s="744"/>
      <c r="P602" s="744"/>
      <c r="Q602" s="743"/>
      <c r="R602" s="743"/>
      <c r="S602" s="743"/>
    </row>
    <row r="603" spans="1:19" ht="13">
      <c r="A603" s="743"/>
      <c r="B603" s="743"/>
      <c r="C603" s="743"/>
      <c r="D603" s="743"/>
      <c r="E603" s="743"/>
      <c r="F603" s="743"/>
      <c r="G603" s="743"/>
      <c r="H603" s="743"/>
      <c r="I603" s="743"/>
      <c r="J603" s="743"/>
      <c r="K603" s="743"/>
      <c r="L603" s="743"/>
      <c r="M603" s="743"/>
      <c r="N603" s="744"/>
      <c r="O603" s="744"/>
      <c r="P603" s="744"/>
      <c r="Q603" s="743"/>
      <c r="R603" s="743"/>
      <c r="S603" s="743"/>
    </row>
    <row r="604" spans="1:19" ht="13">
      <c r="A604" s="743"/>
      <c r="B604" s="743"/>
      <c r="C604" s="743"/>
      <c r="D604" s="743"/>
      <c r="E604" s="743"/>
      <c r="F604" s="743"/>
      <c r="G604" s="743"/>
      <c r="H604" s="743"/>
      <c r="I604" s="743"/>
      <c r="J604" s="743"/>
      <c r="K604" s="743"/>
      <c r="L604" s="743"/>
      <c r="M604" s="743"/>
      <c r="N604" s="744"/>
      <c r="O604" s="744"/>
      <c r="P604" s="744"/>
      <c r="Q604" s="743"/>
      <c r="R604" s="743"/>
      <c r="S604" s="743"/>
    </row>
    <row r="605" spans="1:19" ht="13">
      <c r="A605" s="743"/>
      <c r="B605" s="743"/>
      <c r="C605" s="743"/>
      <c r="D605" s="743"/>
      <c r="E605" s="743"/>
      <c r="F605" s="743"/>
      <c r="G605" s="743"/>
      <c r="H605" s="743"/>
      <c r="I605" s="743"/>
      <c r="J605" s="743"/>
      <c r="K605" s="743"/>
      <c r="L605" s="743"/>
      <c r="M605" s="743"/>
      <c r="N605" s="744"/>
      <c r="O605" s="744"/>
      <c r="P605" s="744"/>
      <c r="Q605" s="743"/>
      <c r="R605" s="743"/>
      <c r="S605" s="743"/>
    </row>
    <row r="606" spans="1:19" ht="13">
      <c r="A606" s="743"/>
      <c r="B606" s="743"/>
      <c r="C606" s="743"/>
      <c r="D606" s="743"/>
      <c r="E606" s="743"/>
      <c r="F606" s="743"/>
      <c r="G606" s="743"/>
      <c r="H606" s="743"/>
      <c r="I606" s="743"/>
      <c r="J606" s="743"/>
      <c r="K606" s="743"/>
      <c r="L606" s="743"/>
      <c r="M606" s="743"/>
      <c r="N606" s="744"/>
      <c r="O606" s="744"/>
      <c r="P606" s="744"/>
      <c r="Q606" s="743"/>
      <c r="R606" s="743"/>
      <c r="S606" s="743"/>
    </row>
    <row r="607" spans="1:19" ht="13">
      <c r="A607" s="743"/>
      <c r="B607" s="743"/>
      <c r="C607" s="743"/>
      <c r="D607" s="743"/>
      <c r="E607" s="743"/>
      <c r="F607" s="743"/>
      <c r="G607" s="743"/>
      <c r="H607" s="743"/>
      <c r="I607" s="743"/>
      <c r="J607" s="743"/>
      <c r="K607" s="743"/>
      <c r="L607" s="743"/>
      <c r="M607" s="743"/>
      <c r="N607" s="744"/>
      <c r="O607" s="744"/>
      <c r="P607" s="744"/>
      <c r="Q607" s="743"/>
      <c r="R607" s="743"/>
      <c r="S607" s="743"/>
    </row>
    <row r="608" spans="1:19" ht="13">
      <c r="A608" s="743"/>
      <c r="B608" s="743"/>
      <c r="C608" s="743"/>
      <c r="D608" s="743"/>
      <c r="E608" s="743"/>
      <c r="F608" s="743"/>
      <c r="G608" s="743"/>
      <c r="H608" s="743"/>
      <c r="I608" s="743"/>
      <c r="J608" s="743"/>
      <c r="K608" s="743"/>
      <c r="L608" s="743"/>
      <c r="M608" s="743"/>
      <c r="N608" s="744"/>
      <c r="O608" s="744"/>
      <c r="P608" s="744"/>
      <c r="Q608" s="743"/>
      <c r="R608" s="743"/>
      <c r="S608" s="743"/>
    </row>
    <row r="609" spans="1:19" ht="13">
      <c r="A609" s="743"/>
      <c r="B609" s="743"/>
      <c r="C609" s="743"/>
      <c r="D609" s="743"/>
      <c r="E609" s="743"/>
      <c r="F609" s="743"/>
      <c r="G609" s="743"/>
      <c r="H609" s="743"/>
      <c r="I609" s="743"/>
      <c r="J609" s="743"/>
      <c r="K609" s="743"/>
      <c r="L609" s="743"/>
      <c r="M609" s="743"/>
      <c r="N609" s="744"/>
      <c r="O609" s="744"/>
      <c r="P609" s="744"/>
      <c r="Q609" s="743"/>
      <c r="R609" s="743"/>
      <c r="S609" s="743"/>
    </row>
    <row r="610" spans="1:19" ht="13">
      <c r="A610" s="743"/>
      <c r="B610" s="743"/>
      <c r="C610" s="743"/>
      <c r="D610" s="743"/>
      <c r="E610" s="743"/>
      <c r="F610" s="743"/>
      <c r="G610" s="743"/>
      <c r="H610" s="743"/>
      <c r="I610" s="743"/>
      <c r="J610" s="743"/>
      <c r="K610" s="743"/>
      <c r="L610" s="743"/>
      <c r="M610" s="743"/>
      <c r="N610" s="744"/>
      <c r="O610" s="744"/>
      <c r="P610" s="744"/>
      <c r="Q610" s="743"/>
      <c r="R610" s="743"/>
      <c r="S610" s="743"/>
    </row>
    <row r="611" spans="1:19" ht="13">
      <c r="A611" s="743"/>
      <c r="B611" s="743"/>
      <c r="C611" s="743"/>
      <c r="D611" s="743"/>
      <c r="E611" s="743"/>
      <c r="F611" s="743"/>
      <c r="G611" s="743"/>
      <c r="H611" s="743"/>
      <c r="I611" s="743"/>
      <c r="J611" s="743"/>
      <c r="K611" s="743"/>
      <c r="L611" s="743"/>
      <c r="M611" s="743"/>
      <c r="N611" s="744"/>
      <c r="O611" s="744"/>
      <c r="P611" s="744"/>
      <c r="Q611" s="743"/>
      <c r="R611" s="743"/>
      <c r="S611" s="743"/>
    </row>
    <row r="612" spans="1:19" ht="13">
      <c r="A612" s="743"/>
      <c r="B612" s="743"/>
      <c r="C612" s="743"/>
      <c r="D612" s="743"/>
      <c r="E612" s="743"/>
      <c r="F612" s="743"/>
      <c r="G612" s="743"/>
      <c r="H612" s="743"/>
      <c r="I612" s="743"/>
      <c r="J612" s="743"/>
      <c r="K612" s="743"/>
      <c r="L612" s="743"/>
      <c r="M612" s="743"/>
      <c r="N612" s="744"/>
      <c r="O612" s="744"/>
      <c r="P612" s="744"/>
      <c r="Q612" s="743"/>
      <c r="R612" s="743"/>
      <c r="S612" s="743"/>
    </row>
    <row r="613" spans="1:19" ht="13">
      <c r="A613" s="743"/>
      <c r="B613" s="743"/>
      <c r="C613" s="743"/>
      <c r="D613" s="743"/>
      <c r="E613" s="743"/>
      <c r="F613" s="743"/>
      <c r="G613" s="743"/>
      <c r="H613" s="743"/>
      <c r="I613" s="743"/>
      <c r="J613" s="743"/>
      <c r="K613" s="743"/>
      <c r="L613" s="743"/>
      <c r="M613" s="743"/>
      <c r="N613" s="744"/>
      <c r="O613" s="744"/>
      <c r="P613" s="744"/>
      <c r="Q613" s="743"/>
      <c r="R613" s="743"/>
      <c r="S613" s="743"/>
    </row>
    <row r="614" spans="1:19" ht="13">
      <c r="A614" s="743"/>
      <c r="B614" s="743"/>
      <c r="C614" s="743"/>
      <c r="D614" s="743"/>
      <c r="E614" s="743"/>
      <c r="F614" s="743"/>
      <c r="G614" s="743"/>
      <c r="H614" s="743"/>
      <c r="I614" s="743"/>
      <c r="J614" s="743"/>
      <c r="K614" s="743"/>
      <c r="L614" s="743"/>
      <c r="M614" s="743"/>
      <c r="N614" s="744"/>
      <c r="O614" s="744"/>
      <c r="P614" s="744"/>
      <c r="Q614" s="743"/>
      <c r="R614" s="743"/>
      <c r="S614" s="743"/>
    </row>
    <row r="615" spans="1:19" ht="13">
      <c r="A615" s="743"/>
      <c r="B615" s="743"/>
      <c r="C615" s="743"/>
      <c r="D615" s="743"/>
      <c r="E615" s="743"/>
      <c r="F615" s="743"/>
      <c r="G615" s="743"/>
      <c r="H615" s="743"/>
      <c r="I615" s="743"/>
      <c r="J615" s="743"/>
      <c r="K615" s="743"/>
      <c r="L615" s="743"/>
      <c r="M615" s="743"/>
      <c r="N615" s="744"/>
      <c r="O615" s="744"/>
      <c r="P615" s="744"/>
      <c r="Q615" s="743"/>
      <c r="R615" s="743"/>
      <c r="S615" s="743"/>
    </row>
    <row r="616" spans="1:19" ht="13">
      <c r="A616" s="743"/>
      <c r="B616" s="743"/>
      <c r="C616" s="743"/>
      <c r="D616" s="743"/>
      <c r="E616" s="743"/>
      <c r="F616" s="743"/>
      <c r="G616" s="743"/>
      <c r="H616" s="743"/>
      <c r="I616" s="743"/>
      <c r="J616" s="743"/>
      <c r="K616" s="743"/>
      <c r="L616" s="743"/>
      <c r="M616" s="743"/>
      <c r="N616" s="744"/>
      <c r="O616" s="744"/>
      <c r="P616" s="744"/>
      <c r="Q616" s="743"/>
      <c r="R616" s="743"/>
      <c r="S616" s="743"/>
    </row>
    <row r="617" spans="1:19" ht="13">
      <c r="A617" s="743"/>
      <c r="B617" s="743"/>
      <c r="C617" s="743"/>
      <c r="D617" s="743"/>
      <c r="E617" s="743"/>
      <c r="F617" s="743"/>
      <c r="G617" s="743"/>
      <c r="H617" s="743"/>
      <c r="I617" s="743"/>
      <c r="J617" s="743"/>
      <c r="K617" s="743"/>
      <c r="L617" s="743"/>
      <c r="M617" s="743"/>
      <c r="N617" s="744"/>
      <c r="O617" s="744"/>
      <c r="P617" s="744"/>
      <c r="Q617" s="743"/>
      <c r="R617" s="743"/>
      <c r="S617" s="743"/>
    </row>
    <row r="618" spans="1:19" ht="13">
      <c r="A618" s="743"/>
      <c r="B618" s="743"/>
      <c r="C618" s="743"/>
      <c r="D618" s="743"/>
      <c r="E618" s="743"/>
      <c r="F618" s="743"/>
      <c r="G618" s="743"/>
      <c r="H618" s="743"/>
      <c r="I618" s="743"/>
      <c r="J618" s="743"/>
      <c r="K618" s="743"/>
      <c r="L618" s="743"/>
      <c r="M618" s="743"/>
      <c r="N618" s="744"/>
      <c r="O618" s="744"/>
      <c r="P618" s="744"/>
      <c r="Q618" s="743"/>
      <c r="R618" s="743"/>
      <c r="S618" s="743"/>
    </row>
    <row r="619" spans="1:19" ht="13">
      <c r="A619" s="743"/>
      <c r="B619" s="743"/>
      <c r="C619" s="743"/>
      <c r="D619" s="743"/>
      <c r="E619" s="743"/>
      <c r="F619" s="743"/>
      <c r="G619" s="743"/>
      <c r="H619" s="743"/>
      <c r="I619" s="743"/>
      <c r="J619" s="743"/>
      <c r="K619" s="743"/>
      <c r="L619" s="743"/>
      <c r="M619" s="743"/>
      <c r="N619" s="744"/>
      <c r="O619" s="744"/>
      <c r="P619" s="744"/>
      <c r="Q619" s="743"/>
      <c r="R619" s="743"/>
      <c r="S619" s="743"/>
    </row>
    <row r="620" spans="1:19" ht="13">
      <c r="A620" s="743"/>
      <c r="B620" s="743"/>
      <c r="C620" s="743"/>
      <c r="D620" s="743"/>
      <c r="E620" s="743"/>
      <c r="F620" s="743"/>
      <c r="G620" s="743"/>
      <c r="H620" s="743"/>
      <c r="I620" s="743"/>
      <c r="J620" s="743"/>
      <c r="K620" s="743"/>
      <c r="L620" s="743"/>
      <c r="M620" s="743"/>
      <c r="N620" s="744"/>
      <c r="O620" s="744"/>
      <c r="P620" s="744"/>
      <c r="Q620" s="743"/>
      <c r="R620" s="743"/>
      <c r="S620" s="743"/>
    </row>
    <row r="621" spans="1:19" ht="13">
      <c r="A621" s="743"/>
      <c r="B621" s="743"/>
      <c r="C621" s="743"/>
      <c r="D621" s="743"/>
      <c r="E621" s="743"/>
      <c r="F621" s="743"/>
      <c r="G621" s="743"/>
      <c r="H621" s="743"/>
      <c r="I621" s="743"/>
      <c r="J621" s="743"/>
      <c r="K621" s="743"/>
      <c r="L621" s="743"/>
      <c r="M621" s="743"/>
      <c r="N621" s="744"/>
      <c r="O621" s="744"/>
      <c r="P621" s="744"/>
      <c r="Q621" s="743"/>
      <c r="R621" s="743"/>
      <c r="S621" s="743"/>
    </row>
    <row r="622" spans="1:19" ht="13">
      <c r="A622" s="743"/>
      <c r="B622" s="743"/>
      <c r="C622" s="743"/>
      <c r="D622" s="743"/>
      <c r="E622" s="743"/>
      <c r="F622" s="743"/>
      <c r="G622" s="743"/>
      <c r="H622" s="743"/>
      <c r="I622" s="743"/>
      <c r="J622" s="743"/>
      <c r="K622" s="743"/>
      <c r="L622" s="743"/>
      <c r="M622" s="743"/>
      <c r="N622" s="744"/>
      <c r="O622" s="744"/>
      <c r="P622" s="744"/>
      <c r="Q622" s="743"/>
      <c r="R622" s="743"/>
      <c r="S622" s="743"/>
    </row>
    <row r="623" spans="1:19" ht="13">
      <c r="A623" s="743"/>
      <c r="B623" s="743"/>
      <c r="C623" s="743"/>
      <c r="D623" s="743"/>
      <c r="E623" s="743"/>
      <c r="F623" s="743"/>
      <c r="G623" s="743"/>
      <c r="H623" s="743"/>
      <c r="I623" s="743"/>
      <c r="J623" s="743"/>
      <c r="K623" s="743"/>
      <c r="L623" s="743"/>
      <c r="M623" s="743"/>
      <c r="N623" s="744"/>
      <c r="O623" s="744"/>
      <c r="P623" s="744"/>
      <c r="Q623" s="743"/>
      <c r="R623" s="743"/>
      <c r="S623" s="743"/>
    </row>
    <row r="624" spans="1:19" ht="13">
      <c r="A624" s="743"/>
      <c r="B624" s="743"/>
      <c r="C624" s="743"/>
      <c r="D624" s="743"/>
      <c r="E624" s="743"/>
      <c r="F624" s="743"/>
      <c r="G624" s="743"/>
      <c r="H624" s="743"/>
      <c r="I624" s="743"/>
      <c r="J624" s="743"/>
      <c r="K624" s="743"/>
      <c r="L624" s="743"/>
      <c r="M624" s="743"/>
      <c r="N624" s="744"/>
      <c r="O624" s="744"/>
      <c r="P624" s="744"/>
      <c r="Q624" s="743"/>
      <c r="R624" s="743"/>
      <c r="S624" s="743"/>
    </row>
    <row r="625" spans="1:19" ht="13">
      <c r="A625" s="743"/>
      <c r="B625" s="743"/>
      <c r="C625" s="743"/>
      <c r="D625" s="743"/>
      <c r="E625" s="743"/>
      <c r="F625" s="743"/>
      <c r="G625" s="743"/>
      <c r="H625" s="743"/>
      <c r="I625" s="743"/>
      <c r="J625" s="743"/>
      <c r="K625" s="743"/>
      <c r="L625" s="743"/>
      <c r="M625" s="743"/>
      <c r="N625" s="744"/>
      <c r="O625" s="744"/>
      <c r="P625" s="744"/>
      <c r="Q625" s="743"/>
      <c r="R625" s="743"/>
      <c r="S625" s="743"/>
    </row>
    <row r="626" spans="1:19" ht="13">
      <c r="A626" s="743"/>
      <c r="B626" s="743"/>
      <c r="C626" s="743"/>
      <c r="D626" s="743"/>
      <c r="E626" s="743"/>
      <c r="F626" s="743"/>
      <c r="G626" s="743"/>
      <c r="H626" s="743"/>
      <c r="I626" s="743"/>
      <c r="J626" s="743"/>
      <c r="K626" s="743"/>
      <c r="L626" s="743"/>
      <c r="M626" s="743"/>
      <c r="N626" s="744"/>
      <c r="O626" s="744"/>
      <c r="P626" s="744"/>
      <c r="Q626" s="743"/>
      <c r="R626" s="743"/>
      <c r="S626" s="743"/>
    </row>
    <row r="627" spans="1:19" ht="13">
      <c r="A627" s="743"/>
      <c r="B627" s="743"/>
      <c r="C627" s="743"/>
      <c r="D627" s="743"/>
      <c r="E627" s="743"/>
      <c r="F627" s="743"/>
      <c r="G627" s="743"/>
      <c r="H627" s="743"/>
      <c r="I627" s="743"/>
      <c r="J627" s="743"/>
      <c r="K627" s="743"/>
      <c r="L627" s="743"/>
      <c r="M627" s="743"/>
      <c r="N627" s="744"/>
      <c r="O627" s="744"/>
      <c r="P627" s="744"/>
      <c r="Q627" s="743"/>
      <c r="R627" s="743"/>
      <c r="S627" s="743"/>
    </row>
    <row r="628" spans="1:19" ht="13">
      <c r="A628" s="743"/>
      <c r="B628" s="743"/>
      <c r="C628" s="743"/>
      <c r="D628" s="743"/>
      <c r="E628" s="743"/>
      <c r="F628" s="743"/>
      <c r="G628" s="743"/>
      <c r="H628" s="743"/>
      <c r="I628" s="743"/>
      <c r="J628" s="743"/>
      <c r="K628" s="743"/>
      <c r="L628" s="743"/>
      <c r="M628" s="743"/>
      <c r="N628" s="744"/>
      <c r="O628" s="744"/>
      <c r="P628" s="744"/>
      <c r="Q628" s="743"/>
      <c r="R628" s="743"/>
      <c r="S628" s="743"/>
    </row>
    <row r="629" spans="1:19" ht="13">
      <c r="A629" s="743"/>
      <c r="B629" s="743"/>
      <c r="C629" s="743"/>
      <c r="D629" s="743"/>
      <c r="E629" s="743"/>
      <c r="F629" s="743"/>
      <c r="G629" s="743"/>
      <c r="H629" s="743"/>
      <c r="I629" s="743"/>
      <c r="J629" s="743"/>
      <c r="K629" s="743"/>
      <c r="L629" s="743"/>
      <c r="M629" s="743"/>
      <c r="N629" s="744"/>
      <c r="O629" s="744"/>
      <c r="P629" s="744"/>
      <c r="Q629" s="743"/>
      <c r="R629" s="743"/>
      <c r="S629" s="743"/>
    </row>
    <row r="630" spans="1:19" ht="13">
      <c r="A630" s="743"/>
      <c r="B630" s="743"/>
      <c r="C630" s="743"/>
      <c r="D630" s="743"/>
      <c r="E630" s="743"/>
      <c r="F630" s="743"/>
      <c r="G630" s="743"/>
      <c r="H630" s="743"/>
      <c r="I630" s="743"/>
      <c r="J630" s="743"/>
      <c r="K630" s="743"/>
      <c r="L630" s="743"/>
      <c r="M630" s="743"/>
      <c r="N630" s="744"/>
      <c r="O630" s="744"/>
      <c r="P630" s="744"/>
      <c r="Q630" s="743"/>
      <c r="R630" s="743"/>
      <c r="S630" s="743"/>
    </row>
    <row r="631" spans="1:19" ht="13">
      <c r="A631" s="743"/>
      <c r="B631" s="743"/>
      <c r="C631" s="743"/>
      <c r="D631" s="743"/>
      <c r="E631" s="743"/>
      <c r="F631" s="743"/>
      <c r="G631" s="743"/>
      <c r="H631" s="743"/>
      <c r="I631" s="743"/>
      <c r="J631" s="743"/>
      <c r="K631" s="743"/>
      <c r="L631" s="743"/>
      <c r="M631" s="743"/>
      <c r="N631" s="744"/>
      <c r="O631" s="744"/>
      <c r="P631" s="744"/>
      <c r="Q631" s="743"/>
      <c r="R631" s="743"/>
      <c r="S631" s="743"/>
    </row>
    <row r="632" spans="1:19" ht="13">
      <c r="A632" s="743"/>
      <c r="B632" s="743"/>
      <c r="C632" s="743"/>
      <c r="D632" s="743"/>
      <c r="E632" s="743"/>
      <c r="F632" s="743"/>
      <c r="G632" s="743"/>
      <c r="H632" s="743"/>
      <c r="I632" s="743"/>
      <c r="J632" s="743"/>
      <c r="K632" s="743"/>
      <c r="L632" s="743"/>
      <c r="M632" s="743"/>
      <c r="N632" s="744"/>
      <c r="O632" s="744"/>
      <c r="P632" s="744"/>
      <c r="Q632" s="743"/>
      <c r="R632" s="743"/>
      <c r="S632" s="743"/>
    </row>
    <row r="633" spans="1:19" ht="13">
      <c r="A633" s="743"/>
      <c r="B633" s="743"/>
      <c r="C633" s="743"/>
      <c r="D633" s="743"/>
      <c r="E633" s="743"/>
      <c r="F633" s="743"/>
      <c r="G633" s="743"/>
      <c r="H633" s="743"/>
      <c r="I633" s="743"/>
      <c r="J633" s="743"/>
      <c r="K633" s="743"/>
      <c r="L633" s="743"/>
      <c r="M633" s="743"/>
      <c r="N633" s="744"/>
      <c r="O633" s="744"/>
      <c r="P633" s="744"/>
      <c r="Q633" s="743"/>
      <c r="R633" s="743"/>
      <c r="S633" s="743"/>
    </row>
    <row r="634" spans="1:19" ht="13">
      <c r="A634" s="743"/>
      <c r="B634" s="743"/>
      <c r="C634" s="743"/>
      <c r="D634" s="743"/>
      <c r="E634" s="743"/>
      <c r="F634" s="743"/>
      <c r="G634" s="743"/>
      <c r="H634" s="743"/>
      <c r="I634" s="743"/>
      <c r="J634" s="743"/>
      <c r="K634" s="743"/>
      <c r="L634" s="743"/>
      <c r="M634" s="743"/>
      <c r="N634" s="744"/>
      <c r="O634" s="744"/>
      <c r="P634" s="744"/>
      <c r="Q634" s="743"/>
      <c r="R634" s="743"/>
      <c r="S634" s="743"/>
    </row>
    <row r="635" spans="1:19" ht="13">
      <c r="A635" s="743"/>
      <c r="B635" s="743"/>
      <c r="C635" s="743"/>
      <c r="D635" s="743"/>
      <c r="E635" s="743"/>
      <c r="F635" s="743"/>
      <c r="G635" s="743"/>
      <c r="H635" s="743"/>
      <c r="I635" s="743"/>
      <c r="J635" s="743"/>
      <c r="K635" s="743"/>
      <c r="L635" s="743"/>
      <c r="M635" s="743"/>
      <c r="N635" s="744"/>
      <c r="O635" s="744"/>
      <c r="P635" s="744"/>
      <c r="Q635" s="743"/>
      <c r="R635" s="743"/>
      <c r="S635" s="743"/>
    </row>
    <row r="636" spans="1:19" ht="13">
      <c r="A636" s="743"/>
      <c r="B636" s="743"/>
      <c r="C636" s="743"/>
      <c r="D636" s="743"/>
      <c r="E636" s="743"/>
      <c r="F636" s="743"/>
      <c r="G636" s="743"/>
      <c r="H636" s="743"/>
      <c r="I636" s="743"/>
      <c r="J636" s="743"/>
      <c r="K636" s="743"/>
      <c r="L636" s="743"/>
      <c r="M636" s="743"/>
      <c r="N636" s="744"/>
      <c r="O636" s="744"/>
      <c r="P636" s="744"/>
      <c r="Q636" s="743"/>
      <c r="R636" s="743"/>
      <c r="S636" s="743"/>
    </row>
    <row r="637" spans="1:19" ht="13">
      <c r="A637" s="743"/>
      <c r="B637" s="743"/>
      <c r="C637" s="743"/>
      <c r="D637" s="743"/>
      <c r="E637" s="743"/>
      <c r="F637" s="743"/>
      <c r="G637" s="743"/>
      <c r="H637" s="743"/>
      <c r="I637" s="743"/>
      <c r="J637" s="743"/>
      <c r="K637" s="743"/>
      <c r="L637" s="743"/>
      <c r="M637" s="743"/>
      <c r="N637" s="744"/>
      <c r="O637" s="744"/>
      <c r="P637" s="744"/>
      <c r="Q637" s="743"/>
      <c r="R637" s="743"/>
      <c r="S637" s="743"/>
    </row>
    <row r="638" spans="1:19" ht="13">
      <c r="A638" s="743"/>
      <c r="B638" s="743"/>
      <c r="C638" s="743"/>
      <c r="D638" s="743"/>
      <c r="E638" s="743"/>
      <c r="F638" s="743"/>
      <c r="G638" s="743"/>
      <c r="H638" s="743"/>
      <c r="I638" s="743"/>
      <c r="J638" s="743"/>
      <c r="K638" s="743"/>
      <c r="L638" s="743"/>
      <c r="M638" s="743"/>
      <c r="N638" s="744"/>
      <c r="O638" s="744"/>
      <c r="P638" s="744"/>
      <c r="Q638" s="743"/>
      <c r="R638" s="743"/>
      <c r="S638" s="743"/>
    </row>
    <row r="639" spans="1:19" ht="13">
      <c r="A639" s="743"/>
      <c r="B639" s="743"/>
      <c r="C639" s="743"/>
      <c r="D639" s="743"/>
      <c r="E639" s="743"/>
      <c r="F639" s="743"/>
      <c r="G639" s="743"/>
      <c r="H639" s="743"/>
      <c r="I639" s="743"/>
      <c r="J639" s="743"/>
      <c r="K639" s="743"/>
      <c r="L639" s="743"/>
      <c r="M639" s="743"/>
      <c r="N639" s="744"/>
      <c r="O639" s="744"/>
      <c r="P639" s="744"/>
      <c r="Q639" s="743"/>
      <c r="R639" s="743"/>
      <c r="S639" s="743"/>
    </row>
    <row r="640" spans="1:19" ht="13">
      <c r="A640" s="743"/>
      <c r="B640" s="743"/>
      <c r="C640" s="743"/>
      <c r="D640" s="743"/>
      <c r="E640" s="743"/>
      <c r="F640" s="743"/>
      <c r="G640" s="743"/>
      <c r="H640" s="743"/>
      <c r="I640" s="743"/>
      <c r="J640" s="743"/>
      <c r="K640" s="743"/>
      <c r="L640" s="743"/>
      <c r="M640" s="743"/>
      <c r="N640" s="744"/>
      <c r="O640" s="744"/>
      <c r="P640" s="744"/>
      <c r="Q640" s="743"/>
      <c r="R640" s="743"/>
      <c r="S640" s="743"/>
    </row>
    <row r="641" spans="1:19" ht="13">
      <c r="A641" s="743"/>
      <c r="B641" s="743"/>
      <c r="C641" s="743"/>
      <c r="D641" s="743"/>
      <c r="E641" s="743"/>
      <c r="F641" s="743"/>
      <c r="G641" s="743"/>
      <c r="H641" s="743"/>
      <c r="I641" s="743"/>
      <c r="J641" s="743"/>
      <c r="K641" s="743"/>
      <c r="L641" s="743"/>
      <c r="M641" s="743"/>
      <c r="N641" s="744"/>
      <c r="O641" s="744"/>
      <c r="P641" s="744"/>
      <c r="Q641" s="743"/>
      <c r="R641" s="743"/>
      <c r="S641" s="743"/>
    </row>
    <row r="642" spans="1:19" ht="13">
      <c r="A642" s="743"/>
      <c r="B642" s="743"/>
      <c r="C642" s="743"/>
      <c r="D642" s="743"/>
      <c r="E642" s="743"/>
      <c r="F642" s="743"/>
      <c r="G642" s="743"/>
      <c r="H642" s="743"/>
      <c r="I642" s="743"/>
      <c r="J642" s="743"/>
      <c r="K642" s="743"/>
      <c r="L642" s="743"/>
      <c r="M642" s="743"/>
      <c r="N642" s="744"/>
      <c r="O642" s="744"/>
      <c r="P642" s="744"/>
      <c r="Q642" s="743"/>
      <c r="R642" s="743"/>
      <c r="S642" s="743"/>
    </row>
    <row r="643" spans="1:19" ht="13">
      <c r="A643" s="743"/>
      <c r="B643" s="743"/>
      <c r="C643" s="743"/>
      <c r="D643" s="743"/>
      <c r="E643" s="743"/>
      <c r="F643" s="743"/>
      <c r="G643" s="743"/>
      <c r="H643" s="743"/>
      <c r="I643" s="743"/>
      <c r="J643" s="743"/>
      <c r="K643" s="743"/>
      <c r="L643" s="743"/>
      <c r="M643" s="743"/>
      <c r="N643" s="744"/>
      <c r="O643" s="744"/>
      <c r="P643" s="744"/>
      <c r="Q643" s="743"/>
      <c r="R643" s="743"/>
      <c r="S643" s="743"/>
    </row>
    <row r="644" spans="1:19" ht="13">
      <c r="A644" s="743"/>
      <c r="B644" s="743"/>
      <c r="C644" s="743"/>
      <c r="D644" s="743"/>
      <c r="E644" s="743"/>
      <c r="F644" s="743"/>
      <c r="G644" s="743"/>
      <c r="H644" s="743"/>
      <c r="I644" s="743"/>
      <c r="J644" s="743"/>
      <c r="K644" s="743"/>
      <c r="L644" s="743"/>
      <c r="M644" s="743"/>
      <c r="N644" s="744"/>
      <c r="O644" s="744"/>
      <c r="P644" s="744"/>
      <c r="Q644" s="743"/>
      <c r="R644" s="743"/>
      <c r="S644" s="743"/>
    </row>
    <row r="645" spans="1:19" ht="13">
      <c r="A645" s="743"/>
      <c r="B645" s="743"/>
      <c r="C645" s="743"/>
      <c r="D645" s="743"/>
      <c r="E645" s="743"/>
      <c r="F645" s="743"/>
      <c r="G645" s="743"/>
      <c r="H645" s="743"/>
      <c r="I645" s="743"/>
      <c r="J645" s="743"/>
      <c r="K645" s="743"/>
      <c r="L645" s="743"/>
      <c r="M645" s="743"/>
      <c r="N645" s="744"/>
      <c r="O645" s="744"/>
      <c r="P645" s="744"/>
      <c r="Q645" s="743"/>
      <c r="R645" s="743"/>
      <c r="S645" s="743"/>
    </row>
    <row r="646" spans="1:19" ht="13">
      <c r="A646" s="743"/>
      <c r="B646" s="743"/>
      <c r="C646" s="743"/>
      <c r="D646" s="743"/>
      <c r="E646" s="743"/>
      <c r="F646" s="743"/>
      <c r="G646" s="743"/>
      <c r="H646" s="743"/>
      <c r="I646" s="743"/>
      <c r="J646" s="743"/>
      <c r="K646" s="743"/>
      <c r="L646" s="743"/>
      <c r="M646" s="743"/>
      <c r="N646" s="744"/>
      <c r="O646" s="744"/>
      <c r="P646" s="744"/>
      <c r="Q646" s="743"/>
      <c r="R646" s="743"/>
      <c r="S646" s="743"/>
    </row>
    <row r="647" spans="1:19" ht="13">
      <c r="A647" s="743"/>
      <c r="B647" s="743"/>
      <c r="C647" s="743"/>
      <c r="D647" s="743"/>
      <c r="E647" s="743"/>
      <c r="F647" s="743"/>
      <c r="G647" s="743"/>
      <c r="H647" s="743"/>
      <c r="I647" s="743"/>
      <c r="J647" s="743"/>
      <c r="K647" s="743"/>
      <c r="L647" s="743"/>
      <c r="M647" s="743"/>
      <c r="N647" s="744"/>
      <c r="O647" s="744"/>
      <c r="P647" s="744"/>
      <c r="Q647" s="743"/>
      <c r="R647" s="743"/>
      <c r="S647" s="743"/>
    </row>
    <row r="648" spans="1:19" ht="13">
      <c r="A648" s="743"/>
      <c r="B648" s="743"/>
      <c r="C648" s="743"/>
      <c r="D648" s="743"/>
      <c r="E648" s="743"/>
      <c r="F648" s="743"/>
      <c r="G648" s="743"/>
      <c r="H648" s="743"/>
      <c r="I648" s="743"/>
      <c r="J648" s="743"/>
      <c r="K648" s="743"/>
      <c r="L648" s="743"/>
      <c r="M648" s="743"/>
      <c r="N648" s="744"/>
      <c r="O648" s="744"/>
      <c r="P648" s="744"/>
      <c r="Q648" s="743"/>
      <c r="R648" s="743"/>
      <c r="S648" s="743"/>
    </row>
    <row r="649" spans="1:19" ht="13">
      <c r="A649" s="743"/>
      <c r="B649" s="743"/>
      <c r="C649" s="743"/>
      <c r="D649" s="743"/>
      <c r="E649" s="743"/>
      <c r="F649" s="743"/>
      <c r="G649" s="743"/>
      <c r="H649" s="743"/>
      <c r="I649" s="743"/>
      <c r="J649" s="743"/>
      <c r="K649" s="743"/>
      <c r="L649" s="743"/>
      <c r="M649" s="743"/>
      <c r="N649" s="744"/>
      <c r="O649" s="744"/>
      <c r="P649" s="744"/>
      <c r="Q649" s="743"/>
      <c r="R649" s="743"/>
      <c r="S649" s="743"/>
    </row>
    <row r="650" spans="1:19" ht="13">
      <c r="A650" s="743"/>
      <c r="B650" s="743"/>
      <c r="C650" s="743"/>
      <c r="D650" s="743"/>
      <c r="E650" s="743"/>
      <c r="F650" s="743"/>
      <c r="G650" s="743"/>
      <c r="H650" s="743"/>
      <c r="I650" s="743"/>
      <c r="J650" s="743"/>
      <c r="K650" s="743"/>
      <c r="L650" s="743"/>
      <c r="M650" s="743"/>
      <c r="N650" s="744"/>
      <c r="O650" s="744"/>
      <c r="P650" s="744"/>
      <c r="Q650" s="743"/>
      <c r="R650" s="743"/>
      <c r="S650" s="743"/>
    </row>
    <row r="651" spans="1:19" ht="13">
      <c r="A651" s="743"/>
      <c r="B651" s="743"/>
      <c r="C651" s="743"/>
      <c r="D651" s="743"/>
      <c r="E651" s="743"/>
      <c r="F651" s="743"/>
      <c r="G651" s="743"/>
      <c r="H651" s="743"/>
      <c r="I651" s="743"/>
      <c r="J651" s="743"/>
      <c r="K651" s="743"/>
      <c r="L651" s="743"/>
      <c r="M651" s="743"/>
      <c r="N651" s="744"/>
      <c r="O651" s="744"/>
      <c r="P651" s="744"/>
      <c r="Q651" s="743"/>
      <c r="R651" s="743"/>
      <c r="S651" s="743"/>
    </row>
    <row r="652" spans="1:19" ht="13">
      <c r="A652" s="743"/>
      <c r="B652" s="743"/>
      <c r="C652" s="743"/>
      <c r="D652" s="743"/>
      <c r="E652" s="743"/>
      <c r="F652" s="743"/>
      <c r="G652" s="743"/>
      <c r="H652" s="743"/>
      <c r="I652" s="743"/>
      <c r="J652" s="743"/>
      <c r="K652" s="743"/>
      <c r="L652" s="743"/>
      <c r="M652" s="743"/>
      <c r="N652" s="744"/>
      <c r="O652" s="744"/>
      <c r="P652" s="744"/>
      <c r="Q652" s="743"/>
      <c r="R652" s="743"/>
      <c r="S652" s="743"/>
    </row>
    <row r="653" spans="1:19" ht="13">
      <c r="A653" s="743"/>
      <c r="B653" s="743"/>
      <c r="C653" s="743"/>
      <c r="D653" s="743"/>
      <c r="E653" s="743"/>
      <c r="F653" s="743"/>
      <c r="G653" s="743"/>
      <c r="H653" s="743"/>
      <c r="I653" s="743"/>
      <c r="J653" s="743"/>
      <c r="K653" s="743"/>
      <c r="L653" s="743"/>
      <c r="M653" s="743"/>
      <c r="N653" s="744"/>
      <c r="O653" s="744"/>
      <c r="P653" s="744"/>
      <c r="Q653" s="743"/>
      <c r="R653" s="743"/>
      <c r="S653" s="743"/>
    </row>
    <row r="654" spans="1:19" ht="13">
      <c r="A654" s="743"/>
      <c r="B654" s="743"/>
      <c r="C654" s="743"/>
      <c r="D654" s="743"/>
      <c r="E654" s="743"/>
      <c r="F654" s="743"/>
      <c r="G654" s="743"/>
      <c r="H654" s="743"/>
      <c r="I654" s="743"/>
      <c r="J654" s="743"/>
      <c r="K654" s="743"/>
      <c r="L654" s="743"/>
      <c r="M654" s="743"/>
      <c r="N654" s="744"/>
      <c r="O654" s="744"/>
      <c r="P654" s="744"/>
      <c r="Q654" s="743"/>
      <c r="R654" s="743"/>
      <c r="S654" s="743"/>
    </row>
    <row r="655" spans="1:19" ht="13">
      <c r="A655" s="743"/>
      <c r="B655" s="743"/>
      <c r="C655" s="743"/>
      <c r="D655" s="743"/>
      <c r="E655" s="743"/>
      <c r="F655" s="743"/>
      <c r="G655" s="743"/>
      <c r="H655" s="743"/>
      <c r="I655" s="743"/>
      <c r="J655" s="743"/>
      <c r="K655" s="743"/>
      <c r="L655" s="743"/>
      <c r="M655" s="743"/>
      <c r="N655" s="744"/>
      <c r="O655" s="744"/>
      <c r="P655" s="744"/>
      <c r="Q655" s="743"/>
      <c r="R655" s="743"/>
      <c r="S655" s="743"/>
    </row>
    <row r="656" spans="1:19" ht="13">
      <c r="A656" s="743"/>
      <c r="B656" s="743"/>
      <c r="C656" s="743"/>
      <c r="D656" s="743"/>
      <c r="E656" s="743"/>
      <c r="F656" s="743"/>
      <c r="G656" s="743"/>
      <c r="H656" s="743"/>
      <c r="I656" s="743"/>
      <c r="J656" s="743"/>
      <c r="K656" s="743"/>
      <c r="L656" s="743"/>
      <c r="M656" s="743"/>
      <c r="N656" s="744"/>
      <c r="O656" s="744"/>
      <c r="P656" s="744"/>
      <c r="Q656" s="743"/>
      <c r="R656" s="743"/>
      <c r="S656" s="743"/>
    </row>
    <row r="657" spans="1:19" ht="13">
      <c r="A657" s="743"/>
      <c r="B657" s="743"/>
      <c r="C657" s="743"/>
      <c r="D657" s="743"/>
      <c r="E657" s="743"/>
      <c r="F657" s="743"/>
      <c r="G657" s="743"/>
      <c r="H657" s="743"/>
      <c r="I657" s="743"/>
      <c r="J657" s="743"/>
      <c r="K657" s="743"/>
      <c r="L657" s="743"/>
      <c r="M657" s="743"/>
      <c r="N657" s="744"/>
      <c r="O657" s="744"/>
      <c r="P657" s="744"/>
      <c r="Q657" s="743"/>
      <c r="R657" s="743"/>
      <c r="S657" s="743"/>
    </row>
    <row r="658" spans="1:19" ht="13">
      <c r="A658" s="743"/>
      <c r="B658" s="743"/>
      <c r="C658" s="743"/>
      <c r="D658" s="743"/>
      <c r="E658" s="743"/>
      <c r="F658" s="743"/>
      <c r="G658" s="743"/>
      <c r="H658" s="743"/>
      <c r="I658" s="743"/>
      <c r="J658" s="743"/>
      <c r="K658" s="743"/>
      <c r="L658" s="743"/>
      <c r="M658" s="743"/>
      <c r="N658" s="744"/>
      <c r="O658" s="744"/>
      <c r="P658" s="744"/>
      <c r="Q658" s="743"/>
      <c r="R658" s="743"/>
      <c r="S658" s="743"/>
    </row>
    <row r="659" spans="1:19" ht="13">
      <c r="A659" s="743"/>
      <c r="B659" s="743"/>
      <c r="C659" s="743"/>
      <c r="D659" s="743"/>
      <c r="E659" s="743"/>
      <c r="F659" s="743"/>
      <c r="G659" s="743"/>
      <c r="H659" s="743"/>
      <c r="I659" s="743"/>
      <c r="J659" s="743"/>
      <c r="K659" s="743"/>
      <c r="L659" s="743"/>
      <c r="M659" s="743"/>
      <c r="N659" s="744"/>
      <c r="O659" s="744"/>
      <c r="P659" s="744"/>
      <c r="Q659" s="743"/>
      <c r="R659" s="743"/>
      <c r="S659" s="743"/>
    </row>
    <row r="660" spans="1:19" ht="13">
      <c r="A660" s="743"/>
      <c r="B660" s="743"/>
      <c r="C660" s="743"/>
      <c r="D660" s="743"/>
      <c r="E660" s="743"/>
      <c r="F660" s="743"/>
      <c r="G660" s="743"/>
      <c r="H660" s="743"/>
      <c r="I660" s="743"/>
      <c r="J660" s="743"/>
      <c r="K660" s="743"/>
      <c r="L660" s="743"/>
      <c r="M660" s="743"/>
      <c r="N660" s="744"/>
      <c r="O660" s="744"/>
      <c r="P660" s="744"/>
      <c r="Q660" s="743"/>
      <c r="R660" s="743"/>
      <c r="S660" s="743"/>
    </row>
    <row r="661" spans="1:19" ht="13">
      <c r="A661" s="743"/>
      <c r="B661" s="743"/>
      <c r="C661" s="743"/>
      <c r="D661" s="743"/>
      <c r="E661" s="743"/>
      <c r="F661" s="743"/>
      <c r="G661" s="743"/>
      <c r="H661" s="743"/>
      <c r="I661" s="743"/>
      <c r="J661" s="743"/>
      <c r="K661" s="743"/>
      <c r="L661" s="743"/>
      <c r="M661" s="743"/>
      <c r="N661" s="744"/>
      <c r="O661" s="744"/>
      <c r="P661" s="744"/>
      <c r="Q661" s="743"/>
      <c r="R661" s="743"/>
      <c r="S661" s="743"/>
    </row>
    <row r="662" spans="1:19" ht="13">
      <c r="A662" s="743"/>
      <c r="B662" s="743"/>
      <c r="C662" s="743"/>
      <c r="D662" s="743"/>
      <c r="E662" s="743"/>
      <c r="F662" s="743"/>
      <c r="G662" s="743"/>
      <c r="H662" s="743"/>
      <c r="I662" s="743"/>
      <c r="J662" s="743"/>
      <c r="K662" s="743"/>
      <c r="L662" s="743"/>
      <c r="M662" s="743"/>
      <c r="N662" s="744"/>
      <c r="O662" s="744"/>
      <c r="P662" s="744"/>
      <c r="Q662" s="743"/>
      <c r="R662" s="743"/>
      <c r="S662" s="743"/>
    </row>
    <row r="663" spans="1:19" ht="13">
      <c r="A663" s="743"/>
      <c r="B663" s="743"/>
      <c r="C663" s="743"/>
      <c r="D663" s="743"/>
      <c r="E663" s="743"/>
      <c r="F663" s="743"/>
      <c r="G663" s="743"/>
      <c r="H663" s="743"/>
      <c r="I663" s="743"/>
      <c r="J663" s="743"/>
      <c r="K663" s="743"/>
      <c r="L663" s="743"/>
      <c r="M663" s="743"/>
      <c r="N663" s="744"/>
      <c r="O663" s="744"/>
      <c r="P663" s="744"/>
      <c r="Q663" s="743"/>
      <c r="R663" s="743"/>
      <c r="S663" s="743"/>
    </row>
    <row r="664" spans="1:19" ht="13">
      <c r="A664" s="743"/>
      <c r="B664" s="743"/>
      <c r="C664" s="743"/>
      <c r="D664" s="743"/>
      <c r="E664" s="743"/>
      <c r="F664" s="743"/>
      <c r="G664" s="743"/>
      <c r="H664" s="743"/>
      <c r="I664" s="743"/>
      <c r="J664" s="743"/>
      <c r="K664" s="743"/>
      <c r="L664" s="743"/>
      <c r="M664" s="743"/>
      <c r="N664" s="744"/>
      <c r="O664" s="744"/>
      <c r="P664" s="744"/>
      <c r="Q664" s="743"/>
      <c r="R664" s="743"/>
      <c r="S664" s="743"/>
    </row>
    <row r="665" spans="1:19" ht="13">
      <c r="A665" s="743"/>
      <c r="B665" s="743"/>
      <c r="C665" s="743"/>
      <c r="D665" s="743"/>
      <c r="E665" s="743"/>
      <c r="F665" s="743"/>
      <c r="G665" s="743"/>
      <c r="H665" s="743"/>
      <c r="I665" s="743"/>
      <c r="J665" s="743"/>
      <c r="K665" s="743"/>
      <c r="L665" s="743"/>
      <c r="M665" s="743"/>
      <c r="N665" s="744"/>
      <c r="O665" s="744"/>
      <c r="P665" s="744"/>
      <c r="Q665" s="743"/>
      <c r="R665" s="743"/>
      <c r="S665" s="743"/>
    </row>
    <row r="666" spans="1:19" ht="13">
      <c r="A666" s="743"/>
      <c r="B666" s="743"/>
      <c r="C666" s="743"/>
      <c r="D666" s="743"/>
      <c r="E666" s="743"/>
      <c r="F666" s="743"/>
      <c r="G666" s="743"/>
      <c r="H666" s="743"/>
      <c r="I666" s="743"/>
      <c r="J666" s="743"/>
      <c r="K666" s="743"/>
      <c r="L666" s="743"/>
      <c r="M666" s="743"/>
      <c r="N666" s="744"/>
      <c r="O666" s="744"/>
      <c r="P666" s="744"/>
      <c r="Q666" s="743"/>
      <c r="R666" s="743"/>
      <c r="S666" s="743"/>
    </row>
    <row r="667" spans="1:19" ht="13">
      <c r="A667" s="743"/>
      <c r="B667" s="743"/>
      <c r="C667" s="743"/>
      <c r="D667" s="743"/>
      <c r="E667" s="743"/>
      <c r="F667" s="743"/>
      <c r="G667" s="743"/>
      <c r="H667" s="743"/>
      <c r="I667" s="743"/>
      <c r="J667" s="743"/>
      <c r="K667" s="743"/>
      <c r="L667" s="743"/>
      <c r="M667" s="743"/>
      <c r="N667" s="744"/>
      <c r="O667" s="744"/>
      <c r="P667" s="744"/>
      <c r="Q667" s="743"/>
      <c r="R667" s="743"/>
      <c r="S667" s="743"/>
    </row>
    <row r="668" spans="1:19" ht="13">
      <c r="A668" s="743"/>
      <c r="B668" s="743"/>
      <c r="C668" s="743"/>
      <c r="D668" s="743"/>
      <c r="E668" s="743"/>
      <c r="F668" s="743"/>
      <c r="G668" s="743"/>
      <c r="H668" s="743"/>
      <c r="I668" s="743"/>
      <c r="J668" s="743"/>
      <c r="K668" s="743"/>
      <c r="L668" s="743"/>
      <c r="M668" s="743"/>
      <c r="N668" s="744"/>
      <c r="O668" s="744"/>
      <c r="P668" s="744"/>
      <c r="Q668" s="743"/>
      <c r="R668" s="743"/>
      <c r="S668" s="743"/>
    </row>
    <row r="669" spans="1:19" ht="13">
      <c r="A669" s="743"/>
      <c r="B669" s="743"/>
      <c r="C669" s="743"/>
      <c r="D669" s="743"/>
      <c r="E669" s="743"/>
      <c r="F669" s="743"/>
      <c r="G669" s="743"/>
      <c r="H669" s="743"/>
      <c r="I669" s="743"/>
      <c r="J669" s="743"/>
      <c r="K669" s="743"/>
      <c r="L669" s="743"/>
      <c r="M669" s="743"/>
      <c r="N669" s="744"/>
      <c r="O669" s="744"/>
      <c r="P669" s="744"/>
      <c r="Q669" s="743"/>
      <c r="R669" s="743"/>
      <c r="S669" s="743"/>
    </row>
    <row r="670" spans="1:19" ht="13">
      <c r="A670" s="743"/>
      <c r="B670" s="743"/>
      <c r="C670" s="743"/>
      <c r="D670" s="743"/>
      <c r="E670" s="743"/>
      <c r="F670" s="743"/>
      <c r="G670" s="743"/>
      <c r="H670" s="743"/>
      <c r="I670" s="743"/>
      <c r="J670" s="743"/>
      <c r="K670" s="743"/>
      <c r="L670" s="743"/>
      <c r="M670" s="743"/>
      <c r="N670" s="744"/>
      <c r="O670" s="744"/>
      <c r="P670" s="744"/>
      <c r="Q670" s="743"/>
      <c r="R670" s="743"/>
      <c r="S670" s="743"/>
    </row>
    <row r="671" spans="1:19" ht="13">
      <c r="A671" s="743"/>
      <c r="B671" s="743"/>
      <c r="C671" s="743"/>
      <c r="D671" s="743"/>
      <c r="E671" s="743"/>
      <c r="F671" s="743"/>
      <c r="G671" s="743"/>
      <c r="H671" s="743"/>
      <c r="I671" s="743"/>
      <c r="J671" s="743"/>
      <c r="K671" s="743"/>
      <c r="L671" s="743"/>
      <c r="M671" s="743"/>
      <c r="N671" s="744"/>
      <c r="O671" s="744"/>
      <c r="P671" s="744"/>
      <c r="Q671" s="743"/>
      <c r="R671" s="743"/>
      <c r="S671" s="743"/>
    </row>
    <row r="672" spans="1:19" ht="13">
      <c r="A672" s="743"/>
      <c r="B672" s="743"/>
      <c r="C672" s="743"/>
      <c r="D672" s="743"/>
      <c r="E672" s="743"/>
      <c r="F672" s="743"/>
      <c r="G672" s="743"/>
      <c r="H672" s="743"/>
      <c r="I672" s="743"/>
      <c r="J672" s="743"/>
      <c r="K672" s="743"/>
      <c r="L672" s="743"/>
      <c r="M672" s="743"/>
      <c r="N672" s="744"/>
      <c r="O672" s="744"/>
      <c r="P672" s="744"/>
      <c r="Q672" s="743"/>
      <c r="R672" s="743"/>
      <c r="S672" s="743"/>
    </row>
    <row r="673" spans="1:19" ht="13">
      <c r="A673" s="743"/>
      <c r="B673" s="743"/>
      <c r="C673" s="743"/>
      <c r="D673" s="743"/>
      <c r="E673" s="743"/>
      <c r="F673" s="743"/>
      <c r="G673" s="743"/>
      <c r="H673" s="743"/>
      <c r="I673" s="743"/>
      <c r="J673" s="743"/>
      <c r="K673" s="743"/>
      <c r="L673" s="743"/>
      <c r="M673" s="743"/>
      <c r="N673" s="744"/>
      <c r="O673" s="744"/>
      <c r="P673" s="744"/>
      <c r="Q673" s="743"/>
      <c r="R673" s="743"/>
      <c r="S673" s="743"/>
    </row>
    <row r="674" spans="1:19" ht="13">
      <c r="A674" s="743"/>
      <c r="B674" s="743"/>
      <c r="C674" s="743"/>
      <c r="D674" s="743"/>
      <c r="E674" s="743"/>
      <c r="F674" s="743"/>
      <c r="G674" s="743"/>
      <c r="H674" s="743"/>
      <c r="I674" s="743"/>
      <c r="J674" s="743"/>
      <c r="K674" s="743"/>
      <c r="L674" s="743"/>
      <c r="M674" s="743"/>
      <c r="N674" s="744"/>
      <c r="O674" s="744"/>
      <c r="P674" s="744"/>
      <c r="Q674" s="743"/>
      <c r="R674" s="743"/>
      <c r="S674" s="743"/>
    </row>
    <row r="675" spans="1:19" ht="13">
      <c r="A675" s="743"/>
      <c r="B675" s="743"/>
      <c r="C675" s="743"/>
      <c r="D675" s="743"/>
      <c r="E675" s="743"/>
      <c r="F675" s="743"/>
      <c r="G675" s="743"/>
      <c r="H675" s="743"/>
      <c r="I675" s="743"/>
      <c r="J675" s="743"/>
      <c r="K675" s="743"/>
      <c r="L675" s="743"/>
      <c r="M675" s="743"/>
      <c r="N675" s="744"/>
      <c r="O675" s="744"/>
      <c r="P675" s="744"/>
      <c r="Q675" s="743"/>
      <c r="R675" s="743"/>
      <c r="S675" s="743"/>
    </row>
    <row r="676" spans="1:19" ht="13">
      <c r="A676" s="743"/>
      <c r="B676" s="743"/>
      <c r="C676" s="743"/>
      <c r="D676" s="743"/>
      <c r="E676" s="743"/>
      <c r="F676" s="743"/>
      <c r="G676" s="743"/>
      <c r="H676" s="743"/>
      <c r="I676" s="743"/>
      <c r="J676" s="743"/>
      <c r="K676" s="743"/>
      <c r="L676" s="743"/>
      <c r="M676" s="743"/>
      <c r="N676" s="744"/>
      <c r="O676" s="744"/>
      <c r="P676" s="744"/>
      <c r="Q676" s="743"/>
      <c r="R676" s="743"/>
      <c r="S676" s="743"/>
    </row>
    <row r="677" spans="1:19" ht="13">
      <c r="A677" s="743"/>
      <c r="B677" s="743"/>
      <c r="C677" s="743"/>
      <c r="D677" s="743"/>
      <c r="E677" s="743"/>
      <c r="F677" s="743"/>
      <c r="G677" s="743"/>
      <c r="H677" s="743"/>
      <c r="I677" s="743"/>
      <c r="J677" s="743"/>
      <c r="K677" s="743"/>
      <c r="L677" s="743"/>
      <c r="M677" s="743"/>
      <c r="N677" s="744"/>
      <c r="O677" s="744"/>
      <c r="P677" s="744"/>
      <c r="Q677" s="743"/>
      <c r="R677" s="743"/>
      <c r="S677" s="743"/>
    </row>
    <row r="678" spans="1:19" ht="13">
      <c r="A678" s="743"/>
      <c r="B678" s="743"/>
      <c r="C678" s="743"/>
      <c r="D678" s="743"/>
      <c r="E678" s="743"/>
      <c r="F678" s="743"/>
      <c r="G678" s="743"/>
      <c r="H678" s="743"/>
      <c r="I678" s="743"/>
      <c r="J678" s="743"/>
      <c r="K678" s="743"/>
      <c r="L678" s="743"/>
      <c r="M678" s="743"/>
      <c r="N678" s="744"/>
      <c r="O678" s="744"/>
      <c r="P678" s="744"/>
      <c r="Q678" s="743"/>
      <c r="R678" s="743"/>
      <c r="S678" s="743"/>
    </row>
    <row r="679" spans="1:19" ht="13">
      <c r="A679" s="743"/>
      <c r="B679" s="743"/>
      <c r="C679" s="743"/>
      <c r="D679" s="743"/>
      <c r="E679" s="743"/>
      <c r="F679" s="743"/>
      <c r="G679" s="743"/>
      <c r="H679" s="743"/>
      <c r="I679" s="743"/>
      <c r="J679" s="743"/>
      <c r="K679" s="743"/>
      <c r="L679" s="743"/>
      <c r="M679" s="743"/>
      <c r="N679" s="744"/>
      <c r="O679" s="744"/>
      <c r="P679" s="744"/>
      <c r="Q679" s="743"/>
      <c r="R679" s="743"/>
      <c r="S679" s="743"/>
    </row>
    <row r="680" spans="1:19" ht="13">
      <c r="A680" s="743"/>
      <c r="B680" s="743"/>
      <c r="C680" s="743"/>
      <c r="D680" s="743"/>
      <c r="E680" s="743"/>
      <c r="F680" s="743"/>
      <c r="G680" s="743"/>
      <c r="H680" s="743"/>
      <c r="I680" s="743"/>
      <c r="J680" s="743"/>
      <c r="K680" s="743"/>
      <c r="L680" s="743"/>
      <c r="M680" s="743"/>
      <c r="N680" s="744"/>
      <c r="O680" s="744"/>
      <c r="P680" s="744"/>
      <c r="Q680" s="743"/>
      <c r="R680" s="743"/>
      <c r="S680" s="743"/>
    </row>
    <row r="681" spans="1:19" ht="13">
      <c r="A681" s="743"/>
      <c r="B681" s="743"/>
      <c r="C681" s="743"/>
      <c r="D681" s="743"/>
      <c r="E681" s="743"/>
      <c r="F681" s="743"/>
      <c r="G681" s="743"/>
      <c r="H681" s="743"/>
      <c r="I681" s="743"/>
      <c r="J681" s="743"/>
      <c r="K681" s="743"/>
      <c r="L681" s="743"/>
      <c r="M681" s="743"/>
      <c r="N681" s="744"/>
      <c r="O681" s="744"/>
      <c r="P681" s="744"/>
      <c r="Q681" s="743"/>
      <c r="R681" s="743"/>
      <c r="S681" s="743"/>
    </row>
    <row r="682" spans="1:19" ht="13">
      <c r="A682" s="743"/>
      <c r="B682" s="743"/>
      <c r="C682" s="743"/>
      <c r="D682" s="743"/>
      <c r="E682" s="743"/>
      <c r="F682" s="743"/>
      <c r="G682" s="743"/>
      <c r="H682" s="743"/>
      <c r="I682" s="743"/>
      <c r="J682" s="743"/>
      <c r="K682" s="743"/>
      <c r="L682" s="743"/>
      <c r="M682" s="743"/>
      <c r="N682" s="744"/>
      <c r="O682" s="744"/>
      <c r="P682" s="744"/>
      <c r="Q682" s="743"/>
      <c r="R682" s="743"/>
      <c r="S682" s="743"/>
    </row>
    <row r="683" spans="1:19" ht="13">
      <c r="A683" s="743"/>
      <c r="B683" s="743"/>
      <c r="C683" s="743"/>
      <c r="D683" s="743"/>
      <c r="E683" s="743"/>
      <c r="F683" s="743"/>
      <c r="G683" s="743"/>
      <c r="H683" s="743"/>
      <c r="I683" s="743"/>
      <c r="J683" s="743"/>
      <c r="K683" s="743"/>
      <c r="L683" s="743"/>
      <c r="M683" s="743"/>
      <c r="N683" s="744"/>
      <c r="O683" s="744"/>
      <c r="P683" s="744"/>
      <c r="Q683" s="743"/>
      <c r="R683" s="743"/>
      <c r="S683" s="743"/>
    </row>
    <row r="684" spans="1:19" ht="13">
      <c r="A684" s="743"/>
      <c r="B684" s="743"/>
      <c r="C684" s="743"/>
      <c r="D684" s="743"/>
      <c r="E684" s="743"/>
      <c r="F684" s="743"/>
      <c r="G684" s="743"/>
      <c r="H684" s="743"/>
      <c r="I684" s="743"/>
      <c r="J684" s="743"/>
      <c r="K684" s="743"/>
      <c r="L684" s="743"/>
      <c r="M684" s="743"/>
      <c r="N684" s="744"/>
      <c r="O684" s="744"/>
      <c r="P684" s="744"/>
      <c r="Q684" s="743"/>
      <c r="R684" s="743"/>
      <c r="S684" s="743"/>
    </row>
    <row r="685" spans="1:19" ht="13">
      <c r="A685" s="743"/>
      <c r="B685" s="743"/>
      <c r="C685" s="743"/>
      <c r="D685" s="743"/>
      <c r="E685" s="743"/>
      <c r="F685" s="743"/>
      <c r="G685" s="743"/>
      <c r="H685" s="743"/>
      <c r="I685" s="743"/>
      <c r="J685" s="743"/>
      <c r="K685" s="743"/>
      <c r="L685" s="743"/>
      <c r="M685" s="743"/>
      <c r="N685" s="744"/>
      <c r="O685" s="744"/>
      <c r="P685" s="744"/>
      <c r="Q685" s="743"/>
      <c r="R685" s="743"/>
      <c r="S685" s="743"/>
    </row>
    <row r="686" spans="1:19" ht="13">
      <c r="A686" s="743"/>
      <c r="B686" s="743"/>
      <c r="C686" s="743"/>
      <c r="D686" s="743"/>
      <c r="E686" s="743"/>
      <c r="F686" s="743"/>
      <c r="G686" s="743"/>
      <c r="H686" s="743"/>
      <c r="I686" s="743"/>
      <c r="J686" s="743"/>
      <c r="K686" s="743"/>
      <c r="L686" s="743"/>
      <c r="M686" s="743"/>
      <c r="N686" s="744"/>
      <c r="O686" s="744"/>
      <c r="P686" s="744"/>
      <c r="Q686" s="743"/>
      <c r="R686" s="743"/>
      <c r="S686" s="743"/>
    </row>
    <row r="687" spans="1:19" ht="13">
      <c r="A687" s="743"/>
      <c r="B687" s="743"/>
      <c r="C687" s="743"/>
      <c r="D687" s="743"/>
      <c r="E687" s="743"/>
      <c r="F687" s="743"/>
      <c r="G687" s="743"/>
      <c r="H687" s="743"/>
      <c r="I687" s="743"/>
      <c r="J687" s="743"/>
      <c r="K687" s="743"/>
      <c r="L687" s="743"/>
      <c r="M687" s="743"/>
      <c r="N687" s="744"/>
      <c r="O687" s="744"/>
      <c r="P687" s="744"/>
      <c r="Q687" s="743"/>
      <c r="R687" s="743"/>
      <c r="S687" s="743"/>
    </row>
    <row r="688" spans="1:19" ht="13">
      <c r="A688" s="743"/>
      <c r="B688" s="743"/>
      <c r="C688" s="743"/>
      <c r="D688" s="743"/>
      <c r="E688" s="743"/>
      <c r="F688" s="743"/>
      <c r="G688" s="743"/>
      <c r="H688" s="743"/>
      <c r="I688" s="743"/>
      <c r="J688" s="743"/>
      <c r="K688" s="743"/>
      <c r="L688" s="743"/>
      <c r="M688" s="743"/>
      <c r="N688" s="744"/>
      <c r="O688" s="744"/>
      <c r="P688" s="744"/>
      <c r="Q688" s="743"/>
      <c r="R688" s="743"/>
      <c r="S688" s="743"/>
    </row>
    <row r="689" spans="1:19" ht="13">
      <c r="A689" s="743"/>
      <c r="B689" s="743"/>
      <c r="C689" s="743"/>
      <c r="D689" s="743"/>
      <c r="E689" s="743"/>
      <c r="F689" s="743"/>
      <c r="G689" s="743"/>
      <c r="H689" s="743"/>
      <c r="I689" s="743"/>
      <c r="J689" s="743"/>
      <c r="K689" s="743"/>
      <c r="L689" s="743"/>
      <c r="M689" s="743"/>
      <c r="N689" s="744"/>
      <c r="O689" s="744"/>
      <c r="P689" s="744"/>
      <c r="Q689" s="743"/>
      <c r="R689" s="743"/>
      <c r="S689" s="743"/>
    </row>
    <row r="690" spans="1:19" ht="13">
      <c r="A690" s="743"/>
      <c r="B690" s="743"/>
      <c r="C690" s="743"/>
      <c r="D690" s="743"/>
      <c r="E690" s="743"/>
      <c r="F690" s="743"/>
      <c r="G690" s="743"/>
      <c r="H690" s="743"/>
      <c r="I690" s="743"/>
      <c r="J690" s="743"/>
      <c r="K690" s="743"/>
      <c r="L690" s="743"/>
      <c r="M690" s="743"/>
      <c r="N690" s="744"/>
      <c r="O690" s="744"/>
      <c r="P690" s="744"/>
      <c r="Q690" s="743"/>
      <c r="R690" s="743"/>
      <c r="S690" s="743"/>
    </row>
    <row r="691" spans="1:19" ht="13">
      <c r="A691" s="743"/>
      <c r="B691" s="743"/>
      <c r="C691" s="743"/>
      <c r="D691" s="743"/>
      <c r="E691" s="743"/>
      <c r="F691" s="743"/>
      <c r="G691" s="743"/>
      <c r="H691" s="743"/>
      <c r="I691" s="743"/>
      <c r="J691" s="743"/>
      <c r="K691" s="743"/>
      <c r="L691" s="743"/>
      <c r="M691" s="743"/>
      <c r="N691" s="744"/>
      <c r="O691" s="744"/>
      <c r="P691" s="744"/>
      <c r="Q691" s="743"/>
      <c r="R691" s="743"/>
      <c r="S691" s="743"/>
    </row>
    <row r="692" spans="1:19" ht="13">
      <c r="A692" s="743"/>
      <c r="B692" s="743"/>
      <c r="C692" s="743"/>
      <c r="D692" s="743"/>
      <c r="E692" s="743"/>
      <c r="F692" s="743"/>
      <c r="G692" s="743"/>
      <c r="H692" s="743"/>
      <c r="I692" s="743"/>
      <c r="J692" s="743"/>
      <c r="K692" s="743"/>
      <c r="L692" s="743"/>
      <c r="M692" s="743"/>
      <c r="N692" s="744"/>
      <c r="O692" s="744"/>
      <c r="P692" s="744"/>
      <c r="Q692" s="743"/>
      <c r="R692" s="743"/>
      <c r="S692" s="743"/>
    </row>
    <row r="693" spans="1:19" ht="13">
      <c r="A693" s="743"/>
      <c r="B693" s="743"/>
      <c r="C693" s="743"/>
      <c r="D693" s="743"/>
      <c r="E693" s="743"/>
      <c r="F693" s="743"/>
      <c r="G693" s="743"/>
      <c r="H693" s="743"/>
      <c r="I693" s="743"/>
      <c r="J693" s="743"/>
      <c r="K693" s="743"/>
      <c r="L693" s="743"/>
      <c r="M693" s="743"/>
      <c r="N693" s="744"/>
      <c r="O693" s="744"/>
      <c r="P693" s="744"/>
      <c r="Q693" s="743"/>
      <c r="R693" s="743"/>
      <c r="S693" s="743"/>
    </row>
    <row r="694" spans="1:19" ht="13">
      <c r="A694" s="743"/>
      <c r="B694" s="743"/>
      <c r="C694" s="743"/>
      <c r="D694" s="743"/>
      <c r="E694" s="743"/>
      <c r="F694" s="743"/>
      <c r="G694" s="743"/>
      <c r="H694" s="743"/>
      <c r="I694" s="743"/>
      <c r="J694" s="743"/>
      <c r="K694" s="743"/>
      <c r="L694" s="743"/>
      <c r="M694" s="743"/>
      <c r="N694" s="744"/>
      <c r="O694" s="744"/>
      <c r="P694" s="744"/>
      <c r="Q694" s="743"/>
      <c r="R694" s="743"/>
      <c r="S694" s="743"/>
    </row>
    <row r="695" spans="1:19" ht="13">
      <c r="A695" s="743"/>
      <c r="B695" s="743"/>
      <c r="C695" s="743"/>
      <c r="D695" s="743"/>
      <c r="E695" s="743"/>
      <c r="F695" s="743"/>
      <c r="G695" s="743"/>
      <c r="H695" s="743"/>
      <c r="I695" s="743"/>
      <c r="J695" s="743"/>
      <c r="K695" s="743"/>
      <c r="L695" s="743"/>
      <c r="M695" s="743"/>
      <c r="N695" s="744"/>
      <c r="O695" s="744"/>
      <c r="P695" s="744"/>
      <c r="Q695" s="743"/>
      <c r="R695" s="743"/>
      <c r="S695" s="743"/>
    </row>
    <row r="696" spans="1:19" ht="13">
      <c r="A696" s="743"/>
      <c r="B696" s="743"/>
      <c r="C696" s="743"/>
      <c r="D696" s="743"/>
      <c r="E696" s="743"/>
      <c r="F696" s="743"/>
      <c r="G696" s="743"/>
      <c r="H696" s="743"/>
      <c r="I696" s="743"/>
      <c r="J696" s="743"/>
      <c r="K696" s="743"/>
      <c r="L696" s="743"/>
      <c r="M696" s="743"/>
      <c r="N696" s="744"/>
      <c r="O696" s="744"/>
      <c r="P696" s="744"/>
      <c r="Q696" s="743"/>
      <c r="R696" s="743"/>
      <c r="S696" s="743"/>
    </row>
    <row r="697" spans="1:19" ht="13">
      <c r="A697" s="743"/>
      <c r="B697" s="743"/>
      <c r="C697" s="743"/>
      <c r="D697" s="743"/>
      <c r="E697" s="743"/>
      <c r="F697" s="743"/>
      <c r="G697" s="743"/>
      <c r="H697" s="743"/>
      <c r="I697" s="743"/>
      <c r="J697" s="743"/>
      <c r="K697" s="743"/>
      <c r="L697" s="743"/>
      <c r="M697" s="743"/>
      <c r="N697" s="744"/>
      <c r="O697" s="744"/>
      <c r="P697" s="744"/>
      <c r="Q697" s="743"/>
      <c r="R697" s="743"/>
      <c r="S697" s="743"/>
    </row>
    <row r="698" spans="1:19" ht="13">
      <c r="A698" s="743"/>
      <c r="B698" s="743"/>
      <c r="C698" s="743"/>
      <c r="D698" s="743"/>
      <c r="E698" s="743"/>
      <c r="F698" s="743"/>
      <c r="G698" s="743"/>
      <c r="H698" s="743"/>
      <c r="I698" s="743"/>
      <c r="J698" s="743"/>
      <c r="K698" s="743"/>
      <c r="L698" s="743"/>
      <c r="M698" s="743"/>
      <c r="N698" s="744"/>
      <c r="O698" s="744"/>
      <c r="P698" s="744"/>
      <c r="Q698" s="743"/>
      <c r="R698" s="743"/>
      <c r="S698" s="743"/>
    </row>
    <row r="699" spans="1:19" ht="13">
      <c r="A699" s="743"/>
      <c r="B699" s="743"/>
      <c r="C699" s="743"/>
      <c r="D699" s="743"/>
      <c r="E699" s="743"/>
      <c r="F699" s="743"/>
      <c r="G699" s="743"/>
      <c r="H699" s="743"/>
      <c r="I699" s="743"/>
      <c r="J699" s="743"/>
      <c r="K699" s="743"/>
      <c r="L699" s="743"/>
      <c r="M699" s="743"/>
      <c r="N699" s="744"/>
      <c r="O699" s="744"/>
      <c r="P699" s="744"/>
      <c r="Q699" s="743"/>
      <c r="R699" s="743"/>
      <c r="S699" s="743"/>
    </row>
    <row r="700" spans="1:19" ht="13">
      <c r="A700" s="743"/>
      <c r="B700" s="743"/>
      <c r="C700" s="743"/>
      <c r="D700" s="743"/>
      <c r="E700" s="743"/>
      <c r="F700" s="743"/>
      <c r="G700" s="743"/>
      <c r="H700" s="743"/>
      <c r="I700" s="743"/>
      <c r="J700" s="743"/>
      <c r="K700" s="743"/>
      <c r="L700" s="743"/>
      <c r="M700" s="743"/>
      <c r="N700" s="744"/>
      <c r="O700" s="744"/>
      <c r="P700" s="744"/>
      <c r="Q700" s="743"/>
      <c r="R700" s="743"/>
      <c r="S700" s="743"/>
    </row>
    <row r="701" spans="1:19" ht="13">
      <c r="A701" s="743"/>
      <c r="B701" s="743"/>
      <c r="C701" s="743"/>
      <c r="D701" s="743"/>
      <c r="E701" s="743"/>
      <c r="F701" s="743"/>
      <c r="G701" s="743"/>
      <c r="H701" s="743"/>
      <c r="I701" s="743"/>
      <c r="J701" s="743"/>
      <c r="K701" s="743"/>
      <c r="L701" s="743"/>
      <c r="M701" s="743"/>
      <c r="N701" s="744"/>
      <c r="O701" s="744"/>
      <c r="P701" s="744"/>
      <c r="Q701" s="743"/>
      <c r="R701" s="743"/>
      <c r="S701" s="743"/>
    </row>
    <row r="702" spans="1:19" ht="13">
      <c r="A702" s="743"/>
      <c r="B702" s="743"/>
      <c r="C702" s="743"/>
      <c r="D702" s="743"/>
      <c r="E702" s="743"/>
      <c r="F702" s="743"/>
      <c r="G702" s="743"/>
      <c r="H702" s="743"/>
      <c r="I702" s="743"/>
      <c r="J702" s="743"/>
      <c r="K702" s="743"/>
      <c r="L702" s="743"/>
      <c r="M702" s="743"/>
      <c r="N702" s="744"/>
      <c r="O702" s="744"/>
      <c r="P702" s="744"/>
      <c r="Q702" s="743"/>
      <c r="R702" s="743"/>
      <c r="S702" s="743"/>
    </row>
    <row r="703" spans="1:19" ht="13">
      <c r="A703" s="743"/>
      <c r="B703" s="743"/>
      <c r="C703" s="743"/>
      <c r="D703" s="743"/>
      <c r="E703" s="743"/>
      <c r="F703" s="743"/>
      <c r="G703" s="743"/>
      <c r="H703" s="743"/>
      <c r="I703" s="743"/>
      <c r="J703" s="743"/>
      <c r="K703" s="743"/>
      <c r="L703" s="743"/>
      <c r="M703" s="743"/>
      <c r="N703" s="744"/>
      <c r="O703" s="744"/>
      <c r="P703" s="744"/>
      <c r="Q703" s="743"/>
      <c r="R703" s="743"/>
      <c r="S703" s="743"/>
    </row>
    <row r="704" spans="1:19" ht="13">
      <c r="A704" s="743"/>
      <c r="B704" s="743"/>
      <c r="C704" s="743"/>
      <c r="D704" s="743"/>
      <c r="E704" s="743"/>
      <c r="F704" s="743"/>
      <c r="G704" s="743"/>
      <c r="H704" s="743"/>
      <c r="I704" s="743"/>
      <c r="J704" s="743"/>
      <c r="K704" s="743"/>
      <c r="L704" s="743"/>
      <c r="M704" s="743"/>
      <c r="N704" s="744"/>
      <c r="O704" s="744"/>
      <c r="P704" s="744"/>
      <c r="Q704" s="743"/>
      <c r="R704" s="743"/>
      <c r="S704" s="743"/>
    </row>
    <row r="705" spans="1:19" ht="13">
      <c r="A705" s="743"/>
      <c r="B705" s="743"/>
      <c r="C705" s="743"/>
      <c r="D705" s="743"/>
      <c r="E705" s="743"/>
      <c r="F705" s="743"/>
      <c r="G705" s="743"/>
      <c r="H705" s="743"/>
      <c r="I705" s="743"/>
      <c r="J705" s="743"/>
      <c r="K705" s="743"/>
      <c r="L705" s="743"/>
      <c r="M705" s="743"/>
      <c r="N705" s="744"/>
      <c r="O705" s="744"/>
      <c r="P705" s="744"/>
      <c r="Q705" s="743"/>
      <c r="R705" s="743"/>
      <c r="S705" s="743"/>
    </row>
    <row r="706" spans="1:19" ht="13">
      <c r="A706" s="743"/>
      <c r="B706" s="743"/>
      <c r="C706" s="743"/>
      <c r="D706" s="743"/>
      <c r="E706" s="743"/>
      <c r="F706" s="743"/>
      <c r="G706" s="743"/>
      <c r="H706" s="743"/>
      <c r="I706" s="743"/>
      <c r="J706" s="743"/>
      <c r="K706" s="743"/>
      <c r="L706" s="743"/>
      <c r="M706" s="743"/>
      <c r="N706" s="744"/>
      <c r="O706" s="744"/>
      <c r="P706" s="744"/>
      <c r="Q706" s="743"/>
      <c r="R706" s="743"/>
      <c r="S706" s="743"/>
    </row>
    <row r="707" spans="1:19" ht="13">
      <c r="A707" s="743"/>
      <c r="B707" s="743"/>
      <c r="C707" s="743"/>
      <c r="D707" s="743"/>
      <c r="E707" s="743"/>
      <c r="F707" s="743"/>
      <c r="G707" s="743"/>
      <c r="H707" s="743"/>
      <c r="I707" s="743"/>
      <c r="J707" s="743"/>
      <c r="K707" s="743"/>
      <c r="L707" s="743"/>
      <c r="M707" s="743"/>
      <c r="N707" s="744"/>
      <c r="O707" s="744"/>
      <c r="P707" s="744"/>
      <c r="Q707" s="743"/>
      <c r="R707" s="743"/>
      <c r="S707" s="743"/>
    </row>
    <row r="708" spans="1:19" ht="13">
      <c r="A708" s="743"/>
      <c r="B708" s="743"/>
      <c r="C708" s="743"/>
      <c r="D708" s="743"/>
      <c r="E708" s="743"/>
      <c r="F708" s="743"/>
      <c r="G708" s="743"/>
      <c r="H708" s="743"/>
      <c r="I708" s="743"/>
      <c r="J708" s="743"/>
      <c r="K708" s="743"/>
      <c r="L708" s="743"/>
      <c r="M708" s="743"/>
      <c r="N708" s="744"/>
      <c r="O708" s="744"/>
      <c r="P708" s="744"/>
      <c r="Q708" s="743"/>
      <c r="R708" s="743"/>
      <c r="S708" s="743"/>
    </row>
    <row r="709" spans="1:19" ht="13">
      <c r="A709" s="743"/>
      <c r="B709" s="743"/>
      <c r="C709" s="743"/>
      <c r="D709" s="743"/>
      <c r="E709" s="743"/>
      <c r="F709" s="743"/>
      <c r="G709" s="743"/>
      <c r="H709" s="743"/>
      <c r="I709" s="743"/>
      <c r="J709" s="743"/>
      <c r="K709" s="743"/>
      <c r="L709" s="743"/>
      <c r="M709" s="743"/>
      <c r="N709" s="744"/>
      <c r="O709" s="744"/>
      <c r="P709" s="744"/>
      <c r="Q709" s="743"/>
      <c r="R709" s="743"/>
      <c r="S709" s="743"/>
    </row>
    <row r="710" spans="1:19" ht="13">
      <c r="A710" s="743"/>
      <c r="B710" s="743"/>
      <c r="C710" s="743"/>
      <c r="D710" s="743"/>
      <c r="E710" s="743"/>
      <c r="F710" s="743"/>
      <c r="G710" s="743"/>
      <c r="H710" s="743"/>
      <c r="I710" s="743"/>
      <c r="J710" s="743"/>
      <c r="K710" s="743"/>
      <c r="L710" s="743"/>
      <c r="M710" s="743"/>
      <c r="N710" s="744"/>
      <c r="O710" s="744"/>
      <c r="P710" s="744"/>
      <c r="Q710" s="743"/>
      <c r="R710" s="743"/>
      <c r="S710" s="743"/>
    </row>
    <row r="711" spans="1:19" ht="13">
      <c r="A711" s="743"/>
      <c r="B711" s="743"/>
      <c r="C711" s="743"/>
      <c r="D711" s="743"/>
      <c r="E711" s="743"/>
      <c r="F711" s="743"/>
      <c r="G711" s="743"/>
      <c r="H711" s="743"/>
      <c r="I711" s="743"/>
      <c r="J711" s="743"/>
      <c r="K711" s="743"/>
      <c r="L711" s="743"/>
      <c r="M711" s="743"/>
      <c r="N711" s="744"/>
      <c r="O711" s="744"/>
      <c r="P711" s="744"/>
      <c r="Q711" s="743"/>
      <c r="R711" s="743"/>
      <c r="S711" s="743"/>
    </row>
    <row r="712" spans="1:19" ht="13">
      <c r="A712" s="743"/>
      <c r="B712" s="743"/>
      <c r="C712" s="743"/>
      <c r="D712" s="743"/>
      <c r="E712" s="743"/>
      <c r="F712" s="743"/>
      <c r="G712" s="743"/>
      <c r="H712" s="743"/>
      <c r="I712" s="743"/>
      <c r="J712" s="743"/>
      <c r="K712" s="743"/>
      <c r="L712" s="743"/>
      <c r="M712" s="743"/>
      <c r="N712" s="744"/>
      <c r="O712" s="744"/>
      <c r="P712" s="744"/>
      <c r="Q712" s="743"/>
      <c r="R712" s="743"/>
      <c r="S712" s="743"/>
    </row>
    <row r="713" spans="1:19" ht="13">
      <c r="A713" s="743"/>
      <c r="B713" s="743"/>
      <c r="C713" s="743"/>
      <c r="D713" s="743"/>
      <c r="E713" s="743"/>
      <c r="F713" s="743"/>
      <c r="G713" s="743"/>
      <c r="H713" s="743"/>
      <c r="I713" s="743"/>
      <c r="J713" s="743"/>
      <c r="K713" s="743"/>
      <c r="L713" s="743"/>
      <c r="M713" s="743"/>
      <c r="N713" s="744"/>
      <c r="O713" s="744"/>
      <c r="P713" s="744"/>
      <c r="Q713" s="743"/>
      <c r="R713" s="743"/>
      <c r="S713" s="743"/>
    </row>
    <row r="714" spans="1:19" ht="13">
      <c r="A714" s="743"/>
      <c r="B714" s="743"/>
      <c r="C714" s="743"/>
      <c r="D714" s="743"/>
      <c r="E714" s="743"/>
      <c r="F714" s="743"/>
      <c r="G714" s="743"/>
      <c r="H714" s="743"/>
      <c r="I714" s="743"/>
      <c r="J714" s="743"/>
      <c r="K714" s="743"/>
      <c r="L714" s="743"/>
      <c r="M714" s="743"/>
      <c r="N714" s="744"/>
      <c r="O714" s="744"/>
      <c r="P714" s="744"/>
      <c r="Q714" s="743"/>
      <c r="R714" s="743"/>
      <c r="S714" s="743"/>
    </row>
    <row r="715" spans="1:19" ht="13">
      <c r="A715" s="743"/>
      <c r="B715" s="743"/>
      <c r="C715" s="743"/>
      <c r="D715" s="743"/>
      <c r="E715" s="743"/>
      <c r="F715" s="743"/>
      <c r="G715" s="743"/>
      <c r="H715" s="743"/>
      <c r="I715" s="743"/>
      <c r="J715" s="743"/>
      <c r="K715" s="743"/>
      <c r="L715" s="743"/>
      <c r="M715" s="743"/>
      <c r="N715" s="744"/>
      <c r="O715" s="744"/>
      <c r="P715" s="744"/>
      <c r="Q715" s="743"/>
      <c r="R715" s="743"/>
      <c r="S715" s="743"/>
    </row>
    <row r="716" spans="1:19" ht="13">
      <c r="A716" s="743"/>
      <c r="B716" s="743"/>
      <c r="C716" s="743"/>
      <c r="D716" s="743"/>
      <c r="E716" s="743"/>
      <c r="F716" s="743"/>
      <c r="G716" s="743"/>
      <c r="H716" s="743"/>
      <c r="I716" s="743"/>
      <c r="J716" s="743"/>
      <c r="K716" s="743"/>
      <c r="L716" s="743"/>
      <c r="M716" s="743"/>
      <c r="N716" s="744"/>
      <c r="O716" s="744"/>
      <c r="P716" s="744"/>
      <c r="Q716" s="743"/>
      <c r="R716" s="743"/>
      <c r="S716" s="743"/>
    </row>
    <row r="717" spans="1:19" ht="13">
      <c r="A717" s="743"/>
      <c r="B717" s="743"/>
      <c r="C717" s="743"/>
      <c r="D717" s="743"/>
      <c r="E717" s="743"/>
      <c r="F717" s="743"/>
      <c r="G717" s="743"/>
      <c r="H717" s="743"/>
      <c r="I717" s="743"/>
      <c r="J717" s="743"/>
      <c r="K717" s="743"/>
      <c r="L717" s="743"/>
      <c r="M717" s="743"/>
      <c r="N717" s="744"/>
      <c r="O717" s="744"/>
      <c r="P717" s="744"/>
      <c r="Q717" s="743"/>
      <c r="R717" s="743"/>
      <c r="S717" s="743"/>
    </row>
    <row r="718" spans="1:19" ht="13">
      <c r="A718" s="743"/>
      <c r="B718" s="743"/>
      <c r="C718" s="743"/>
      <c r="D718" s="743"/>
      <c r="E718" s="743"/>
      <c r="F718" s="743"/>
      <c r="G718" s="743"/>
      <c r="H718" s="743"/>
      <c r="I718" s="743"/>
      <c r="J718" s="743"/>
      <c r="K718" s="743"/>
      <c r="L718" s="743"/>
      <c r="M718" s="743"/>
      <c r="N718" s="744"/>
      <c r="O718" s="744"/>
      <c r="P718" s="744"/>
      <c r="Q718" s="743"/>
      <c r="R718" s="743"/>
      <c r="S718" s="743"/>
    </row>
    <row r="719" spans="1:19" ht="13">
      <c r="A719" s="743"/>
      <c r="B719" s="743"/>
      <c r="C719" s="743"/>
      <c r="D719" s="743"/>
      <c r="E719" s="743"/>
      <c r="F719" s="743"/>
      <c r="G719" s="743"/>
      <c r="H719" s="743"/>
      <c r="I719" s="743"/>
      <c r="J719" s="743"/>
      <c r="K719" s="743"/>
      <c r="L719" s="743"/>
      <c r="M719" s="743"/>
      <c r="N719" s="744"/>
      <c r="O719" s="744"/>
      <c r="P719" s="744"/>
      <c r="Q719" s="743"/>
      <c r="R719" s="743"/>
      <c r="S719" s="743"/>
    </row>
    <row r="720" spans="1:19" ht="13">
      <c r="A720" s="743"/>
      <c r="B720" s="743"/>
      <c r="C720" s="743"/>
      <c r="D720" s="743"/>
      <c r="E720" s="743"/>
      <c r="F720" s="743"/>
      <c r="G720" s="743"/>
      <c r="H720" s="743"/>
      <c r="I720" s="743"/>
      <c r="J720" s="743"/>
      <c r="K720" s="743"/>
      <c r="L720" s="743"/>
      <c r="M720" s="743"/>
      <c r="N720" s="744"/>
      <c r="O720" s="744"/>
      <c r="P720" s="744"/>
      <c r="Q720" s="743"/>
      <c r="R720" s="743"/>
      <c r="S720" s="743"/>
    </row>
    <row r="721" spans="1:19" ht="13">
      <c r="A721" s="743"/>
      <c r="B721" s="743"/>
      <c r="C721" s="743"/>
      <c r="D721" s="743"/>
      <c r="E721" s="743"/>
      <c r="F721" s="743"/>
      <c r="G721" s="743"/>
      <c r="H721" s="743"/>
      <c r="I721" s="743"/>
      <c r="J721" s="743"/>
      <c r="K721" s="743"/>
      <c r="L721" s="743"/>
      <c r="M721" s="743"/>
      <c r="N721" s="744"/>
      <c r="O721" s="744"/>
      <c r="P721" s="744"/>
      <c r="Q721" s="743"/>
      <c r="R721" s="743"/>
      <c r="S721" s="743"/>
    </row>
    <row r="722" spans="1:19" ht="13">
      <c r="A722" s="743"/>
      <c r="B722" s="743"/>
      <c r="C722" s="743"/>
      <c r="D722" s="743"/>
      <c r="E722" s="743"/>
      <c r="F722" s="743"/>
      <c r="G722" s="743"/>
      <c r="H722" s="743"/>
      <c r="I722" s="743"/>
      <c r="J722" s="743"/>
      <c r="K722" s="743"/>
      <c r="L722" s="743"/>
      <c r="M722" s="743"/>
      <c r="N722" s="744"/>
      <c r="O722" s="744"/>
      <c r="P722" s="744"/>
      <c r="Q722" s="743"/>
      <c r="R722" s="743"/>
      <c r="S722" s="743"/>
    </row>
    <row r="723" spans="1:19" ht="13">
      <c r="A723" s="743"/>
      <c r="B723" s="743"/>
      <c r="C723" s="743"/>
      <c r="D723" s="743"/>
      <c r="E723" s="743"/>
      <c r="F723" s="743"/>
      <c r="G723" s="743"/>
      <c r="H723" s="743"/>
      <c r="I723" s="743"/>
      <c r="J723" s="743"/>
      <c r="K723" s="743"/>
      <c r="L723" s="743"/>
      <c r="M723" s="743"/>
      <c r="N723" s="744"/>
      <c r="O723" s="744"/>
      <c r="P723" s="744"/>
      <c r="Q723" s="743"/>
      <c r="R723" s="743"/>
      <c r="S723" s="743"/>
    </row>
    <row r="724" spans="1:19" ht="13">
      <c r="A724" s="743"/>
      <c r="B724" s="743"/>
      <c r="C724" s="743"/>
      <c r="D724" s="743"/>
      <c r="E724" s="743"/>
      <c r="F724" s="743"/>
      <c r="G724" s="743"/>
      <c r="H724" s="743"/>
      <c r="I724" s="743"/>
      <c r="J724" s="743"/>
      <c r="K724" s="743"/>
      <c r="L724" s="743"/>
      <c r="M724" s="743"/>
      <c r="N724" s="744"/>
      <c r="O724" s="744"/>
      <c r="P724" s="744"/>
      <c r="Q724" s="743"/>
      <c r="R724" s="743"/>
      <c r="S724" s="743"/>
    </row>
    <row r="725" spans="1:19" ht="13">
      <c r="A725" s="743"/>
      <c r="B725" s="743"/>
      <c r="C725" s="743"/>
      <c r="D725" s="743"/>
      <c r="E725" s="743"/>
      <c r="F725" s="743"/>
      <c r="G725" s="743"/>
      <c r="H725" s="743"/>
      <c r="I725" s="743"/>
      <c r="J725" s="743"/>
      <c r="K725" s="743"/>
      <c r="L725" s="743"/>
      <c r="M725" s="743"/>
      <c r="N725" s="744"/>
      <c r="O725" s="744"/>
      <c r="P725" s="744"/>
      <c r="Q725" s="743"/>
      <c r="R725" s="743"/>
      <c r="S725" s="743"/>
    </row>
    <row r="726" spans="1:19" ht="13">
      <c r="A726" s="743"/>
      <c r="B726" s="743"/>
      <c r="C726" s="743"/>
      <c r="D726" s="743"/>
      <c r="E726" s="743"/>
      <c r="F726" s="743"/>
      <c r="G726" s="743"/>
      <c r="H726" s="743"/>
      <c r="I726" s="743"/>
      <c r="J726" s="743"/>
      <c r="K726" s="743"/>
      <c r="L726" s="743"/>
      <c r="M726" s="743"/>
      <c r="N726" s="744"/>
      <c r="O726" s="744"/>
      <c r="P726" s="744"/>
      <c r="Q726" s="743"/>
      <c r="R726" s="743"/>
      <c r="S726" s="743"/>
    </row>
    <row r="727" spans="1:19" ht="13">
      <c r="A727" s="743"/>
      <c r="B727" s="743"/>
      <c r="C727" s="743"/>
      <c r="D727" s="743"/>
      <c r="E727" s="743"/>
      <c r="F727" s="743"/>
      <c r="G727" s="743"/>
      <c r="H727" s="743"/>
      <c r="I727" s="743"/>
      <c r="J727" s="743"/>
      <c r="K727" s="743"/>
      <c r="L727" s="743"/>
      <c r="M727" s="743"/>
      <c r="N727" s="744"/>
      <c r="O727" s="744"/>
      <c r="P727" s="744"/>
      <c r="Q727" s="743"/>
      <c r="R727" s="743"/>
      <c r="S727" s="743"/>
    </row>
    <row r="728" spans="1:19" ht="13">
      <c r="A728" s="743"/>
      <c r="B728" s="743"/>
      <c r="C728" s="743"/>
      <c r="D728" s="743"/>
      <c r="E728" s="743"/>
      <c r="F728" s="743"/>
      <c r="G728" s="743"/>
      <c r="H728" s="743"/>
      <c r="I728" s="743"/>
      <c r="J728" s="743"/>
      <c r="K728" s="743"/>
      <c r="L728" s="743"/>
      <c r="M728" s="743"/>
      <c r="N728" s="744"/>
      <c r="O728" s="744"/>
      <c r="P728" s="744"/>
      <c r="Q728" s="743"/>
      <c r="R728" s="743"/>
      <c r="S728" s="743"/>
    </row>
    <row r="729" spans="1:19" ht="13">
      <c r="A729" s="743"/>
      <c r="B729" s="743"/>
      <c r="C729" s="743"/>
      <c r="D729" s="743"/>
      <c r="E729" s="743"/>
      <c r="F729" s="743"/>
      <c r="G729" s="743"/>
      <c r="H729" s="743"/>
      <c r="I729" s="743"/>
      <c r="J729" s="743"/>
      <c r="K729" s="743"/>
      <c r="L729" s="743"/>
      <c r="M729" s="743"/>
      <c r="N729" s="744"/>
      <c r="O729" s="744"/>
      <c r="P729" s="744"/>
      <c r="Q729" s="743"/>
      <c r="R729" s="743"/>
      <c r="S729" s="743"/>
    </row>
    <row r="730" spans="1:19" ht="13">
      <c r="A730" s="743"/>
      <c r="B730" s="743"/>
      <c r="C730" s="743"/>
      <c r="D730" s="743"/>
      <c r="E730" s="743"/>
      <c r="F730" s="743"/>
      <c r="G730" s="743"/>
      <c r="H730" s="743"/>
      <c r="I730" s="743"/>
      <c r="J730" s="743"/>
      <c r="K730" s="743"/>
      <c r="L730" s="743"/>
      <c r="M730" s="743"/>
      <c r="N730" s="744"/>
      <c r="O730" s="744"/>
      <c r="P730" s="744"/>
      <c r="Q730" s="743"/>
      <c r="R730" s="743"/>
      <c r="S730" s="743"/>
    </row>
    <row r="731" spans="1:19" ht="13">
      <c r="A731" s="743"/>
      <c r="B731" s="743"/>
      <c r="C731" s="743"/>
      <c r="D731" s="743"/>
      <c r="E731" s="743"/>
      <c r="F731" s="743"/>
      <c r="G731" s="743"/>
      <c r="H731" s="743"/>
      <c r="I731" s="743"/>
      <c r="J731" s="743"/>
      <c r="K731" s="743"/>
      <c r="L731" s="743"/>
      <c r="M731" s="743"/>
      <c r="N731" s="744"/>
      <c r="O731" s="744"/>
      <c r="P731" s="744"/>
      <c r="Q731" s="743"/>
      <c r="R731" s="743"/>
      <c r="S731" s="743"/>
    </row>
    <row r="732" spans="1:19" ht="13">
      <c r="A732" s="743"/>
      <c r="B732" s="743"/>
      <c r="C732" s="743"/>
      <c r="D732" s="743"/>
      <c r="E732" s="743"/>
      <c r="F732" s="743"/>
      <c r="G732" s="743"/>
      <c r="H732" s="743"/>
      <c r="I732" s="743"/>
      <c r="J732" s="743"/>
      <c r="K732" s="743"/>
      <c r="L732" s="743"/>
      <c r="M732" s="743"/>
      <c r="N732" s="744"/>
      <c r="O732" s="744"/>
      <c r="P732" s="744"/>
      <c r="Q732" s="743"/>
      <c r="R732" s="743"/>
      <c r="S732" s="743"/>
    </row>
    <row r="733" spans="1:19" ht="13">
      <c r="A733" s="743"/>
      <c r="B733" s="743"/>
      <c r="C733" s="743"/>
      <c r="D733" s="743"/>
      <c r="E733" s="743"/>
      <c r="F733" s="743"/>
      <c r="G733" s="743"/>
      <c r="H733" s="743"/>
      <c r="I733" s="743"/>
      <c r="J733" s="743"/>
      <c r="K733" s="743"/>
      <c r="L733" s="743"/>
      <c r="M733" s="743"/>
      <c r="N733" s="744"/>
      <c r="O733" s="744"/>
      <c r="P733" s="744"/>
      <c r="Q733" s="743"/>
      <c r="R733" s="743"/>
      <c r="S733" s="743"/>
    </row>
    <row r="734" spans="1:19" ht="13">
      <c r="A734" s="743"/>
      <c r="B734" s="743"/>
      <c r="C734" s="743"/>
      <c r="D734" s="743"/>
      <c r="E734" s="743"/>
      <c r="F734" s="743"/>
      <c r="G734" s="743"/>
      <c r="H734" s="743"/>
      <c r="I734" s="743"/>
      <c r="J734" s="743"/>
      <c r="K734" s="743"/>
      <c r="L734" s="743"/>
      <c r="M734" s="743"/>
      <c r="N734" s="744"/>
      <c r="O734" s="744"/>
      <c r="P734" s="744"/>
      <c r="Q734" s="743"/>
      <c r="R734" s="743"/>
      <c r="S734" s="743"/>
    </row>
    <row r="735" spans="1:19" ht="13">
      <c r="A735" s="743"/>
      <c r="B735" s="743"/>
      <c r="C735" s="743"/>
      <c r="D735" s="743"/>
      <c r="E735" s="743"/>
      <c r="F735" s="743"/>
      <c r="G735" s="743"/>
      <c r="H735" s="743"/>
      <c r="I735" s="743"/>
      <c r="J735" s="743"/>
      <c r="K735" s="743"/>
      <c r="L735" s="743"/>
      <c r="M735" s="743"/>
      <c r="N735" s="744"/>
      <c r="O735" s="744"/>
      <c r="P735" s="744"/>
      <c r="Q735" s="743"/>
      <c r="R735" s="743"/>
      <c r="S735" s="743"/>
    </row>
    <row r="736" spans="1:19" ht="13">
      <c r="A736" s="743"/>
      <c r="B736" s="743"/>
      <c r="C736" s="743"/>
      <c r="D736" s="743"/>
      <c r="E736" s="743"/>
      <c r="F736" s="743"/>
      <c r="G736" s="743"/>
      <c r="H736" s="743"/>
      <c r="I736" s="743"/>
      <c r="J736" s="743"/>
      <c r="K736" s="743"/>
      <c r="L736" s="743"/>
      <c r="M736" s="743"/>
      <c r="N736" s="744"/>
      <c r="O736" s="744"/>
      <c r="P736" s="744"/>
      <c r="Q736" s="743"/>
      <c r="R736" s="743"/>
      <c r="S736" s="743"/>
    </row>
    <row r="737" spans="1:19" ht="13">
      <c r="A737" s="743"/>
      <c r="B737" s="743"/>
      <c r="C737" s="743"/>
      <c r="D737" s="743"/>
      <c r="E737" s="743"/>
      <c r="F737" s="743"/>
      <c r="G737" s="743"/>
      <c r="H737" s="743"/>
      <c r="I737" s="743"/>
      <c r="J737" s="743"/>
      <c r="K737" s="743"/>
      <c r="L737" s="743"/>
      <c r="M737" s="743"/>
      <c r="N737" s="744"/>
      <c r="O737" s="744"/>
      <c r="P737" s="744"/>
      <c r="Q737" s="743"/>
      <c r="R737" s="743"/>
      <c r="S737" s="743"/>
    </row>
    <row r="738" spans="1:19" ht="13">
      <c r="A738" s="743"/>
      <c r="B738" s="743"/>
      <c r="C738" s="743"/>
      <c r="D738" s="743"/>
      <c r="E738" s="743"/>
      <c r="F738" s="743"/>
      <c r="G738" s="743"/>
      <c r="H738" s="743"/>
      <c r="I738" s="743"/>
      <c r="J738" s="743"/>
      <c r="K738" s="743"/>
      <c r="L738" s="743"/>
      <c r="M738" s="743"/>
      <c r="N738" s="744"/>
      <c r="O738" s="744"/>
      <c r="P738" s="744"/>
      <c r="Q738" s="743"/>
      <c r="R738" s="743"/>
      <c r="S738" s="743"/>
    </row>
    <row r="739" spans="1:19" ht="13">
      <c r="A739" s="743"/>
      <c r="B739" s="743"/>
      <c r="C739" s="743"/>
      <c r="D739" s="743"/>
      <c r="E739" s="743"/>
      <c r="F739" s="743"/>
      <c r="G739" s="743"/>
      <c r="H739" s="743"/>
      <c r="I739" s="743"/>
      <c r="J739" s="743"/>
      <c r="K739" s="743"/>
      <c r="L739" s="743"/>
      <c r="M739" s="743"/>
      <c r="N739" s="744"/>
      <c r="O739" s="744"/>
      <c r="P739" s="744"/>
      <c r="Q739" s="743"/>
      <c r="R739" s="743"/>
      <c r="S739" s="743"/>
    </row>
    <row r="740" spans="1:19" ht="13">
      <c r="A740" s="743"/>
      <c r="B740" s="743"/>
      <c r="C740" s="743"/>
      <c r="D740" s="743"/>
      <c r="E740" s="743"/>
      <c r="F740" s="743"/>
      <c r="G740" s="743"/>
      <c r="H740" s="743"/>
      <c r="I740" s="743"/>
      <c r="J740" s="743"/>
      <c r="K740" s="743"/>
      <c r="L740" s="743"/>
      <c r="M740" s="743"/>
      <c r="N740" s="744"/>
      <c r="O740" s="744"/>
      <c r="P740" s="744"/>
      <c r="Q740" s="743"/>
      <c r="R740" s="743"/>
      <c r="S740" s="743"/>
    </row>
    <row r="741" spans="1:19" ht="13">
      <c r="A741" s="743"/>
      <c r="B741" s="743"/>
      <c r="C741" s="743"/>
      <c r="D741" s="743"/>
      <c r="E741" s="743"/>
      <c r="F741" s="743"/>
      <c r="G741" s="743"/>
      <c r="H741" s="743"/>
      <c r="I741" s="743"/>
      <c r="J741" s="743"/>
      <c r="K741" s="743"/>
      <c r="L741" s="743"/>
      <c r="M741" s="743"/>
      <c r="N741" s="744"/>
      <c r="O741" s="744"/>
      <c r="P741" s="744"/>
      <c r="Q741" s="743"/>
      <c r="R741" s="743"/>
      <c r="S741" s="743"/>
    </row>
    <row r="742" spans="1:19" ht="13">
      <c r="A742" s="743"/>
      <c r="B742" s="743"/>
      <c r="C742" s="743"/>
      <c r="D742" s="743"/>
      <c r="E742" s="743"/>
      <c r="F742" s="743"/>
      <c r="G742" s="743"/>
      <c r="H742" s="743"/>
      <c r="I742" s="743"/>
      <c r="J742" s="743"/>
      <c r="K742" s="743"/>
      <c r="L742" s="743"/>
      <c r="M742" s="743"/>
      <c r="N742" s="744"/>
      <c r="O742" s="744"/>
      <c r="P742" s="744"/>
      <c r="Q742" s="743"/>
      <c r="R742" s="743"/>
      <c r="S742" s="743"/>
    </row>
    <row r="743" spans="1:19" ht="13">
      <c r="A743" s="743"/>
      <c r="B743" s="743"/>
      <c r="C743" s="743"/>
      <c r="D743" s="743"/>
      <c r="E743" s="743"/>
      <c r="F743" s="743"/>
      <c r="G743" s="743"/>
      <c r="H743" s="743"/>
      <c r="I743" s="743"/>
      <c r="J743" s="743"/>
      <c r="K743" s="743"/>
      <c r="L743" s="743"/>
      <c r="M743" s="743"/>
      <c r="N743" s="744"/>
      <c r="O743" s="744"/>
      <c r="P743" s="744"/>
      <c r="Q743" s="743"/>
      <c r="R743" s="743"/>
      <c r="S743" s="743"/>
    </row>
    <row r="744" spans="1:19" ht="13">
      <c r="A744" s="743"/>
      <c r="B744" s="743"/>
      <c r="C744" s="743"/>
      <c r="D744" s="743"/>
      <c r="E744" s="743"/>
      <c r="F744" s="743"/>
      <c r="G744" s="743"/>
      <c r="H744" s="743"/>
      <c r="I744" s="743"/>
      <c r="J744" s="743"/>
      <c r="K744" s="743"/>
      <c r="L744" s="743"/>
      <c r="M744" s="743"/>
      <c r="N744" s="744"/>
      <c r="O744" s="744"/>
      <c r="P744" s="744"/>
      <c r="Q744" s="743"/>
      <c r="R744" s="743"/>
      <c r="S744" s="743"/>
    </row>
    <row r="745" spans="1:19" ht="13">
      <c r="A745" s="743"/>
      <c r="B745" s="743"/>
      <c r="C745" s="743"/>
      <c r="D745" s="743"/>
      <c r="E745" s="743"/>
      <c r="F745" s="743"/>
      <c r="G745" s="743"/>
      <c r="H745" s="743"/>
      <c r="I745" s="743"/>
      <c r="J745" s="743"/>
      <c r="K745" s="743"/>
      <c r="L745" s="743"/>
      <c r="M745" s="743"/>
      <c r="N745" s="744"/>
      <c r="O745" s="744"/>
      <c r="P745" s="744"/>
      <c r="Q745" s="743"/>
      <c r="R745" s="743"/>
      <c r="S745" s="743"/>
    </row>
    <row r="746" spans="1:19" ht="13">
      <c r="A746" s="743"/>
      <c r="B746" s="743"/>
      <c r="C746" s="743"/>
      <c r="D746" s="743"/>
      <c r="E746" s="743"/>
      <c r="F746" s="743"/>
      <c r="G746" s="743"/>
      <c r="H746" s="743"/>
      <c r="I746" s="743"/>
      <c r="J746" s="743"/>
      <c r="K746" s="743"/>
      <c r="L746" s="743"/>
      <c r="M746" s="743"/>
      <c r="N746" s="744"/>
      <c r="O746" s="744"/>
      <c r="P746" s="744"/>
      <c r="Q746" s="743"/>
      <c r="R746" s="743"/>
      <c r="S746" s="743"/>
    </row>
    <row r="747" spans="1:19" ht="13">
      <c r="A747" s="743"/>
      <c r="B747" s="743"/>
      <c r="C747" s="743"/>
      <c r="D747" s="743"/>
      <c r="E747" s="743"/>
      <c r="F747" s="743"/>
      <c r="G747" s="743"/>
      <c r="H747" s="743"/>
      <c r="I747" s="743"/>
      <c r="J747" s="743"/>
      <c r="K747" s="743"/>
      <c r="L747" s="743"/>
      <c r="M747" s="743"/>
      <c r="N747" s="744"/>
      <c r="O747" s="744"/>
      <c r="P747" s="744"/>
      <c r="Q747" s="743"/>
      <c r="R747" s="743"/>
      <c r="S747" s="743"/>
    </row>
    <row r="748" spans="1:19" ht="13">
      <c r="A748" s="743"/>
      <c r="B748" s="743"/>
      <c r="C748" s="743"/>
      <c r="D748" s="743"/>
      <c r="E748" s="743"/>
      <c r="F748" s="743"/>
      <c r="G748" s="743"/>
      <c r="H748" s="743"/>
      <c r="I748" s="743"/>
      <c r="J748" s="743"/>
      <c r="K748" s="743"/>
      <c r="L748" s="743"/>
      <c r="M748" s="743"/>
      <c r="N748" s="744"/>
      <c r="O748" s="744"/>
      <c r="P748" s="744"/>
      <c r="Q748" s="743"/>
      <c r="R748" s="743"/>
      <c r="S748" s="743"/>
    </row>
    <row r="749" spans="1:19" ht="13">
      <c r="A749" s="743"/>
      <c r="B749" s="743"/>
      <c r="C749" s="743"/>
      <c r="D749" s="743"/>
      <c r="E749" s="743"/>
      <c r="F749" s="743"/>
      <c r="G749" s="743"/>
      <c r="H749" s="743"/>
      <c r="I749" s="743"/>
      <c r="J749" s="743"/>
      <c r="K749" s="743"/>
      <c r="L749" s="743"/>
      <c r="M749" s="743"/>
      <c r="N749" s="744"/>
      <c r="O749" s="744"/>
      <c r="P749" s="744"/>
      <c r="Q749" s="743"/>
      <c r="R749" s="743"/>
      <c r="S749" s="743"/>
    </row>
    <row r="750" spans="1:19" ht="13">
      <c r="A750" s="743"/>
      <c r="B750" s="743"/>
      <c r="C750" s="743"/>
      <c r="D750" s="743"/>
      <c r="E750" s="743"/>
      <c r="F750" s="743"/>
      <c r="G750" s="743"/>
      <c r="H750" s="743"/>
      <c r="I750" s="743"/>
      <c r="J750" s="743"/>
      <c r="K750" s="743"/>
      <c r="L750" s="743"/>
      <c r="M750" s="743"/>
      <c r="N750" s="744"/>
      <c r="O750" s="744"/>
      <c r="P750" s="744"/>
      <c r="Q750" s="743"/>
      <c r="R750" s="743"/>
      <c r="S750" s="743"/>
    </row>
    <row r="751" spans="1:19" ht="13">
      <c r="A751" s="743"/>
      <c r="B751" s="743"/>
      <c r="C751" s="743"/>
      <c r="D751" s="743"/>
      <c r="E751" s="743"/>
      <c r="F751" s="743"/>
      <c r="G751" s="743"/>
      <c r="H751" s="743"/>
      <c r="I751" s="743"/>
      <c r="J751" s="743"/>
      <c r="K751" s="743"/>
      <c r="L751" s="743"/>
      <c r="M751" s="743"/>
      <c r="N751" s="744"/>
      <c r="O751" s="744"/>
      <c r="P751" s="744"/>
      <c r="Q751" s="743"/>
      <c r="R751" s="743"/>
      <c r="S751" s="743"/>
    </row>
    <row r="752" spans="1:19" ht="13">
      <c r="A752" s="743"/>
      <c r="B752" s="743"/>
      <c r="C752" s="743"/>
      <c r="D752" s="743"/>
      <c r="E752" s="743"/>
      <c r="F752" s="743"/>
      <c r="G752" s="743"/>
      <c r="H752" s="743"/>
      <c r="I752" s="743"/>
      <c r="J752" s="743"/>
      <c r="K752" s="743"/>
      <c r="L752" s="743"/>
      <c r="M752" s="743"/>
      <c r="N752" s="744"/>
      <c r="O752" s="744"/>
      <c r="P752" s="744"/>
      <c r="Q752" s="743"/>
      <c r="R752" s="743"/>
      <c r="S752" s="743"/>
    </row>
    <row r="753" spans="1:19" ht="13">
      <c r="A753" s="743"/>
      <c r="B753" s="743"/>
      <c r="C753" s="743"/>
      <c r="D753" s="743"/>
      <c r="E753" s="743"/>
      <c r="F753" s="743"/>
      <c r="G753" s="743"/>
      <c r="H753" s="743"/>
      <c r="I753" s="743"/>
      <c r="J753" s="743"/>
      <c r="K753" s="743"/>
      <c r="L753" s="743"/>
      <c r="M753" s="743"/>
      <c r="N753" s="744"/>
      <c r="O753" s="744"/>
      <c r="P753" s="744"/>
      <c r="Q753" s="743"/>
      <c r="R753" s="743"/>
      <c r="S753" s="743"/>
    </row>
    <row r="754" spans="1:19" ht="13">
      <c r="A754" s="743"/>
      <c r="B754" s="743"/>
      <c r="C754" s="743"/>
      <c r="D754" s="743"/>
      <c r="E754" s="743"/>
      <c r="F754" s="743"/>
      <c r="G754" s="743"/>
      <c r="H754" s="743"/>
      <c r="I754" s="743"/>
      <c r="J754" s="743"/>
      <c r="K754" s="743"/>
      <c r="L754" s="743"/>
      <c r="M754" s="743"/>
      <c r="N754" s="744"/>
      <c r="O754" s="744"/>
      <c r="P754" s="744"/>
      <c r="Q754" s="743"/>
      <c r="R754" s="743"/>
      <c r="S754" s="743"/>
    </row>
    <row r="755" spans="1:19" ht="13">
      <c r="A755" s="743"/>
      <c r="B755" s="743"/>
      <c r="C755" s="743"/>
      <c r="D755" s="743"/>
      <c r="E755" s="743"/>
      <c r="F755" s="743"/>
      <c r="G755" s="743"/>
      <c r="H755" s="743"/>
      <c r="I755" s="743"/>
      <c r="J755" s="743"/>
      <c r="K755" s="743"/>
      <c r="L755" s="743"/>
      <c r="M755" s="743"/>
      <c r="N755" s="744"/>
      <c r="O755" s="744"/>
      <c r="P755" s="744"/>
      <c r="Q755" s="743"/>
      <c r="R755" s="743"/>
      <c r="S755" s="743"/>
    </row>
    <row r="756" spans="1:19" ht="13">
      <c r="A756" s="743"/>
      <c r="B756" s="743"/>
      <c r="C756" s="743"/>
      <c r="D756" s="743"/>
      <c r="E756" s="743"/>
      <c r="F756" s="743"/>
      <c r="G756" s="743"/>
      <c r="H756" s="743"/>
      <c r="I756" s="743"/>
      <c r="J756" s="743"/>
      <c r="K756" s="743"/>
      <c r="L756" s="743"/>
      <c r="M756" s="743"/>
      <c r="N756" s="744"/>
      <c r="O756" s="744"/>
      <c r="P756" s="744"/>
      <c r="Q756" s="743"/>
      <c r="R756" s="743"/>
      <c r="S756" s="743"/>
    </row>
    <row r="757" spans="1:19" ht="13">
      <c r="A757" s="743"/>
      <c r="B757" s="743"/>
      <c r="C757" s="743"/>
      <c r="D757" s="743"/>
      <c r="E757" s="743"/>
      <c r="F757" s="743"/>
      <c r="G757" s="743"/>
      <c r="H757" s="743"/>
      <c r="I757" s="743"/>
      <c r="J757" s="743"/>
      <c r="K757" s="743"/>
      <c r="L757" s="743"/>
      <c r="M757" s="743"/>
      <c r="N757" s="744"/>
      <c r="O757" s="744"/>
      <c r="P757" s="744"/>
      <c r="Q757" s="743"/>
      <c r="R757" s="743"/>
      <c r="S757" s="743"/>
    </row>
    <row r="758" spans="1:19" ht="13">
      <c r="A758" s="743"/>
      <c r="B758" s="743"/>
      <c r="C758" s="743"/>
      <c r="D758" s="743"/>
      <c r="E758" s="743"/>
      <c r="F758" s="743"/>
      <c r="G758" s="743"/>
      <c r="H758" s="743"/>
      <c r="I758" s="743"/>
      <c r="J758" s="743"/>
      <c r="K758" s="743"/>
      <c r="L758" s="743"/>
      <c r="M758" s="743"/>
      <c r="N758" s="744"/>
      <c r="O758" s="744"/>
      <c r="P758" s="744"/>
      <c r="Q758" s="743"/>
      <c r="R758" s="743"/>
      <c r="S758" s="743"/>
    </row>
    <row r="759" spans="1:19" ht="13">
      <c r="A759" s="743"/>
      <c r="B759" s="743"/>
      <c r="C759" s="743"/>
      <c r="D759" s="743"/>
      <c r="E759" s="743"/>
      <c r="F759" s="743"/>
      <c r="G759" s="743"/>
      <c r="H759" s="743"/>
      <c r="I759" s="743"/>
      <c r="J759" s="743"/>
      <c r="K759" s="743"/>
      <c r="L759" s="743"/>
      <c r="M759" s="743"/>
      <c r="N759" s="744"/>
      <c r="O759" s="744"/>
      <c r="P759" s="744"/>
      <c r="Q759" s="743"/>
      <c r="R759" s="743"/>
      <c r="S759" s="743"/>
    </row>
    <row r="760" spans="1:19" ht="13">
      <c r="A760" s="743"/>
      <c r="B760" s="743"/>
      <c r="C760" s="743"/>
      <c r="D760" s="743"/>
      <c r="E760" s="743"/>
      <c r="F760" s="743"/>
      <c r="G760" s="743"/>
      <c r="H760" s="743"/>
      <c r="I760" s="743"/>
      <c r="J760" s="743"/>
      <c r="K760" s="743"/>
      <c r="L760" s="743"/>
      <c r="M760" s="743"/>
      <c r="N760" s="744"/>
      <c r="O760" s="744"/>
      <c r="P760" s="744"/>
      <c r="Q760" s="743"/>
      <c r="R760" s="743"/>
      <c r="S760" s="743"/>
    </row>
    <row r="761" spans="1:19" ht="13">
      <c r="A761" s="743"/>
      <c r="B761" s="743"/>
      <c r="C761" s="743"/>
      <c r="D761" s="743"/>
      <c r="E761" s="743"/>
      <c r="F761" s="743"/>
      <c r="G761" s="743"/>
      <c r="H761" s="743"/>
      <c r="I761" s="743"/>
      <c r="J761" s="743"/>
      <c r="K761" s="743"/>
      <c r="L761" s="743"/>
      <c r="M761" s="743"/>
      <c r="N761" s="744"/>
      <c r="O761" s="744"/>
      <c r="P761" s="744"/>
      <c r="Q761" s="743"/>
      <c r="R761" s="743"/>
      <c r="S761" s="743"/>
    </row>
    <row r="762" spans="1:19" ht="13">
      <c r="A762" s="743"/>
      <c r="B762" s="743"/>
      <c r="C762" s="743"/>
      <c r="D762" s="743"/>
      <c r="E762" s="743"/>
      <c r="F762" s="743"/>
      <c r="G762" s="743"/>
      <c r="H762" s="743"/>
      <c r="I762" s="743"/>
      <c r="J762" s="743"/>
      <c r="K762" s="743"/>
      <c r="L762" s="743"/>
      <c r="M762" s="743"/>
      <c r="N762" s="744"/>
      <c r="O762" s="744"/>
      <c r="P762" s="744"/>
      <c r="Q762" s="743"/>
      <c r="R762" s="743"/>
      <c r="S762" s="743"/>
    </row>
    <row r="763" spans="1:19" ht="13">
      <c r="A763" s="743"/>
      <c r="B763" s="743"/>
      <c r="C763" s="743"/>
      <c r="D763" s="743"/>
      <c r="E763" s="743"/>
      <c r="F763" s="743"/>
      <c r="G763" s="743"/>
      <c r="H763" s="743"/>
      <c r="I763" s="743"/>
      <c r="J763" s="743"/>
      <c r="K763" s="743"/>
      <c r="L763" s="743"/>
      <c r="M763" s="743"/>
      <c r="N763" s="744"/>
      <c r="O763" s="744"/>
      <c r="P763" s="744"/>
      <c r="Q763" s="743"/>
      <c r="R763" s="743"/>
      <c r="S763" s="743"/>
    </row>
    <row r="764" spans="1:19" ht="13">
      <c r="A764" s="743"/>
      <c r="B764" s="743"/>
      <c r="C764" s="743"/>
      <c r="D764" s="743"/>
      <c r="E764" s="743"/>
      <c r="F764" s="743"/>
      <c r="G764" s="743"/>
      <c r="H764" s="743"/>
      <c r="I764" s="743"/>
      <c r="J764" s="743"/>
      <c r="K764" s="743"/>
      <c r="L764" s="743"/>
      <c r="M764" s="743"/>
      <c r="N764" s="744"/>
      <c r="O764" s="744"/>
      <c r="P764" s="744"/>
      <c r="Q764" s="743"/>
      <c r="R764" s="743"/>
      <c r="S764" s="743"/>
    </row>
    <row r="765" spans="1:19" ht="13">
      <c r="A765" s="743"/>
      <c r="B765" s="743"/>
      <c r="C765" s="743"/>
      <c r="D765" s="743"/>
      <c r="E765" s="743"/>
      <c r="F765" s="743"/>
      <c r="G765" s="743"/>
      <c r="H765" s="743"/>
      <c r="I765" s="743"/>
      <c r="J765" s="743"/>
      <c r="K765" s="743"/>
      <c r="L765" s="743"/>
      <c r="M765" s="743"/>
      <c r="N765" s="744"/>
      <c r="O765" s="744"/>
      <c r="P765" s="744"/>
      <c r="Q765" s="743"/>
      <c r="R765" s="743"/>
      <c r="S765" s="743"/>
    </row>
    <row r="766" spans="1:19" ht="13">
      <c r="A766" s="743"/>
      <c r="B766" s="743"/>
      <c r="C766" s="743"/>
      <c r="D766" s="743"/>
      <c r="E766" s="743"/>
      <c r="F766" s="743"/>
      <c r="G766" s="743"/>
      <c r="H766" s="743"/>
      <c r="I766" s="743"/>
      <c r="J766" s="743"/>
      <c r="K766" s="743"/>
      <c r="L766" s="743"/>
      <c r="M766" s="743"/>
      <c r="N766" s="744"/>
      <c r="O766" s="744"/>
      <c r="P766" s="744"/>
      <c r="Q766" s="743"/>
      <c r="R766" s="743"/>
      <c r="S766" s="743"/>
    </row>
    <row r="767" spans="1:19" ht="13">
      <c r="A767" s="743"/>
      <c r="B767" s="743"/>
      <c r="C767" s="743"/>
      <c r="D767" s="743"/>
      <c r="E767" s="743"/>
      <c r="F767" s="743"/>
      <c r="G767" s="743"/>
      <c r="H767" s="743"/>
      <c r="I767" s="743"/>
      <c r="J767" s="743"/>
      <c r="K767" s="743"/>
      <c r="L767" s="743"/>
      <c r="M767" s="743"/>
      <c r="N767" s="744"/>
      <c r="O767" s="744"/>
      <c r="P767" s="744"/>
      <c r="Q767" s="743"/>
      <c r="R767" s="743"/>
      <c r="S767" s="743"/>
    </row>
    <row r="768" spans="1:19" ht="13">
      <c r="A768" s="743"/>
      <c r="B768" s="743"/>
      <c r="C768" s="743"/>
      <c r="D768" s="743"/>
      <c r="E768" s="743"/>
      <c r="F768" s="743"/>
      <c r="G768" s="743"/>
      <c r="H768" s="743"/>
      <c r="I768" s="743"/>
      <c r="J768" s="743"/>
      <c r="K768" s="743"/>
      <c r="L768" s="743"/>
      <c r="M768" s="743"/>
      <c r="N768" s="744"/>
      <c r="O768" s="744"/>
      <c r="P768" s="744"/>
      <c r="Q768" s="743"/>
      <c r="R768" s="743"/>
      <c r="S768" s="743"/>
    </row>
    <row r="769" spans="1:19" ht="13">
      <c r="A769" s="743"/>
      <c r="B769" s="743"/>
      <c r="C769" s="743"/>
      <c r="D769" s="743"/>
      <c r="E769" s="743"/>
      <c r="F769" s="743"/>
      <c r="G769" s="743"/>
      <c r="H769" s="743"/>
      <c r="I769" s="743"/>
      <c r="J769" s="743"/>
      <c r="K769" s="743"/>
      <c r="L769" s="743"/>
      <c r="M769" s="743"/>
      <c r="N769" s="744"/>
      <c r="O769" s="744"/>
      <c r="P769" s="744"/>
      <c r="Q769" s="743"/>
      <c r="R769" s="743"/>
      <c r="S769" s="743"/>
    </row>
    <row r="770" spans="1:19" ht="13">
      <c r="A770" s="743"/>
      <c r="B770" s="743"/>
      <c r="C770" s="743"/>
      <c r="D770" s="743"/>
      <c r="E770" s="743"/>
      <c r="F770" s="743"/>
      <c r="G770" s="743"/>
      <c r="H770" s="743"/>
      <c r="I770" s="743"/>
      <c r="J770" s="743"/>
      <c r="K770" s="743"/>
      <c r="L770" s="743"/>
      <c r="M770" s="743"/>
      <c r="N770" s="744"/>
      <c r="O770" s="744"/>
      <c r="P770" s="744"/>
      <c r="Q770" s="743"/>
      <c r="R770" s="743"/>
      <c r="S770" s="743"/>
    </row>
    <row r="771" spans="1:19" ht="13">
      <c r="A771" s="743"/>
      <c r="B771" s="743"/>
      <c r="C771" s="743"/>
      <c r="D771" s="743"/>
      <c r="E771" s="743"/>
      <c r="F771" s="743"/>
      <c r="G771" s="743"/>
      <c r="H771" s="743"/>
      <c r="I771" s="743"/>
      <c r="J771" s="743"/>
      <c r="K771" s="743"/>
      <c r="L771" s="743"/>
      <c r="M771" s="743"/>
      <c r="N771" s="744"/>
      <c r="O771" s="744"/>
      <c r="P771" s="744"/>
      <c r="Q771" s="743"/>
      <c r="R771" s="743"/>
      <c r="S771" s="743"/>
    </row>
    <row r="772" spans="1:19" ht="13">
      <c r="A772" s="743"/>
      <c r="B772" s="743"/>
      <c r="C772" s="743"/>
      <c r="D772" s="743"/>
      <c r="E772" s="743"/>
      <c r="F772" s="743"/>
      <c r="G772" s="743"/>
      <c r="H772" s="743"/>
      <c r="I772" s="743"/>
      <c r="J772" s="743"/>
      <c r="K772" s="743"/>
      <c r="L772" s="743"/>
      <c r="M772" s="743"/>
      <c r="N772" s="744"/>
      <c r="O772" s="744"/>
      <c r="P772" s="744"/>
      <c r="Q772" s="743"/>
      <c r="R772" s="743"/>
      <c r="S772" s="743"/>
    </row>
    <row r="773" spans="1:19" ht="13">
      <c r="A773" s="743"/>
      <c r="B773" s="743"/>
      <c r="C773" s="743"/>
      <c r="D773" s="743"/>
      <c r="E773" s="743"/>
      <c r="F773" s="743"/>
      <c r="G773" s="743"/>
      <c r="H773" s="743"/>
      <c r="I773" s="743"/>
      <c r="J773" s="743"/>
      <c r="K773" s="743"/>
      <c r="L773" s="743"/>
      <c r="M773" s="743"/>
      <c r="N773" s="744"/>
      <c r="O773" s="744"/>
      <c r="P773" s="744"/>
      <c r="Q773" s="743"/>
      <c r="R773" s="743"/>
      <c r="S773" s="743"/>
    </row>
    <row r="774" spans="1:19" ht="13">
      <c r="A774" s="743"/>
      <c r="B774" s="743"/>
      <c r="C774" s="743"/>
      <c r="D774" s="743"/>
      <c r="E774" s="743"/>
      <c r="F774" s="743"/>
      <c r="G774" s="743"/>
      <c r="H774" s="743"/>
      <c r="I774" s="743"/>
      <c r="J774" s="743"/>
      <c r="K774" s="743"/>
      <c r="L774" s="743"/>
      <c r="M774" s="743"/>
      <c r="N774" s="744"/>
      <c r="O774" s="744"/>
      <c r="P774" s="744"/>
      <c r="Q774" s="743"/>
      <c r="R774" s="743"/>
      <c r="S774" s="743"/>
    </row>
    <row r="775" spans="1:19" ht="13">
      <c r="A775" s="743"/>
      <c r="B775" s="743"/>
      <c r="C775" s="743"/>
      <c r="D775" s="743"/>
      <c r="E775" s="743"/>
      <c r="F775" s="743"/>
      <c r="G775" s="743"/>
      <c r="H775" s="743"/>
      <c r="I775" s="743"/>
      <c r="J775" s="743"/>
      <c r="K775" s="743"/>
      <c r="L775" s="743"/>
      <c r="M775" s="743"/>
      <c r="N775" s="744"/>
      <c r="O775" s="744"/>
      <c r="P775" s="744"/>
      <c r="Q775" s="743"/>
      <c r="R775" s="743"/>
      <c r="S775" s="743"/>
    </row>
    <row r="776" spans="1:19" ht="13">
      <c r="A776" s="743"/>
      <c r="B776" s="743"/>
      <c r="C776" s="743"/>
      <c r="D776" s="743"/>
      <c r="E776" s="743"/>
      <c r="F776" s="743"/>
      <c r="G776" s="743"/>
      <c r="H776" s="743"/>
      <c r="I776" s="743"/>
      <c r="J776" s="743"/>
      <c r="K776" s="743"/>
      <c r="L776" s="743"/>
      <c r="M776" s="743"/>
      <c r="N776" s="744"/>
      <c r="O776" s="744"/>
      <c r="P776" s="744"/>
      <c r="Q776" s="743"/>
      <c r="R776" s="743"/>
      <c r="S776" s="743"/>
    </row>
    <row r="777" spans="1:19" ht="13">
      <c r="A777" s="743"/>
      <c r="B777" s="743"/>
      <c r="C777" s="743"/>
      <c r="D777" s="743"/>
      <c r="E777" s="743"/>
      <c r="F777" s="743"/>
      <c r="G777" s="743"/>
      <c r="H777" s="743"/>
      <c r="I777" s="743"/>
      <c r="J777" s="743"/>
      <c r="K777" s="743"/>
      <c r="L777" s="743"/>
      <c r="M777" s="743"/>
      <c r="N777" s="744"/>
      <c r="O777" s="744"/>
      <c r="P777" s="744"/>
      <c r="Q777" s="743"/>
      <c r="R777" s="743"/>
      <c r="S777" s="743"/>
    </row>
    <row r="778" spans="1:19" ht="13">
      <c r="A778" s="743"/>
      <c r="B778" s="743"/>
      <c r="C778" s="743"/>
      <c r="D778" s="743"/>
      <c r="E778" s="743"/>
      <c r="F778" s="743"/>
      <c r="G778" s="743"/>
      <c r="H778" s="743"/>
      <c r="I778" s="743"/>
      <c r="J778" s="743"/>
      <c r="K778" s="743"/>
      <c r="L778" s="743"/>
      <c r="M778" s="743"/>
      <c r="N778" s="744"/>
      <c r="O778" s="744"/>
      <c r="P778" s="744"/>
      <c r="Q778" s="743"/>
      <c r="R778" s="743"/>
      <c r="S778" s="743"/>
    </row>
    <row r="779" spans="1:19" ht="13">
      <c r="A779" s="743"/>
      <c r="B779" s="743"/>
      <c r="C779" s="743"/>
      <c r="D779" s="743"/>
      <c r="E779" s="743"/>
      <c r="F779" s="743"/>
      <c r="G779" s="743"/>
      <c r="H779" s="743"/>
      <c r="I779" s="743"/>
      <c r="J779" s="743"/>
      <c r="K779" s="743"/>
      <c r="L779" s="743"/>
      <c r="M779" s="743"/>
      <c r="N779" s="744"/>
      <c r="O779" s="744"/>
      <c r="P779" s="744"/>
      <c r="Q779" s="743"/>
      <c r="R779" s="743"/>
      <c r="S779" s="743"/>
    </row>
    <row r="780" spans="1:19" ht="13">
      <c r="A780" s="743"/>
      <c r="B780" s="743"/>
      <c r="C780" s="743"/>
      <c r="D780" s="743"/>
      <c r="E780" s="743"/>
      <c r="F780" s="743"/>
      <c r="G780" s="743"/>
      <c r="H780" s="743"/>
      <c r="I780" s="743"/>
      <c r="J780" s="743"/>
      <c r="K780" s="743"/>
      <c r="L780" s="743"/>
      <c r="M780" s="743"/>
      <c r="N780" s="744"/>
      <c r="O780" s="744"/>
      <c r="P780" s="744"/>
      <c r="Q780" s="743"/>
      <c r="R780" s="743"/>
      <c r="S780" s="743"/>
    </row>
    <row r="781" spans="1:19" ht="13">
      <c r="A781" s="743"/>
      <c r="B781" s="743"/>
      <c r="C781" s="743"/>
      <c r="D781" s="743"/>
      <c r="E781" s="743"/>
      <c r="F781" s="743"/>
      <c r="G781" s="743"/>
      <c r="H781" s="743"/>
      <c r="I781" s="743"/>
      <c r="J781" s="743"/>
      <c r="K781" s="743"/>
      <c r="L781" s="743"/>
      <c r="M781" s="743"/>
      <c r="N781" s="744"/>
      <c r="O781" s="744"/>
      <c r="P781" s="744"/>
      <c r="Q781" s="743"/>
      <c r="R781" s="743"/>
      <c r="S781" s="743"/>
    </row>
    <row r="782" spans="1:19" ht="13">
      <c r="A782" s="743"/>
      <c r="B782" s="743"/>
      <c r="C782" s="743"/>
      <c r="D782" s="743"/>
      <c r="E782" s="743"/>
      <c r="F782" s="743"/>
      <c r="G782" s="743"/>
      <c r="H782" s="743"/>
      <c r="I782" s="743"/>
      <c r="J782" s="743"/>
      <c r="K782" s="743"/>
      <c r="L782" s="743"/>
      <c r="M782" s="743"/>
      <c r="N782" s="744"/>
      <c r="O782" s="744"/>
      <c r="P782" s="744"/>
      <c r="Q782" s="743"/>
      <c r="R782" s="743"/>
      <c r="S782" s="743"/>
    </row>
    <row r="783" spans="1:19" ht="13">
      <c r="A783" s="743"/>
      <c r="B783" s="743"/>
      <c r="C783" s="743"/>
      <c r="D783" s="743"/>
      <c r="E783" s="743"/>
      <c r="F783" s="743"/>
      <c r="G783" s="743"/>
      <c r="H783" s="743"/>
      <c r="I783" s="743"/>
      <c r="J783" s="743"/>
      <c r="K783" s="743"/>
      <c r="L783" s="743"/>
      <c r="M783" s="743"/>
      <c r="N783" s="744"/>
      <c r="O783" s="744"/>
      <c r="P783" s="744"/>
      <c r="Q783" s="743"/>
      <c r="R783" s="743"/>
      <c r="S783" s="743"/>
    </row>
    <row r="784" spans="1:19" ht="13">
      <c r="A784" s="743"/>
      <c r="B784" s="743"/>
      <c r="C784" s="743"/>
      <c r="D784" s="743"/>
      <c r="E784" s="743"/>
      <c r="F784" s="743"/>
      <c r="G784" s="743"/>
      <c r="H784" s="743"/>
      <c r="I784" s="743"/>
      <c r="J784" s="743"/>
      <c r="K784" s="743"/>
      <c r="L784" s="743"/>
      <c r="M784" s="743"/>
      <c r="N784" s="744"/>
      <c r="O784" s="744"/>
      <c r="P784" s="744"/>
      <c r="Q784" s="743"/>
      <c r="R784" s="743"/>
      <c r="S784" s="743"/>
    </row>
    <row r="785" spans="1:19" ht="13">
      <c r="A785" s="743"/>
      <c r="B785" s="743"/>
      <c r="C785" s="743"/>
      <c r="D785" s="743"/>
      <c r="E785" s="743"/>
      <c r="F785" s="743"/>
      <c r="G785" s="743"/>
      <c r="H785" s="743"/>
      <c r="I785" s="743"/>
      <c r="J785" s="743"/>
      <c r="K785" s="743"/>
      <c r="L785" s="743"/>
      <c r="M785" s="743"/>
      <c r="N785" s="744"/>
      <c r="O785" s="744"/>
      <c r="P785" s="744"/>
      <c r="Q785" s="743"/>
      <c r="R785" s="743"/>
      <c r="S785" s="743"/>
    </row>
    <row r="786" spans="1:19" ht="13">
      <c r="A786" s="743"/>
      <c r="B786" s="743"/>
      <c r="C786" s="743"/>
      <c r="D786" s="743"/>
      <c r="E786" s="743"/>
      <c r="F786" s="743"/>
      <c r="G786" s="743"/>
      <c r="H786" s="743"/>
      <c r="I786" s="743"/>
      <c r="J786" s="743"/>
      <c r="K786" s="743"/>
      <c r="L786" s="743"/>
      <c r="M786" s="743"/>
      <c r="N786" s="744"/>
      <c r="O786" s="744"/>
      <c r="P786" s="744"/>
      <c r="Q786" s="743"/>
      <c r="R786" s="743"/>
      <c r="S786" s="743"/>
    </row>
    <row r="787" spans="1:19" ht="13">
      <c r="A787" s="743"/>
      <c r="B787" s="743"/>
      <c r="C787" s="743"/>
      <c r="D787" s="743"/>
      <c r="E787" s="743"/>
      <c r="F787" s="743"/>
      <c r="G787" s="743"/>
      <c r="H787" s="743"/>
      <c r="I787" s="743"/>
      <c r="J787" s="743"/>
      <c r="K787" s="743"/>
      <c r="L787" s="743"/>
      <c r="M787" s="743"/>
      <c r="N787" s="744"/>
      <c r="O787" s="744"/>
      <c r="P787" s="744"/>
      <c r="Q787" s="743"/>
      <c r="R787" s="743"/>
      <c r="S787" s="743"/>
    </row>
    <row r="788" spans="1:19" ht="13">
      <c r="A788" s="743"/>
      <c r="B788" s="743"/>
      <c r="C788" s="743"/>
      <c r="D788" s="743"/>
      <c r="E788" s="743"/>
      <c r="F788" s="743"/>
      <c r="G788" s="743"/>
      <c r="H788" s="743"/>
      <c r="I788" s="743"/>
      <c r="J788" s="743"/>
      <c r="K788" s="743"/>
      <c r="L788" s="743"/>
      <c r="M788" s="743"/>
      <c r="N788" s="744"/>
      <c r="O788" s="744"/>
      <c r="P788" s="744"/>
      <c r="Q788" s="743"/>
      <c r="R788" s="743"/>
      <c r="S788" s="743"/>
    </row>
    <row r="789" spans="1:19" ht="13">
      <c r="A789" s="743"/>
      <c r="B789" s="743"/>
      <c r="C789" s="743"/>
      <c r="D789" s="743"/>
      <c r="E789" s="743"/>
      <c r="F789" s="743"/>
      <c r="G789" s="743"/>
      <c r="H789" s="743"/>
      <c r="I789" s="743"/>
      <c r="J789" s="743"/>
      <c r="K789" s="743"/>
      <c r="L789" s="743"/>
      <c r="M789" s="743"/>
      <c r="N789" s="744"/>
      <c r="O789" s="744"/>
      <c r="P789" s="744"/>
      <c r="Q789" s="743"/>
      <c r="R789" s="743"/>
      <c r="S789" s="743"/>
    </row>
    <row r="790" spans="1:19" ht="13">
      <c r="A790" s="743"/>
      <c r="B790" s="743"/>
      <c r="C790" s="743"/>
      <c r="D790" s="743"/>
      <c r="E790" s="743"/>
      <c r="F790" s="743"/>
      <c r="G790" s="743"/>
      <c r="H790" s="743"/>
      <c r="I790" s="743"/>
      <c r="J790" s="743"/>
      <c r="K790" s="743"/>
      <c r="L790" s="743"/>
      <c r="M790" s="743"/>
      <c r="N790" s="744"/>
      <c r="O790" s="744"/>
      <c r="P790" s="744"/>
      <c r="Q790" s="743"/>
      <c r="R790" s="743"/>
      <c r="S790" s="743"/>
    </row>
    <row r="791" spans="1:19" ht="13">
      <c r="A791" s="743"/>
      <c r="B791" s="743"/>
      <c r="C791" s="743"/>
      <c r="D791" s="743"/>
      <c r="E791" s="743"/>
      <c r="F791" s="743"/>
      <c r="G791" s="743"/>
      <c r="H791" s="743"/>
      <c r="I791" s="743"/>
      <c r="J791" s="743"/>
      <c r="K791" s="743"/>
      <c r="L791" s="743"/>
      <c r="M791" s="743"/>
      <c r="N791" s="744"/>
      <c r="O791" s="744"/>
      <c r="P791" s="744"/>
      <c r="Q791" s="743"/>
      <c r="R791" s="743"/>
      <c r="S791" s="743"/>
    </row>
    <row r="792" spans="1:19" ht="13">
      <c r="A792" s="743"/>
      <c r="B792" s="743"/>
      <c r="C792" s="743"/>
      <c r="D792" s="743"/>
      <c r="E792" s="743"/>
      <c r="F792" s="743"/>
      <c r="G792" s="743"/>
      <c r="H792" s="743"/>
      <c r="I792" s="743"/>
      <c r="J792" s="743"/>
      <c r="K792" s="743"/>
      <c r="L792" s="743"/>
      <c r="M792" s="743"/>
      <c r="N792" s="744"/>
      <c r="O792" s="744"/>
      <c r="P792" s="744"/>
      <c r="Q792" s="743"/>
      <c r="R792" s="743"/>
      <c r="S792" s="743"/>
    </row>
    <row r="793" spans="1:19" ht="13">
      <c r="A793" s="743"/>
      <c r="B793" s="743"/>
      <c r="C793" s="743"/>
      <c r="D793" s="743"/>
      <c r="E793" s="743"/>
      <c r="F793" s="743"/>
      <c r="G793" s="743"/>
      <c r="H793" s="743"/>
      <c r="I793" s="743"/>
      <c r="J793" s="743"/>
      <c r="K793" s="743"/>
      <c r="L793" s="743"/>
      <c r="M793" s="743"/>
      <c r="N793" s="744"/>
      <c r="O793" s="744"/>
      <c r="P793" s="744"/>
      <c r="Q793" s="743"/>
      <c r="R793" s="743"/>
      <c r="S793" s="743"/>
    </row>
    <row r="794" spans="1:19" ht="13">
      <c r="A794" s="743"/>
      <c r="B794" s="743"/>
      <c r="C794" s="743"/>
      <c r="D794" s="743"/>
      <c r="E794" s="743"/>
      <c r="F794" s="743"/>
      <c r="G794" s="743"/>
      <c r="H794" s="743"/>
      <c r="I794" s="743"/>
      <c r="J794" s="743"/>
      <c r="K794" s="743"/>
      <c r="L794" s="743"/>
      <c r="M794" s="743"/>
      <c r="N794" s="744"/>
      <c r="O794" s="744"/>
      <c r="P794" s="744"/>
      <c r="Q794" s="743"/>
      <c r="R794" s="743"/>
      <c r="S794" s="743"/>
    </row>
    <row r="795" spans="1:19" ht="13">
      <c r="A795" s="743"/>
      <c r="B795" s="743"/>
      <c r="C795" s="743"/>
      <c r="D795" s="743"/>
      <c r="E795" s="743"/>
      <c r="F795" s="743"/>
      <c r="G795" s="743"/>
      <c r="H795" s="743"/>
      <c r="I795" s="743"/>
      <c r="J795" s="743"/>
      <c r="K795" s="743"/>
      <c r="L795" s="743"/>
      <c r="M795" s="743"/>
      <c r="N795" s="744"/>
      <c r="O795" s="744"/>
      <c r="P795" s="744"/>
      <c r="Q795" s="743"/>
      <c r="R795" s="743"/>
      <c r="S795" s="743"/>
    </row>
    <row r="796" spans="1:19" ht="13">
      <c r="A796" s="743"/>
      <c r="B796" s="743"/>
      <c r="C796" s="743"/>
      <c r="D796" s="743"/>
      <c r="E796" s="743"/>
      <c r="F796" s="743"/>
      <c r="G796" s="743"/>
      <c r="H796" s="743"/>
      <c r="I796" s="743"/>
      <c r="J796" s="743"/>
      <c r="K796" s="743"/>
      <c r="L796" s="743"/>
      <c r="M796" s="743"/>
      <c r="N796" s="744"/>
      <c r="O796" s="744"/>
      <c r="P796" s="744"/>
      <c r="Q796" s="743"/>
      <c r="R796" s="743"/>
      <c r="S796" s="743"/>
    </row>
    <row r="797" spans="1:19" ht="13">
      <c r="A797" s="743"/>
      <c r="B797" s="743"/>
      <c r="C797" s="743"/>
      <c r="D797" s="743"/>
      <c r="E797" s="743"/>
      <c r="F797" s="743"/>
      <c r="G797" s="743"/>
      <c r="H797" s="743"/>
      <c r="I797" s="743"/>
      <c r="J797" s="743"/>
      <c r="K797" s="743"/>
      <c r="L797" s="743"/>
      <c r="M797" s="743"/>
      <c r="N797" s="744"/>
      <c r="O797" s="744"/>
      <c r="P797" s="744"/>
      <c r="Q797" s="743"/>
      <c r="R797" s="743"/>
      <c r="S797" s="743"/>
    </row>
    <row r="798" spans="1:19" ht="13">
      <c r="A798" s="743"/>
      <c r="B798" s="743"/>
      <c r="C798" s="743"/>
      <c r="D798" s="743"/>
      <c r="E798" s="743"/>
      <c r="F798" s="743"/>
      <c r="G798" s="743"/>
      <c r="H798" s="743"/>
      <c r="I798" s="743"/>
      <c r="J798" s="743"/>
      <c r="K798" s="743"/>
      <c r="L798" s="743"/>
      <c r="M798" s="743"/>
      <c r="N798" s="744"/>
      <c r="O798" s="744"/>
      <c r="P798" s="744"/>
      <c r="Q798" s="743"/>
      <c r="R798" s="743"/>
      <c r="S798" s="743"/>
    </row>
    <row r="799" spans="1:19" ht="13">
      <c r="A799" s="743"/>
      <c r="B799" s="743"/>
      <c r="C799" s="743"/>
      <c r="D799" s="743"/>
      <c r="E799" s="743"/>
      <c r="F799" s="743"/>
      <c r="G799" s="743"/>
      <c r="H799" s="743"/>
      <c r="I799" s="743"/>
      <c r="J799" s="743"/>
      <c r="K799" s="743"/>
      <c r="L799" s="743"/>
      <c r="M799" s="743"/>
      <c r="N799" s="744"/>
      <c r="O799" s="744"/>
      <c r="P799" s="744"/>
      <c r="Q799" s="743"/>
      <c r="R799" s="743"/>
      <c r="S799" s="743"/>
    </row>
    <row r="800" spans="1:19" ht="13">
      <c r="A800" s="743"/>
      <c r="B800" s="743"/>
      <c r="C800" s="743"/>
      <c r="D800" s="743"/>
      <c r="E800" s="743"/>
      <c r="F800" s="743"/>
      <c r="G800" s="743"/>
      <c r="H800" s="743"/>
      <c r="I800" s="743"/>
      <c r="J800" s="743"/>
      <c r="K800" s="743"/>
      <c r="L800" s="743"/>
      <c r="M800" s="743"/>
      <c r="N800" s="744"/>
      <c r="O800" s="744"/>
      <c r="P800" s="744"/>
      <c r="Q800" s="743"/>
      <c r="R800" s="743"/>
      <c r="S800" s="743"/>
    </row>
    <row r="801" spans="1:19" ht="13">
      <c r="A801" s="743"/>
      <c r="B801" s="743"/>
      <c r="C801" s="743"/>
      <c r="D801" s="743"/>
      <c r="E801" s="743"/>
      <c r="F801" s="743"/>
      <c r="G801" s="743"/>
      <c r="H801" s="743"/>
      <c r="I801" s="743"/>
      <c r="J801" s="743"/>
      <c r="K801" s="743"/>
      <c r="L801" s="743"/>
      <c r="M801" s="743"/>
      <c r="N801" s="744"/>
      <c r="O801" s="744"/>
      <c r="P801" s="744"/>
      <c r="Q801" s="743"/>
      <c r="R801" s="743"/>
      <c r="S801" s="743"/>
    </row>
    <row r="802" spans="1:19" ht="13">
      <c r="A802" s="743"/>
      <c r="B802" s="743"/>
      <c r="C802" s="743"/>
      <c r="D802" s="743"/>
      <c r="E802" s="743"/>
      <c r="F802" s="743"/>
      <c r="G802" s="743"/>
      <c r="H802" s="743"/>
      <c r="I802" s="743"/>
      <c r="J802" s="743"/>
      <c r="K802" s="743"/>
      <c r="L802" s="743"/>
      <c r="M802" s="743"/>
      <c r="N802" s="744"/>
      <c r="O802" s="744"/>
      <c r="P802" s="744"/>
      <c r="Q802" s="743"/>
      <c r="R802" s="743"/>
      <c r="S802" s="743"/>
    </row>
    <row r="803" spans="1:19" ht="13">
      <c r="A803" s="743"/>
      <c r="B803" s="743"/>
      <c r="C803" s="743"/>
      <c r="D803" s="743"/>
      <c r="E803" s="743"/>
      <c r="F803" s="743"/>
      <c r="G803" s="743"/>
      <c r="H803" s="743"/>
      <c r="I803" s="743"/>
      <c r="J803" s="743"/>
      <c r="K803" s="743"/>
      <c r="L803" s="743"/>
      <c r="M803" s="743"/>
      <c r="N803" s="744"/>
      <c r="O803" s="744"/>
      <c r="P803" s="744"/>
      <c r="Q803" s="743"/>
      <c r="R803" s="743"/>
      <c r="S803" s="743"/>
    </row>
    <row r="804" spans="1:19" ht="13">
      <c r="A804" s="743"/>
      <c r="B804" s="743"/>
      <c r="C804" s="743"/>
      <c r="D804" s="743"/>
      <c r="E804" s="743"/>
      <c r="F804" s="743"/>
      <c r="G804" s="743"/>
      <c r="H804" s="743"/>
      <c r="I804" s="743"/>
      <c r="J804" s="743"/>
      <c r="K804" s="743"/>
      <c r="L804" s="743"/>
      <c r="M804" s="743"/>
      <c r="N804" s="744"/>
      <c r="O804" s="744"/>
      <c r="P804" s="744"/>
      <c r="Q804" s="743"/>
      <c r="R804" s="743"/>
      <c r="S804" s="743"/>
    </row>
    <row r="805" spans="1:19" ht="13">
      <c r="A805" s="743"/>
      <c r="B805" s="743"/>
      <c r="C805" s="743"/>
      <c r="D805" s="743"/>
      <c r="E805" s="743"/>
      <c r="F805" s="743"/>
      <c r="G805" s="743"/>
      <c r="H805" s="743"/>
      <c r="I805" s="743"/>
      <c r="J805" s="743"/>
      <c r="K805" s="743"/>
      <c r="L805" s="743"/>
      <c r="M805" s="743"/>
      <c r="N805" s="744"/>
      <c r="O805" s="744"/>
      <c r="P805" s="744"/>
      <c r="Q805" s="743"/>
      <c r="R805" s="743"/>
      <c r="S805" s="743"/>
    </row>
    <row r="806" spans="1:19" ht="13">
      <c r="A806" s="743"/>
      <c r="B806" s="743"/>
      <c r="C806" s="743"/>
      <c r="D806" s="743"/>
      <c r="E806" s="743"/>
      <c r="F806" s="743"/>
      <c r="G806" s="743"/>
      <c r="H806" s="743"/>
      <c r="I806" s="743"/>
      <c r="J806" s="743"/>
      <c r="K806" s="743"/>
      <c r="L806" s="743"/>
      <c r="M806" s="743"/>
      <c r="N806" s="744"/>
      <c r="O806" s="744"/>
      <c r="P806" s="744"/>
      <c r="Q806" s="743"/>
      <c r="R806" s="743"/>
      <c r="S806" s="743"/>
    </row>
    <row r="807" spans="1:19" ht="13">
      <c r="A807" s="743"/>
      <c r="B807" s="743"/>
      <c r="C807" s="743"/>
      <c r="D807" s="743"/>
      <c r="E807" s="743"/>
      <c r="F807" s="743"/>
      <c r="G807" s="743"/>
      <c r="H807" s="743"/>
      <c r="I807" s="743"/>
      <c r="J807" s="743"/>
      <c r="K807" s="743"/>
      <c r="L807" s="743"/>
      <c r="M807" s="743"/>
      <c r="N807" s="744"/>
      <c r="O807" s="744"/>
      <c r="P807" s="744"/>
      <c r="Q807" s="743"/>
      <c r="R807" s="743"/>
      <c r="S807" s="743"/>
    </row>
    <row r="808" spans="1:19" ht="13">
      <c r="A808" s="743"/>
      <c r="B808" s="743"/>
      <c r="C808" s="743"/>
      <c r="D808" s="743"/>
      <c r="E808" s="743"/>
      <c r="F808" s="743"/>
      <c r="G808" s="743"/>
      <c r="H808" s="743"/>
      <c r="I808" s="743"/>
      <c r="J808" s="743"/>
      <c r="K808" s="743"/>
      <c r="L808" s="743"/>
      <c r="M808" s="743"/>
      <c r="N808" s="744"/>
      <c r="O808" s="744"/>
      <c r="P808" s="744"/>
      <c r="Q808" s="743"/>
      <c r="R808" s="743"/>
      <c r="S808" s="743"/>
    </row>
    <row r="809" spans="1:19" ht="13">
      <c r="A809" s="743"/>
      <c r="B809" s="743"/>
      <c r="C809" s="743"/>
      <c r="D809" s="743"/>
      <c r="E809" s="743"/>
      <c r="F809" s="743"/>
      <c r="G809" s="743"/>
      <c r="H809" s="743"/>
      <c r="I809" s="743"/>
      <c r="J809" s="743"/>
      <c r="K809" s="743"/>
      <c r="L809" s="743"/>
      <c r="M809" s="743"/>
      <c r="N809" s="744"/>
      <c r="O809" s="744"/>
      <c r="P809" s="744"/>
      <c r="Q809" s="743"/>
      <c r="R809" s="743"/>
      <c r="S809" s="743"/>
    </row>
    <row r="810" spans="1:19" ht="13">
      <c r="A810" s="743"/>
      <c r="B810" s="743"/>
      <c r="C810" s="743"/>
      <c r="D810" s="743"/>
      <c r="E810" s="743"/>
      <c r="F810" s="743"/>
      <c r="G810" s="743"/>
      <c r="H810" s="743"/>
      <c r="I810" s="743"/>
      <c r="J810" s="743"/>
      <c r="K810" s="743"/>
      <c r="L810" s="743"/>
      <c r="M810" s="743"/>
      <c r="N810" s="744"/>
      <c r="O810" s="744"/>
      <c r="P810" s="744"/>
      <c r="Q810" s="743"/>
      <c r="R810" s="743"/>
      <c r="S810" s="743"/>
    </row>
    <row r="811" spans="1:19" ht="13">
      <c r="A811" s="743"/>
      <c r="B811" s="743"/>
      <c r="C811" s="743"/>
      <c r="D811" s="743"/>
      <c r="E811" s="743"/>
      <c r="F811" s="743"/>
      <c r="G811" s="743"/>
      <c r="H811" s="743"/>
      <c r="I811" s="743"/>
      <c r="J811" s="743"/>
      <c r="K811" s="743"/>
      <c r="L811" s="743"/>
      <c r="M811" s="743"/>
      <c r="N811" s="744"/>
      <c r="O811" s="744"/>
      <c r="P811" s="744"/>
      <c r="Q811" s="743"/>
      <c r="R811" s="743"/>
      <c r="S811" s="743"/>
    </row>
    <row r="812" spans="1:19" ht="13">
      <c r="A812" s="743"/>
      <c r="B812" s="743"/>
      <c r="C812" s="743"/>
      <c r="D812" s="743"/>
      <c r="E812" s="743"/>
      <c r="F812" s="743"/>
      <c r="G812" s="743"/>
      <c r="H812" s="743"/>
      <c r="I812" s="743"/>
      <c r="J812" s="743"/>
      <c r="K812" s="743"/>
      <c r="L812" s="743"/>
      <c r="M812" s="743"/>
      <c r="N812" s="744"/>
      <c r="O812" s="744"/>
      <c r="P812" s="744"/>
      <c r="Q812" s="743"/>
      <c r="R812" s="743"/>
      <c r="S812" s="743"/>
    </row>
    <row r="813" spans="1:19" ht="13">
      <c r="A813" s="743"/>
      <c r="B813" s="743"/>
      <c r="C813" s="743"/>
      <c r="D813" s="743"/>
      <c r="E813" s="743"/>
      <c r="F813" s="743"/>
      <c r="G813" s="743"/>
      <c r="H813" s="743"/>
      <c r="I813" s="743"/>
      <c r="J813" s="743"/>
      <c r="K813" s="743"/>
      <c r="L813" s="743"/>
      <c r="M813" s="743"/>
      <c r="N813" s="744"/>
      <c r="O813" s="744"/>
      <c r="P813" s="744"/>
      <c r="Q813" s="743"/>
      <c r="R813" s="743"/>
      <c r="S813" s="743"/>
    </row>
    <row r="814" spans="1:19" ht="13">
      <c r="A814" s="743"/>
      <c r="B814" s="743"/>
      <c r="C814" s="743"/>
      <c r="D814" s="743"/>
      <c r="E814" s="743"/>
      <c r="F814" s="743"/>
      <c r="G814" s="743"/>
      <c r="H814" s="743"/>
      <c r="I814" s="743"/>
      <c r="J814" s="743"/>
      <c r="K814" s="743"/>
      <c r="L814" s="743"/>
      <c r="M814" s="743"/>
      <c r="N814" s="744"/>
      <c r="O814" s="744"/>
      <c r="P814" s="744"/>
      <c r="Q814" s="743"/>
      <c r="R814" s="743"/>
      <c r="S814" s="743"/>
    </row>
    <row r="815" spans="1:19" ht="13">
      <c r="A815" s="743"/>
      <c r="B815" s="743"/>
      <c r="C815" s="743"/>
      <c r="D815" s="743"/>
      <c r="E815" s="743"/>
      <c r="F815" s="743"/>
      <c r="G815" s="743"/>
      <c r="H815" s="743"/>
      <c r="I815" s="743"/>
      <c r="J815" s="743"/>
      <c r="K815" s="743"/>
      <c r="L815" s="743"/>
      <c r="M815" s="743"/>
      <c r="N815" s="744"/>
      <c r="O815" s="744"/>
      <c r="P815" s="744"/>
      <c r="Q815" s="743"/>
      <c r="R815" s="743"/>
      <c r="S815" s="743"/>
    </row>
    <row r="816" spans="1:19" ht="13">
      <c r="A816" s="743"/>
      <c r="B816" s="743"/>
      <c r="C816" s="743"/>
      <c r="D816" s="743"/>
      <c r="E816" s="743"/>
      <c r="F816" s="743"/>
      <c r="G816" s="743"/>
      <c r="H816" s="743"/>
      <c r="I816" s="743"/>
      <c r="J816" s="743"/>
      <c r="K816" s="743"/>
      <c r="L816" s="743"/>
      <c r="M816" s="743"/>
      <c r="N816" s="744"/>
      <c r="O816" s="744"/>
      <c r="P816" s="744"/>
      <c r="Q816" s="743"/>
      <c r="R816" s="743"/>
      <c r="S816" s="743"/>
    </row>
    <row r="817" spans="1:19" ht="13">
      <c r="A817" s="743"/>
      <c r="B817" s="743"/>
      <c r="C817" s="743"/>
      <c r="D817" s="743"/>
      <c r="E817" s="743"/>
      <c r="F817" s="743"/>
      <c r="G817" s="743"/>
      <c r="H817" s="743"/>
      <c r="I817" s="743"/>
      <c r="J817" s="743"/>
      <c r="K817" s="743"/>
      <c r="L817" s="743"/>
      <c r="M817" s="743"/>
      <c r="N817" s="744"/>
      <c r="O817" s="744"/>
      <c r="P817" s="744"/>
      <c r="Q817" s="743"/>
      <c r="R817" s="743"/>
      <c r="S817" s="743"/>
    </row>
    <row r="818" spans="1:19" ht="13">
      <c r="A818" s="743"/>
      <c r="B818" s="743"/>
      <c r="C818" s="743"/>
      <c r="D818" s="743"/>
      <c r="E818" s="743"/>
      <c r="F818" s="743"/>
      <c r="G818" s="743"/>
      <c r="H818" s="743"/>
      <c r="I818" s="743"/>
      <c r="J818" s="743"/>
      <c r="K818" s="743"/>
      <c r="L818" s="743"/>
      <c r="M818" s="743"/>
      <c r="N818" s="744"/>
      <c r="O818" s="744"/>
      <c r="P818" s="744"/>
      <c r="Q818" s="743"/>
      <c r="R818" s="743"/>
      <c r="S818" s="743"/>
    </row>
    <row r="819" spans="1:19" ht="13">
      <c r="A819" s="743"/>
      <c r="B819" s="743"/>
      <c r="C819" s="743"/>
      <c r="D819" s="743"/>
      <c r="E819" s="743"/>
      <c r="F819" s="743"/>
      <c r="G819" s="743"/>
      <c r="H819" s="743"/>
      <c r="I819" s="743"/>
      <c r="J819" s="743"/>
      <c r="K819" s="743"/>
      <c r="L819" s="743"/>
      <c r="M819" s="743"/>
      <c r="N819" s="744"/>
      <c r="O819" s="744"/>
      <c r="P819" s="744"/>
      <c r="Q819" s="743"/>
      <c r="R819" s="743"/>
      <c r="S819" s="743"/>
    </row>
    <row r="820" spans="1:19" ht="13">
      <c r="A820" s="743"/>
      <c r="B820" s="743"/>
      <c r="C820" s="743"/>
      <c r="D820" s="743"/>
      <c r="E820" s="743"/>
      <c r="F820" s="743"/>
      <c r="G820" s="743"/>
      <c r="H820" s="743"/>
      <c r="I820" s="743"/>
      <c r="J820" s="743"/>
      <c r="K820" s="743"/>
      <c r="L820" s="743"/>
      <c r="M820" s="743"/>
      <c r="N820" s="744"/>
      <c r="O820" s="744"/>
      <c r="P820" s="744"/>
      <c r="Q820" s="743"/>
      <c r="R820" s="743"/>
      <c r="S820" s="743"/>
    </row>
    <row r="821" spans="1:19" ht="13">
      <c r="A821" s="743"/>
      <c r="B821" s="743"/>
      <c r="C821" s="743"/>
      <c r="D821" s="743"/>
      <c r="E821" s="743"/>
      <c r="F821" s="743"/>
      <c r="G821" s="743"/>
      <c r="H821" s="743"/>
      <c r="I821" s="743"/>
      <c r="J821" s="743"/>
      <c r="K821" s="743"/>
      <c r="L821" s="743"/>
      <c r="M821" s="743"/>
      <c r="N821" s="744"/>
      <c r="O821" s="744"/>
      <c r="P821" s="744"/>
      <c r="Q821" s="743"/>
      <c r="R821" s="743"/>
      <c r="S821" s="743"/>
    </row>
    <row r="822" spans="1:19" ht="13">
      <c r="A822" s="743"/>
      <c r="B822" s="743"/>
      <c r="C822" s="743"/>
      <c r="D822" s="743"/>
      <c r="E822" s="743"/>
      <c r="F822" s="743"/>
      <c r="G822" s="743"/>
      <c r="H822" s="743"/>
      <c r="I822" s="743"/>
      <c r="J822" s="743"/>
      <c r="K822" s="743"/>
      <c r="L822" s="743"/>
      <c r="M822" s="743"/>
      <c r="N822" s="744"/>
      <c r="O822" s="744"/>
      <c r="P822" s="744"/>
      <c r="Q822" s="743"/>
      <c r="R822" s="743"/>
      <c r="S822" s="743"/>
    </row>
    <row r="823" spans="1:19" ht="13">
      <c r="A823" s="743"/>
      <c r="B823" s="743"/>
      <c r="C823" s="743"/>
      <c r="D823" s="743"/>
      <c r="E823" s="743"/>
      <c r="F823" s="743"/>
      <c r="G823" s="743"/>
      <c r="H823" s="743"/>
      <c r="I823" s="743"/>
      <c r="J823" s="743"/>
      <c r="K823" s="743"/>
      <c r="L823" s="743"/>
      <c r="M823" s="743"/>
      <c r="N823" s="744"/>
      <c r="O823" s="744"/>
      <c r="P823" s="744"/>
      <c r="Q823" s="743"/>
      <c r="R823" s="743"/>
      <c r="S823" s="743"/>
    </row>
    <row r="824" spans="1:19" ht="13">
      <c r="A824" s="743"/>
      <c r="B824" s="743"/>
      <c r="C824" s="743"/>
      <c r="D824" s="743"/>
      <c r="E824" s="743"/>
      <c r="F824" s="743"/>
      <c r="G824" s="743"/>
      <c r="H824" s="743"/>
      <c r="I824" s="743"/>
      <c r="J824" s="743"/>
      <c r="K824" s="743"/>
      <c r="L824" s="743"/>
      <c r="M824" s="743"/>
      <c r="N824" s="744"/>
      <c r="O824" s="744"/>
      <c r="P824" s="744"/>
      <c r="Q824" s="743"/>
      <c r="R824" s="743"/>
      <c r="S824" s="743"/>
    </row>
    <row r="825" spans="1:19" ht="13">
      <c r="A825" s="743"/>
      <c r="B825" s="743"/>
      <c r="C825" s="743"/>
      <c r="D825" s="743"/>
      <c r="E825" s="743"/>
      <c r="F825" s="743"/>
      <c r="G825" s="743"/>
      <c r="H825" s="743"/>
      <c r="I825" s="743"/>
      <c r="J825" s="743"/>
      <c r="K825" s="743"/>
      <c r="L825" s="743"/>
      <c r="M825" s="743"/>
      <c r="N825" s="744"/>
      <c r="O825" s="744"/>
      <c r="P825" s="744"/>
      <c r="Q825" s="743"/>
      <c r="R825" s="743"/>
      <c r="S825" s="743"/>
    </row>
    <row r="826" spans="1:19" ht="13">
      <c r="A826" s="743"/>
      <c r="B826" s="743"/>
      <c r="C826" s="743"/>
      <c r="D826" s="743"/>
      <c r="E826" s="743"/>
      <c r="F826" s="743"/>
      <c r="G826" s="743"/>
      <c r="H826" s="743"/>
      <c r="I826" s="743"/>
      <c r="J826" s="743"/>
      <c r="K826" s="743"/>
      <c r="L826" s="743"/>
      <c r="M826" s="743"/>
      <c r="N826" s="744"/>
      <c r="O826" s="744"/>
      <c r="P826" s="744"/>
      <c r="Q826" s="743"/>
      <c r="R826" s="743"/>
      <c r="S826" s="743"/>
    </row>
    <row r="827" spans="1:19" ht="13">
      <c r="A827" s="743"/>
      <c r="B827" s="743"/>
      <c r="C827" s="743"/>
      <c r="D827" s="743"/>
      <c r="E827" s="743"/>
      <c r="F827" s="743"/>
      <c r="G827" s="743"/>
      <c r="H827" s="743"/>
      <c r="I827" s="743"/>
      <c r="J827" s="743"/>
      <c r="K827" s="743"/>
      <c r="L827" s="743"/>
      <c r="M827" s="743"/>
      <c r="N827" s="744"/>
      <c r="O827" s="744"/>
      <c r="P827" s="744"/>
      <c r="Q827" s="743"/>
      <c r="R827" s="743"/>
      <c r="S827" s="743"/>
    </row>
    <row r="828" spans="1:19" ht="13">
      <c r="A828" s="743"/>
      <c r="B828" s="743"/>
      <c r="C828" s="743"/>
      <c r="D828" s="743"/>
      <c r="E828" s="743"/>
      <c r="F828" s="743"/>
      <c r="G828" s="743"/>
      <c r="H828" s="743"/>
      <c r="I828" s="743"/>
      <c r="J828" s="743"/>
      <c r="K828" s="743"/>
      <c r="L828" s="743"/>
      <c r="M828" s="743"/>
      <c r="N828" s="744"/>
      <c r="O828" s="744"/>
      <c r="P828" s="744"/>
      <c r="Q828" s="743"/>
      <c r="R828" s="743"/>
      <c r="S828" s="743"/>
    </row>
    <row r="829" spans="1:19" ht="13">
      <c r="A829" s="743"/>
      <c r="B829" s="743"/>
      <c r="C829" s="743"/>
      <c r="D829" s="743"/>
      <c r="E829" s="743"/>
      <c r="F829" s="743"/>
      <c r="G829" s="743"/>
      <c r="H829" s="743"/>
      <c r="I829" s="743"/>
      <c r="J829" s="743"/>
      <c r="K829" s="743"/>
      <c r="L829" s="743"/>
      <c r="M829" s="743"/>
      <c r="N829" s="744"/>
      <c r="O829" s="744"/>
      <c r="P829" s="744"/>
      <c r="Q829" s="743"/>
      <c r="R829" s="743"/>
      <c r="S829" s="743"/>
    </row>
    <row r="830" spans="1:19" ht="13">
      <c r="A830" s="743"/>
      <c r="B830" s="743"/>
      <c r="C830" s="743"/>
      <c r="D830" s="743"/>
      <c r="E830" s="743"/>
      <c r="F830" s="743"/>
      <c r="G830" s="743"/>
      <c r="H830" s="743"/>
      <c r="I830" s="743"/>
      <c r="J830" s="743"/>
      <c r="K830" s="743"/>
      <c r="L830" s="743"/>
      <c r="M830" s="743"/>
      <c r="N830" s="744"/>
      <c r="O830" s="744"/>
      <c r="P830" s="744"/>
      <c r="Q830" s="743"/>
      <c r="R830" s="743"/>
      <c r="S830" s="743"/>
    </row>
    <row r="831" spans="1:19" ht="13">
      <c r="A831" s="743"/>
      <c r="B831" s="743"/>
      <c r="C831" s="743"/>
      <c r="D831" s="743"/>
      <c r="E831" s="743"/>
      <c r="F831" s="743"/>
      <c r="G831" s="743"/>
      <c r="H831" s="743"/>
      <c r="I831" s="743"/>
      <c r="J831" s="743"/>
      <c r="K831" s="743"/>
      <c r="L831" s="743"/>
      <c r="M831" s="743"/>
      <c r="N831" s="744"/>
      <c r="O831" s="744"/>
      <c r="P831" s="744"/>
      <c r="Q831" s="743"/>
      <c r="R831" s="743"/>
      <c r="S831" s="743"/>
    </row>
    <row r="832" spans="1:19" ht="13">
      <c r="A832" s="743"/>
      <c r="B832" s="743"/>
      <c r="C832" s="743"/>
      <c r="D832" s="743"/>
      <c r="E832" s="743"/>
      <c r="F832" s="743"/>
      <c r="G832" s="743"/>
      <c r="H832" s="743"/>
      <c r="I832" s="743"/>
      <c r="J832" s="743"/>
      <c r="K832" s="743"/>
      <c r="L832" s="743"/>
      <c r="M832" s="743"/>
      <c r="N832" s="744"/>
      <c r="O832" s="744"/>
      <c r="P832" s="744"/>
      <c r="Q832" s="743"/>
      <c r="R832" s="743"/>
      <c r="S832" s="743"/>
    </row>
    <row r="833" spans="1:19" ht="13">
      <c r="A833" s="743"/>
      <c r="B833" s="743"/>
      <c r="C833" s="743"/>
      <c r="D833" s="743"/>
      <c r="E833" s="743"/>
      <c r="F833" s="743"/>
      <c r="G833" s="743"/>
      <c r="H833" s="743"/>
      <c r="I833" s="743"/>
      <c r="J833" s="743"/>
      <c r="K833" s="743"/>
      <c r="L833" s="743"/>
      <c r="M833" s="743"/>
      <c r="N833" s="744"/>
      <c r="O833" s="744"/>
      <c r="P833" s="744"/>
      <c r="Q833" s="743"/>
      <c r="R833" s="743"/>
      <c r="S833" s="743"/>
    </row>
    <row r="834" spans="1:19" ht="13">
      <c r="A834" s="743"/>
      <c r="B834" s="743"/>
      <c r="C834" s="743"/>
      <c r="D834" s="743"/>
      <c r="E834" s="743"/>
      <c r="F834" s="743"/>
      <c r="G834" s="743"/>
      <c r="H834" s="743"/>
      <c r="I834" s="743"/>
      <c r="J834" s="743"/>
      <c r="K834" s="743"/>
      <c r="L834" s="743"/>
      <c r="M834" s="743"/>
      <c r="N834" s="744"/>
      <c r="O834" s="744"/>
      <c r="P834" s="744"/>
      <c r="Q834" s="743"/>
      <c r="R834" s="743"/>
      <c r="S834" s="743"/>
    </row>
    <row r="835" spans="1:19" ht="13">
      <c r="A835" s="743"/>
      <c r="B835" s="743"/>
      <c r="C835" s="743"/>
      <c r="D835" s="743"/>
      <c r="E835" s="743"/>
      <c r="F835" s="743"/>
      <c r="G835" s="743"/>
      <c r="H835" s="743"/>
      <c r="I835" s="743"/>
      <c r="J835" s="743"/>
      <c r="K835" s="743"/>
      <c r="L835" s="743"/>
      <c r="M835" s="743"/>
      <c r="N835" s="744"/>
      <c r="O835" s="744"/>
      <c r="P835" s="744"/>
      <c r="Q835" s="743"/>
      <c r="R835" s="743"/>
      <c r="S835" s="743"/>
    </row>
    <row r="836" spans="1:19" ht="13">
      <c r="A836" s="743"/>
      <c r="B836" s="743"/>
      <c r="C836" s="743"/>
      <c r="D836" s="743"/>
      <c r="E836" s="743"/>
      <c r="F836" s="743"/>
      <c r="G836" s="743"/>
      <c r="H836" s="743"/>
      <c r="I836" s="743"/>
      <c r="J836" s="743"/>
      <c r="K836" s="743"/>
      <c r="L836" s="743"/>
      <c r="M836" s="743"/>
      <c r="N836" s="744"/>
      <c r="O836" s="744"/>
      <c r="P836" s="744"/>
      <c r="Q836" s="743"/>
      <c r="R836" s="743"/>
      <c r="S836" s="743"/>
    </row>
    <row r="837" spans="1:19" ht="13">
      <c r="A837" s="743"/>
      <c r="B837" s="743"/>
      <c r="C837" s="743"/>
      <c r="D837" s="743"/>
      <c r="E837" s="743"/>
      <c r="F837" s="743"/>
      <c r="G837" s="743"/>
      <c r="H837" s="743"/>
      <c r="I837" s="743"/>
      <c r="J837" s="743"/>
      <c r="K837" s="743"/>
      <c r="L837" s="743"/>
      <c r="M837" s="743"/>
      <c r="N837" s="744"/>
      <c r="O837" s="744"/>
      <c r="P837" s="744"/>
      <c r="Q837" s="743"/>
      <c r="R837" s="743"/>
      <c r="S837" s="743"/>
    </row>
    <row r="838" spans="1:19" ht="13">
      <c r="A838" s="743"/>
      <c r="B838" s="743"/>
      <c r="C838" s="743"/>
      <c r="D838" s="743"/>
      <c r="E838" s="743"/>
      <c r="F838" s="743"/>
      <c r="G838" s="743"/>
      <c r="H838" s="743"/>
      <c r="I838" s="743"/>
      <c r="J838" s="743"/>
      <c r="K838" s="743"/>
      <c r="L838" s="743"/>
      <c r="M838" s="743"/>
      <c r="N838" s="744"/>
      <c r="O838" s="744"/>
      <c r="P838" s="744"/>
      <c r="Q838" s="743"/>
      <c r="R838" s="743"/>
      <c r="S838" s="743"/>
    </row>
    <row r="839" spans="1:19" ht="13">
      <c r="A839" s="743"/>
      <c r="B839" s="743"/>
      <c r="C839" s="743"/>
      <c r="D839" s="743"/>
      <c r="E839" s="743"/>
      <c r="F839" s="743"/>
      <c r="G839" s="743"/>
      <c r="H839" s="743"/>
      <c r="I839" s="743"/>
      <c r="J839" s="743"/>
      <c r="K839" s="743"/>
      <c r="L839" s="743"/>
      <c r="M839" s="743"/>
      <c r="N839" s="744"/>
      <c r="O839" s="744"/>
      <c r="P839" s="744"/>
      <c r="Q839" s="743"/>
      <c r="R839" s="743"/>
      <c r="S839" s="743"/>
    </row>
    <row r="840" spans="1:19" ht="13">
      <c r="A840" s="743"/>
      <c r="B840" s="743"/>
      <c r="C840" s="743"/>
      <c r="D840" s="743"/>
      <c r="E840" s="743"/>
      <c r="F840" s="743"/>
      <c r="G840" s="743"/>
      <c r="H840" s="743"/>
      <c r="I840" s="743"/>
      <c r="J840" s="743"/>
      <c r="K840" s="743"/>
      <c r="L840" s="743"/>
      <c r="M840" s="743"/>
      <c r="N840" s="744"/>
      <c r="O840" s="744"/>
      <c r="P840" s="744"/>
      <c r="Q840" s="743"/>
      <c r="R840" s="743"/>
      <c r="S840" s="743"/>
    </row>
    <row r="841" spans="1:19" ht="13">
      <c r="A841" s="743"/>
      <c r="B841" s="743"/>
      <c r="C841" s="743"/>
      <c r="D841" s="743"/>
      <c r="E841" s="743"/>
      <c r="F841" s="743"/>
      <c r="G841" s="743"/>
      <c r="H841" s="743"/>
      <c r="I841" s="743"/>
      <c r="J841" s="743"/>
      <c r="K841" s="743"/>
      <c r="L841" s="743"/>
      <c r="M841" s="743"/>
      <c r="N841" s="744"/>
      <c r="O841" s="744"/>
      <c r="P841" s="744"/>
      <c r="Q841" s="743"/>
      <c r="R841" s="743"/>
      <c r="S841" s="743"/>
    </row>
    <row r="842" spans="1:19" ht="13">
      <c r="A842" s="743"/>
      <c r="B842" s="743"/>
      <c r="C842" s="743"/>
      <c r="D842" s="743"/>
      <c r="E842" s="743"/>
      <c r="F842" s="743"/>
      <c r="G842" s="743"/>
      <c r="H842" s="743"/>
      <c r="I842" s="743"/>
      <c r="J842" s="743"/>
      <c r="K842" s="743"/>
      <c r="L842" s="743"/>
      <c r="M842" s="743"/>
      <c r="N842" s="744"/>
      <c r="O842" s="744"/>
      <c r="P842" s="744"/>
      <c r="Q842" s="743"/>
      <c r="R842" s="743"/>
      <c r="S842" s="743"/>
    </row>
    <row r="843" spans="1:19" ht="13">
      <c r="A843" s="743"/>
      <c r="B843" s="743"/>
      <c r="C843" s="743"/>
      <c r="D843" s="743"/>
      <c r="E843" s="743"/>
      <c r="F843" s="743"/>
      <c r="G843" s="743"/>
      <c r="H843" s="743"/>
      <c r="I843" s="743"/>
      <c r="J843" s="743"/>
      <c r="K843" s="743"/>
      <c r="L843" s="743"/>
      <c r="M843" s="743"/>
      <c r="N843" s="744"/>
      <c r="O843" s="744"/>
      <c r="P843" s="744"/>
      <c r="Q843" s="743"/>
      <c r="R843" s="743"/>
      <c r="S843" s="743"/>
    </row>
    <row r="844" spans="1:19" ht="13">
      <c r="A844" s="743"/>
      <c r="B844" s="743"/>
      <c r="C844" s="743"/>
      <c r="D844" s="743"/>
      <c r="E844" s="743"/>
      <c r="F844" s="743"/>
      <c r="G844" s="743"/>
      <c r="H844" s="743"/>
      <c r="I844" s="743"/>
      <c r="J844" s="743"/>
      <c r="K844" s="743"/>
      <c r="L844" s="743"/>
      <c r="M844" s="743"/>
      <c r="N844" s="744"/>
      <c r="O844" s="744"/>
      <c r="P844" s="744"/>
      <c r="Q844" s="743"/>
      <c r="R844" s="743"/>
      <c r="S844" s="743"/>
    </row>
    <row r="845" spans="1:19" ht="13">
      <c r="A845" s="743"/>
      <c r="B845" s="743"/>
      <c r="C845" s="743"/>
      <c r="D845" s="743"/>
      <c r="E845" s="743"/>
      <c r="F845" s="743"/>
      <c r="G845" s="743"/>
      <c r="H845" s="743"/>
      <c r="I845" s="743"/>
      <c r="J845" s="743"/>
      <c r="K845" s="743"/>
      <c r="L845" s="743"/>
      <c r="M845" s="743"/>
      <c r="N845" s="744"/>
      <c r="O845" s="744"/>
      <c r="P845" s="744"/>
      <c r="Q845" s="743"/>
      <c r="R845" s="743"/>
      <c r="S845" s="743"/>
    </row>
    <row r="846" spans="1:19" ht="13">
      <c r="A846" s="743"/>
      <c r="B846" s="743"/>
      <c r="C846" s="743"/>
      <c r="D846" s="743"/>
      <c r="E846" s="743"/>
      <c r="F846" s="743"/>
      <c r="G846" s="743"/>
      <c r="H846" s="743"/>
      <c r="I846" s="743"/>
      <c r="J846" s="743"/>
      <c r="K846" s="743"/>
      <c r="L846" s="743"/>
      <c r="M846" s="743"/>
      <c r="N846" s="744"/>
      <c r="O846" s="744"/>
      <c r="P846" s="744"/>
      <c r="Q846" s="743"/>
      <c r="R846" s="743"/>
      <c r="S846" s="743"/>
    </row>
    <row r="847" spans="1:19" ht="13">
      <c r="A847" s="743"/>
      <c r="B847" s="743"/>
      <c r="C847" s="743"/>
      <c r="D847" s="743"/>
      <c r="E847" s="743"/>
      <c r="F847" s="743"/>
      <c r="G847" s="743"/>
      <c r="H847" s="743"/>
      <c r="I847" s="743"/>
      <c r="J847" s="743"/>
      <c r="K847" s="743"/>
      <c r="L847" s="743"/>
      <c r="M847" s="743"/>
      <c r="N847" s="744"/>
      <c r="O847" s="744"/>
      <c r="P847" s="744"/>
      <c r="Q847" s="743"/>
      <c r="R847" s="743"/>
      <c r="S847" s="743"/>
    </row>
    <row r="848" spans="1:19" ht="13">
      <c r="A848" s="743"/>
      <c r="B848" s="743"/>
      <c r="C848" s="743"/>
      <c r="D848" s="743"/>
      <c r="E848" s="743"/>
      <c r="F848" s="743"/>
      <c r="G848" s="743"/>
      <c r="H848" s="743"/>
      <c r="I848" s="743"/>
      <c r="J848" s="743"/>
      <c r="K848" s="743"/>
      <c r="L848" s="743"/>
      <c r="M848" s="743"/>
      <c r="N848" s="744"/>
      <c r="O848" s="744"/>
      <c r="P848" s="744"/>
      <c r="Q848" s="743"/>
      <c r="R848" s="743"/>
      <c r="S848" s="743"/>
    </row>
    <row r="849" spans="1:19" ht="13">
      <c r="A849" s="743"/>
      <c r="B849" s="743"/>
      <c r="C849" s="743"/>
      <c r="D849" s="743"/>
      <c r="E849" s="743"/>
      <c r="F849" s="743"/>
      <c r="G849" s="743"/>
      <c r="H849" s="743"/>
      <c r="I849" s="743"/>
      <c r="J849" s="743"/>
      <c r="K849" s="743"/>
      <c r="L849" s="743"/>
      <c r="M849" s="743"/>
      <c r="N849" s="744"/>
      <c r="O849" s="744"/>
      <c r="P849" s="744"/>
      <c r="Q849" s="743"/>
      <c r="R849" s="743"/>
      <c r="S849" s="743"/>
    </row>
    <row r="850" spans="1:19" ht="13">
      <c r="A850" s="743"/>
      <c r="B850" s="743"/>
      <c r="C850" s="743"/>
      <c r="D850" s="743"/>
      <c r="E850" s="743"/>
      <c r="F850" s="743"/>
      <c r="G850" s="743"/>
      <c r="H850" s="743"/>
      <c r="I850" s="743"/>
      <c r="J850" s="743"/>
      <c r="K850" s="743"/>
      <c r="L850" s="743"/>
      <c r="M850" s="743"/>
      <c r="N850" s="744"/>
      <c r="O850" s="744"/>
      <c r="P850" s="744"/>
      <c r="Q850" s="743"/>
      <c r="R850" s="743"/>
      <c r="S850" s="743"/>
    </row>
    <row r="851" spans="1:19" ht="13">
      <c r="A851" s="743"/>
      <c r="B851" s="743"/>
      <c r="C851" s="743"/>
      <c r="D851" s="743"/>
      <c r="E851" s="743"/>
      <c r="F851" s="743"/>
      <c r="G851" s="743"/>
      <c r="H851" s="743"/>
      <c r="I851" s="743"/>
      <c r="J851" s="743"/>
      <c r="K851" s="743"/>
      <c r="L851" s="743"/>
      <c r="M851" s="743"/>
      <c r="N851" s="744"/>
      <c r="O851" s="744"/>
      <c r="P851" s="744"/>
      <c r="Q851" s="743"/>
      <c r="R851" s="743"/>
      <c r="S851" s="743"/>
    </row>
    <row r="852" spans="1:19" ht="13">
      <c r="A852" s="743"/>
      <c r="B852" s="743"/>
      <c r="C852" s="743"/>
      <c r="D852" s="743"/>
      <c r="E852" s="743"/>
      <c r="F852" s="743"/>
      <c r="G852" s="743"/>
      <c r="H852" s="743"/>
      <c r="I852" s="743"/>
      <c r="J852" s="743"/>
      <c r="K852" s="743"/>
      <c r="L852" s="743"/>
      <c r="M852" s="743"/>
      <c r="N852" s="744"/>
      <c r="O852" s="744"/>
      <c r="P852" s="744"/>
      <c r="Q852" s="743"/>
      <c r="R852" s="743"/>
      <c r="S852" s="743"/>
    </row>
    <row r="853" spans="1:19" ht="13">
      <c r="A853" s="743"/>
      <c r="B853" s="743"/>
      <c r="C853" s="743"/>
      <c r="D853" s="743"/>
      <c r="E853" s="743"/>
      <c r="F853" s="743"/>
      <c r="G853" s="743"/>
      <c r="H853" s="743"/>
      <c r="I853" s="743"/>
      <c r="J853" s="743"/>
      <c r="K853" s="743"/>
      <c r="L853" s="743"/>
      <c r="M853" s="743"/>
      <c r="N853" s="744"/>
      <c r="O853" s="744"/>
      <c r="P853" s="744"/>
      <c r="Q853" s="743"/>
      <c r="R853" s="743"/>
      <c r="S853" s="743"/>
    </row>
    <row r="854" spans="1:19" ht="13">
      <c r="A854" s="743"/>
      <c r="B854" s="743"/>
      <c r="C854" s="743"/>
      <c r="D854" s="743"/>
      <c r="E854" s="743"/>
      <c r="F854" s="743"/>
      <c r="G854" s="743"/>
      <c r="H854" s="743"/>
      <c r="I854" s="743"/>
      <c r="J854" s="743"/>
      <c r="K854" s="743"/>
      <c r="L854" s="743"/>
      <c r="M854" s="743"/>
      <c r="N854" s="744"/>
      <c r="O854" s="744"/>
      <c r="P854" s="744"/>
      <c r="Q854" s="743"/>
      <c r="R854" s="743"/>
      <c r="S854" s="743"/>
    </row>
    <row r="855" spans="1:19" ht="13">
      <c r="A855" s="743"/>
      <c r="B855" s="743"/>
      <c r="C855" s="743"/>
      <c r="D855" s="743"/>
      <c r="E855" s="743"/>
      <c r="F855" s="743"/>
      <c r="G855" s="743"/>
      <c r="H855" s="743"/>
      <c r="I855" s="743"/>
      <c r="J855" s="743"/>
      <c r="K855" s="743"/>
      <c r="L855" s="743"/>
      <c r="M855" s="743"/>
      <c r="N855" s="744"/>
      <c r="O855" s="744"/>
      <c r="P855" s="744"/>
      <c r="Q855" s="743"/>
      <c r="R855" s="743"/>
      <c r="S855" s="743"/>
    </row>
    <row r="856" spans="1:19" ht="13">
      <c r="A856" s="743"/>
      <c r="B856" s="743"/>
      <c r="C856" s="743"/>
      <c r="D856" s="743"/>
      <c r="E856" s="743"/>
      <c r="F856" s="743"/>
      <c r="G856" s="743"/>
      <c r="H856" s="743"/>
      <c r="I856" s="743"/>
      <c r="J856" s="743"/>
      <c r="K856" s="743"/>
      <c r="L856" s="743"/>
      <c r="M856" s="743"/>
      <c r="N856" s="744"/>
      <c r="O856" s="744"/>
      <c r="P856" s="744"/>
      <c r="Q856" s="743"/>
      <c r="R856" s="743"/>
      <c r="S856" s="743"/>
    </row>
    <row r="857" spans="1:19" ht="13">
      <c r="A857" s="743"/>
      <c r="B857" s="743"/>
      <c r="C857" s="743"/>
      <c r="D857" s="743"/>
      <c r="E857" s="743"/>
      <c r="F857" s="743"/>
      <c r="G857" s="743"/>
      <c r="H857" s="743"/>
      <c r="I857" s="743"/>
      <c r="J857" s="743"/>
      <c r="K857" s="743"/>
      <c r="L857" s="743"/>
      <c r="M857" s="743"/>
      <c r="N857" s="744"/>
      <c r="O857" s="744"/>
      <c r="P857" s="744"/>
      <c r="Q857" s="743"/>
      <c r="R857" s="743"/>
      <c r="S857" s="743"/>
    </row>
    <row r="858" spans="1:19" ht="13">
      <c r="A858" s="743"/>
      <c r="B858" s="743"/>
      <c r="C858" s="743"/>
      <c r="D858" s="743"/>
      <c r="E858" s="743"/>
      <c r="F858" s="743"/>
      <c r="G858" s="743"/>
      <c r="H858" s="743"/>
      <c r="I858" s="743"/>
      <c r="J858" s="743"/>
      <c r="K858" s="743"/>
      <c r="L858" s="743"/>
      <c r="M858" s="743"/>
      <c r="N858" s="744"/>
      <c r="O858" s="744"/>
      <c r="P858" s="744"/>
      <c r="Q858" s="743"/>
      <c r="R858" s="743"/>
      <c r="S858" s="743"/>
    </row>
    <row r="859" spans="1:19" ht="13">
      <c r="A859" s="743"/>
      <c r="B859" s="743"/>
      <c r="C859" s="743"/>
      <c r="D859" s="743"/>
      <c r="E859" s="743"/>
      <c r="F859" s="743"/>
      <c r="G859" s="743"/>
      <c r="H859" s="743"/>
      <c r="I859" s="743"/>
      <c r="J859" s="743"/>
      <c r="K859" s="743"/>
      <c r="L859" s="743"/>
      <c r="M859" s="743"/>
      <c r="N859" s="744"/>
      <c r="O859" s="744"/>
      <c r="P859" s="744"/>
      <c r="Q859" s="743"/>
      <c r="R859" s="743"/>
      <c r="S859" s="743"/>
    </row>
    <row r="860" spans="1:19" ht="13">
      <c r="A860" s="743"/>
      <c r="B860" s="743"/>
      <c r="C860" s="743"/>
      <c r="D860" s="743"/>
      <c r="E860" s="743"/>
      <c r="F860" s="743"/>
      <c r="G860" s="743"/>
      <c r="H860" s="743"/>
      <c r="I860" s="743"/>
      <c r="J860" s="743"/>
      <c r="K860" s="743"/>
      <c r="L860" s="743"/>
      <c r="M860" s="743"/>
      <c r="N860" s="744"/>
      <c r="O860" s="744"/>
      <c r="P860" s="744"/>
      <c r="Q860" s="743"/>
      <c r="R860" s="743"/>
      <c r="S860" s="743"/>
    </row>
    <row r="861" spans="1:19" ht="13">
      <c r="A861" s="743"/>
      <c r="B861" s="743"/>
      <c r="C861" s="743"/>
      <c r="D861" s="743"/>
      <c r="E861" s="743"/>
      <c r="F861" s="743"/>
      <c r="G861" s="743"/>
      <c r="H861" s="743"/>
      <c r="I861" s="743"/>
      <c r="J861" s="743"/>
      <c r="K861" s="743"/>
      <c r="L861" s="743"/>
      <c r="M861" s="743"/>
      <c r="N861" s="744"/>
      <c r="O861" s="744"/>
      <c r="P861" s="744"/>
      <c r="Q861" s="743"/>
      <c r="R861" s="743"/>
      <c r="S861" s="743"/>
    </row>
    <row r="862" spans="1:19" ht="13">
      <c r="A862" s="743"/>
      <c r="B862" s="743"/>
      <c r="C862" s="743"/>
      <c r="D862" s="743"/>
      <c r="E862" s="743"/>
      <c r="F862" s="743"/>
      <c r="G862" s="743"/>
      <c r="H862" s="743"/>
      <c r="I862" s="743"/>
      <c r="J862" s="743"/>
      <c r="K862" s="743"/>
      <c r="L862" s="743"/>
      <c r="M862" s="743"/>
      <c r="N862" s="744"/>
      <c r="O862" s="744"/>
      <c r="P862" s="744"/>
      <c r="Q862" s="743"/>
      <c r="R862" s="743"/>
      <c r="S862" s="743"/>
    </row>
    <row r="863" spans="1:19" ht="13">
      <c r="A863" s="743"/>
      <c r="B863" s="743"/>
      <c r="C863" s="743"/>
      <c r="D863" s="743"/>
      <c r="E863" s="743"/>
      <c r="F863" s="743"/>
      <c r="G863" s="743"/>
      <c r="H863" s="743"/>
      <c r="I863" s="743"/>
      <c r="J863" s="743"/>
      <c r="K863" s="743"/>
      <c r="L863" s="743"/>
      <c r="M863" s="743"/>
      <c r="N863" s="744"/>
      <c r="O863" s="744"/>
      <c r="P863" s="744"/>
      <c r="Q863" s="743"/>
      <c r="R863" s="743"/>
      <c r="S863" s="743"/>
    </row>
    <row r="864" spans="1:19" ht="13">
      <c r="A864" s="743"/>
      <c r="B864" s="743"/>
      <c r="C864" s="743"/>
      <c r="D864" s="743"/>
      <c r="E864" s="743"/>
      <c r="F864" s="743"/>
      <c r="G864" s="743"/>
      <c r="H864" s="743"/>
      <c r="I864" s="743"/>
      <c r="J864" s="743"/>
      <c r="K864" s="743"/>
      <c r="L864" s="743"/>
      <c r="M864" s="743"/>
      <c r="N864" s="744"/>
      <c r="O864" s="744"/>
      <c r="P864" s="744"/>
      <c r="Q864" s="743"/>
      <c r="R864" s="743"/>
      <c r="S864" s="743"/>
    </row>
    <row r="865" spans="1:19" ht="13">
      <c r="A865" s="743"/>
      <c r="B865" s="743"/>
      <c r="C865" s="743"/>
      <c r="D865" s="743"/>
      <c r="E865" s="743"/>
      <c r="F865" s="743"/>
      <c r="G865" s="743"/>
      <c r="H865" s="743"/>
      <c r="I865" s="743"/>
      <c r="J865" s="743"/>
      <c r="K865" s="743"/>
      <c r="L865" s="743"/>
      <c r="M865" s="743"/>
      <c r="N865" s="744"/>
      <c r="O865" s="744"/>
      <c r="P865" s="744"/>
      <c r="Q865" s="743"/>
      <c r="R865" s="743"/>
      <c r="S865" s="743"/>
    </row>
    <row r="866" spans="1:19" ht="13">
      <c r="A866" s="743"/>
      <c r="B866" s="743"/>
      <c r="C866" s="743"/>
      <c r="D866" s="743"/>
      <c r="E866" s="743"/>
      <c r="F866" s="743"/>
      <c r="G866" s="743"/>
      <c r="H866" s="743"/>
      <c r="I866" s="743"/>
      <c r="J866" s="743"/>
      <c r="K866" s="743"/>
      <c r="L866" s="743"/>
      <c r="M866" s="743"/>
      <c r="N866" s="744"/>
      <c r="O866" s="744"/>
      <c r="P866" s="744"/>
      <c r="Q866" s="743"/>
      <c r="R866" s="743"/>
      <c r="S866" s="743"/>
    </row>
    <row r="867" spans="1:19" ht="13">
      <c r="A867" s="743"/>
      <c r="B867" s="743"/>
      <c r="C867" s="743"/>
      <c r="D867" s="743"/>
      <c r="E867" s="743"/>
      <c r="F867" s="743"/>
      <c r="G867" s="743"/>
      <c r="H867" s="743"/>
      <c r="I867" s="743"/>
      <c r="J867" s="743"/>
      <c r="K867" s="743"/>
      <c r="L867" s="743"/>
      <c r="M867" s="743"/>
      <c r="N867" s="744"/>
      <c r="O867" s="744"/>
      <c r="P867" s="744"/>
      <c r="Q867" s="743"/>
      <c r="R867" s="743"/>
      <c r="S867" s="743"/>
    </row>
    <row r="868" spans="1:19" ht="13">
      <c r="A868" s="743"/>
      <c r="B868" s="743"/>
      <c r="C868" s="743"/>
      <c r="D868" s="743"/>
      <c r="E868" s="743"/>
      <c r="F868" s="743"/>
      <c r="G868" s="743"/>
      <c r="H868" s="743"/>
      <c r="I868" s="743"/>
      <c r="J868" s="743"/>
      <c r="K868" s="743"/>
      <c r="L868" s="743"/>
      <c r="M868" s="743"/>
      <c r="N868" s="744"/>
      <c r="O868" s="744"/>
      <c r="P868" s="744"/>
      <c r="Q868" s="743"/>
      <c r="R868" s="743"/>
      <c r="S868" s="743"/>
    </row>
    <row r="869" spans="1:19" ht="13">
      <c r="A869" s="743"/>
      <c r="B869" s="743"/>
      <c r="C869" s="743"/>
      <c r="D869" s="743"/>
      <c r="E869" s="743"/>
      <c r="F869" s="743"/>
      <c r="G869" s="743"/>
      <c r="H869" s="743"/>
      <c r="I869" s="743"/>
      <c r="J869" s="743"/>
      <c r="K869" s="743"/>
      <c r="L869" s="743"/>
      <c r="M869" s="743"/>
      <c r="N869" s="744"/>
      <c r="O869" s="744"/>
      <c r="P869" s="744"/>
      <c r="Q869" s="743"/>
      <c r="R869" s="743"/>
      <c r="S869" s="743"/>
    </row>
    <row r="870" spans="1:19" ht="13">
      <c r="A870" s="743"/>
      <c r="B870" s="743"/>
      <c r="C870" s="743"/>
      <c r="D870" s="743"/>
      <c r="E870" s="743"/>
      <c r="F870" s="743"/>
      <c r="G870" s="743"/>
      <c r="H870" s="743"/>
      <c r="I870" s="743"/>
      <c r="J870" s="743"/>
      <c r="K870" s="743"/>
      <c r="L870" s="743"/>
      <c r="M870" s="743"/>
      <c r="N870" s="744"/>
      <c r="O870" s="744"/>
      <c r="P870" s="744"/>
      <c r="Q870" s="743"/>
      <c r="R870" s="743"/>
      <c r="S870" s="743"/>
    </row>
    <row r="871" spans="1:19" ht="13">
      <c r="A871" s="743"/>
      <c r="B871" s="743"/>
      <c r="C871" s="743"/>
      <c r="D871" s="743"/>
      <c r="E871" s="743"/>
      <c r="F871" s="743"/>
      <c r="G871" s="743"/>
      <c r="H871" s="743"/>
      <c r="I871" s="743"/>
      <c r="J871" s="743"/>
      <c r="K871" s="743"/>
      <c r="L871" s="743"/>
      <c r="M871" s="743"/>
      <c r="N871" s="744"/>
      <c r="O871" s="744"/>
      <c r="P871" s="744"/>
      <c r="Q871" s="743"/>
      <c r="R871" s="743"/>
      <c r="S871" s="743"/>
    </row>
    <row r="872" spans="1:19" ht="13">
      <c r="A872" s="743"/>
      <c r="B872" s="743"/>
      <c r="C872" s="743"/>
      <c r="D872" s="743"/>
      <c r="E872" s="743"/>
      <c r="F872" s="743"/>
      <c r="G872" s="743"/>
      <c r="H872" s="743"/>
      <c r="I872" s="743"/>
      <c r="J872" s="743"/>
      <c r="K872" s="743"/>
      <c r="L872" s="743"/>
      <c r="M872" s="743"/>
      <c r="N872" s="744"/>
      <c r="O872" s="744"/>
      <c r="P872" s="744"/>
      <c r="Q872" s="743"/>
      <c r="R872" s="743"/>
      <c r="S872" s="743"/>
    </row>
    <row r="873" spans="1:19" ht="13">
      <c r="A873" s="743"/>
      <c r="B873" s="743"/>
      <c r="C873" s="743"/>
      <c r="D873" s="743"/>
      <c r="E873" s="743"/>
      <c r="F873" s="743"/>
      <c r="G873" s="743"/>
      <c r="H873" s="743"/>
      <c r="I873" s="743"/>
      <c r="J873" s="743"/>
      <c r="K873" s="743"/>
      <c r="L873" s="743"/>
      <c r="M873" s="743"/>
      <c r="N873" s="744"/>
      <c r="O873" s="744"/>
      <c r="P873" s="744"/>
      <c r="Q873" s="743"/>
      <c r="R873" s="743"/>
      <c r="S873" s="743"/>
    </row>
    <row r="874" spans="1:19" ht="13">
      <c r="A874" s="743"/>
      <c r="B874" s="743"/>
      <c r="C874" s="743"/>
      <c r="D874" s="743"/>
      <c r="E874" s="743"/>
      <c r="F874" s="743"/>
      <c r="G874" s="743"/>
      <c r="H874" s="743"/>
      <c r="I874" s="743"/>
      <c r="J874" s="743"/>
      <c r="K874" s="743"/>
      <c r="L874" s="743"/>
      <c r="M874" s="743"/>
      <c r="N874" s="744"/>
      <c r="O874" s="744"/>
      <c r="P874" s="744"/>
      <c r="Q874" s="743"/>
      <c r="R874" s="743"/>
      <c r="S874" s="743"/>
    </row>
    <row r="875" spans="1:19" ht="13">
      <c r="A875" s="743"/>
      <c r="B875" s="743"/>
      <c r="C875" s="743"/>
      <c r="D875" s="743"/>
      <c r="E875" s="743"/>
      <c r="F875" s="743"/>
      <c r="G875" s="743"/>
      <c r="H875" s="743"/>
      <c r="I875" s="743"/>
      <c r="J875" s="743"/>
      <c r="K875" s="743"/>
      <c r="L875" s="743"/>
      <c r="M875" s="743"/>
      <c r="N875" s="744"/>
      <c r="O875" s="744"/>
      <c r="P875" s="744"/>
      <c r="Q875" s="743"/>
      <c r="R875" s="743"/>
      <c r="S875" s="743"/>
    </row>
    <row r="876" spans="1:19" ht="13">
      <c r="A876" s="743"/>
      <c r="B876" s="743"/>
      <c r="C876" s="743"/>
      <c r="D876" s="743"/>
      <c r="E876" s="743"/>
      <c r="F876" s="743"/>
      <c r="G876" s="743"/>
      <c r="H876" s="743"/>
      <c r="I876" s="743"/>
      <c r="J876" s="743"/>
      <c r="K876" s="743"/>
      <c r="L876" s="743"/>
      <c r="M876" s="743"/>
      <c r="N876" s="744"/>
      <c r="O876" s="744"/>
      <c r="P876" s="744"/>
      <c r="Q876" s="743"/>
      <c r="R876" s="743"/>
      <c r="S876" s="743"/>
    </row>
    <row r="877" spans="1:19" ht="13">
      <c r="A877" s="743"/>
      <c r="B877" s="743"/>
      <c r="C877" s="743"/>
      <c r="D877" s="743"/>
      <c r="E877" s="743"/>
      <c r="F877" s="743"/>
      <c r="G877" s="743"/>
      <c r="H877" s="743"/>
      <c r="I877" s="743"/>
      <c r="J877" s="743"/>
      <c r="K877" s="743"/>
      <c r="L877" s="743"/>
      <c r="M877" s="743"/>
      <c r="N877" s="744"/>
      <c r="O877" s="744"/>
      <c r="P877" s="744"/>
      <c r="Q877" s="743"/>
      <c r="R877" s="743"/>
      <c r="S877" s="743"/>
    </row>
    <row r="878" spans="1:19" ht="13">
      <c r="A878" s="743"/>
      <c r="B878" s="743"/>
      <c r="C878" s="743"/>
      <c r="D878" s="743"/>
      <c r="E878" s="743"/>
      <c r="F878" s="743"/>
      <c r="G878" s="743"/>
      <c r="H878" s="743"/>
      <c r="I878" s="743"/>
      <c r="J878" s="743"/>
      <c r="K878" s="743"/>
      <c r="L878" s="743"/>
      <c r="M878" s="743"/>
      <c r="N878" s="744"/>
      <c r="O878" s="744"/>
      <c r="P878" s="744"/>
      <c r="Q878" s="743"/>
      <c r="R878" s="743"/>
      <c r="S878" s="743"/>
    </row>
    <row r="879" spans="1:19" ht="13">
      <c r="A879" s="743"/>
      <c r="B879" s="743"/>
      <c r="C879" s="743"/>
      <c r="D879" s="743"/>
      <c r="E879" s="743"/>
      <c r="F879" s="743"/>
      <c r="G879" s="743"/>
      <c r="H879" s="743"/>
      <c r="I879" s="743"/>
      <c r="J879" s="743"/>
      <c r="K879" s="743"/>
      <c r="L879" s="743"/>
      <c r="M879" s="743"/>
      <c r="N879" s="744"/>
      <c r="O879" s="744"/>
      <c r="P879" s="744"/>
      <c r="Q879" s="743"/>
      <c r="R879" s="743"/>
      <c r="S879" s="743"/>
    </row>
    <row r="880" spans="1:19" ht="13">
      <c r="A880" s="743"/>
      <c r="B880" s="743"/>
      <c r="C880" s="743"/>
      <c r="D880" s="743"/>
      <c r="E880" s="743"/>
      <c r="F880" s="743"/>
      <c r="G880" s="743"/>
      <c r="H880" s="743"/>
      <c r="I880" s="743"/>
      <c r="J880" s="743"/>
      <c r="K880" s="743"/>
      <c r="L880" s="743"/>
      <c r="M880" s="743"/>
      <c r="N880" s="744"/>
      <c r="O880" s="744"/>
      <c r="P880" s="744"/>
      <c r="Q880" s="743"/>
      <c r="R880" s="743"/>
      <c r="S880" s="743"/>
    </row>
    <row r="881" spans="1:19" ht="13">
      <c r="A881" s="743"/>
      <c r="B881" s="743"/>
      <c r="C881" s="743"/>
      <c r="D881" s="743"/>
      <c r="E881" s="743"/>
      <c r="F881" s="743"/>
      <c r="G881" s="743"/>
      <c r="H881" s="743"/>
      <c r="I881" s="743"/>
      <c r="J881" s="743"/>
      <c r="K881" s="743"/>
      <c r="L881" s="743"/>
      <c r="M881" s="743"/>
      <c r="N881" s="744"/>
      <c r="O881" s="744"/>
      <c r="P881" s="744"/>
      <c r="Q881" s="743"/>
      <c r="R881" s="743"/>
      <c r="S881" s="743"/>
    </row>
    <row r="882" spans="1:19" ht="13">
      <c r="A882" s="743"/>
      <c r="B882" s="743"/>
      <c r="C882" s="743"/>
      <c r="D882" s="743"/>
      <c r="E882" s="743"/>
      <c r="F882" s="743"/>
      <c r="G882" s="743"/>
      <c r="H882" s="743"/>
      <c r="I882" s="743"/>
      <c r="J882" s="743"/>
      <c r="K882" s="743"/>
      <c r="L882" s="743"/>
      <c r="M882" s="743"/>
      <c r="N882" s="744"/>
      <c r="O882" s="744"/>
      <c r="P882" s="744"/>
      <c r="Q882" s="743"/>
      <c r="R882" s="743"/>
      <c r="S882" s="743"/>
    </row>
    <row r="883" spans="1:19" ht="13">
      <c r="A883" s="743"/>
      <c r="B883" s="743"/>
      <c r="C883" s="743"/>
      <c r="D883" s="743"/>
      <c r="E883" s="743"/>
      <c r="F883" s="743"/>
      <c r="G883" s="743"/>
      <c r="H883" s="743"/>
      <c r="I883" s="743"/>
      <c r="J883" s="743"/>
      <c r="K883" s="743"/>
      <c r="L883" s="743"/>
      <c r="M883" s="743"/>
      <c r="N883" s="744"/>
      <c r="O883" s="744"/>
      <c r="P883" s="744"/>
      <c r="Q883" s="743"/>
      <c r="R883" s="743"/>
      <c r="S883" s="743"/>
    </row>
    <row r="884" spans="1:19" ht="13">
      <c r="A884" s="743"/>
      <c r="B884" s="743"/>
      <c r="C884" s="743"/>
      <c r="D884" s="743"/>
      <c r="E884" s="743"/>
      <c r="F884" s="743"/>
      <c r="G884" s="743"/>
      <c r="H884" s="743"/>
      <c r="I884" s="743"/>
      <c r="J884" s="743"/>
      <c r="K884" s="743"/>
      <c r="L884" s="743"/>
      <c r="M884" s="743"/>
      <c r="N884" s="744"/>
      <c r="O884" s="744"/>
      <c r="P884" s="744"/>
      <c r="Q884" s="743"/>
      <c r="R884" s="743"/>
      <c r="S884" s="743"/>
    </row>
    <row r="885" spans="1:19" ht="13">
      <c r="A885" s="743"/>
      <c r="B885" s="743"/>
      <c r="C885" s="743"/>
      <c r="D885" s="743"/>
      <c r="E885" s="743"/>
      <c r="F885" s="743"/>
      <c r="G885" s="743"/>
      <c r="H885" s="743"/>
      <c r="I885" s="743"/>
      <c r="J885" s="743"/>
      <c r="K885" s="743"/>
      <c r="L885" s="743"/>
      <c r="M885" s="743"/>
      <c r="N885" s="744"/>
      <c r="O885" s="744"/>
      <c r="P885" s="744"/>
      <c r="Q885" s="743"/>
      <c r="R885" s="743"/>
      <c r="S885" s="743"/>
    </row>
    <row r="886" spans="1:19" ht="13">
      <c r="A886" s="743"/>
      <c r="B886" s="743"/>
      <c r="C886" s="743"/>
      <c r="D886" s="743"/>
      <c r="E886" s="743"/>
      <c r="F886" s="743"/>
      <c r="G886" s="743"/>
      <c r="H886" s="743"/>
      <c r="I886" s="743"/>
      <c r="J886" s="743"/>
      <c r="K886" s="743"/>
      <c r="L886" s="743"/>
      <c r="M886" s="743"/>
      <c r="N886" s="744"/>
      <c r="O886" s="744"/>
      <c r="P886" s="744"/>
      <c r="Q886" s="743"/>
      <c r="R886" s="743"/>
      <c r="S886" s="743"/>
    </row>
    <row r="887" spans="1:19" ht="13">
      <c r="A887" s="743"/>
      <c r="B887" s="743"/>
      <c r="C887" s="743"/>
      <c r="D887" s="743"/>
      <c r="E887" s="743"/>
      <c r="F887" s="743"/>
      <c r="G887" s="743"/>
      <c r="H887" s="743"/>
      <c r="I887" s="743"/>
      <c r="J887" s="743"/>
      <c r="K887" s="743"/>
      <c r="L887" s="743"/>
      <c r="M887" s="743"/>
      <c r="N887" s="744"/>
      <c r="O887" s="744"/>
      <c r="P887" s="744"/>
      <c r="Q887" s="743"/>
      <c r="R887" s="743"/>
      <c r="S887" s="743"/>
    </row>
    <row r="888" spans="1:19" ht="13">
      <c r="A888" s="743"/>
      <c r="B888" s="743"/>
      <c r="C888" s="743"/>
      <c r="D888" s="743"/>
      <c r="E888" s="743"/>
      <c r="F888" s="743"/>
      <c r="G888" s="743"/>
      <c r="H888" s="743"/>
      <c r="I888" s="743"/>
      <c r="J888" s="743"/>
      <c r="K888" s="743"/>
      <c r="L888" s="743"/>
      <c r="M888" s="743"/>
      <c r="N888" s="744"/>
      <c r="O888" s="744"/>
      <c r="P888" s="744"/>
      <c r="Q888" s="743"/>
      <c r="R888" s="743"/>
      <c r="S888" s="743"/>
    </row>
    <row r="889" spans="1:19" ht="13">
      <c r="A889" s="743"/>
      <c r="B889" s="743"/>
      <c r="C889" s="743"/>
      <c r="D889" s="743"/>
      <c r="E889" s="743"/>
      <c r="F889" s="743"/>
      <c r="G889" s="743"/>
      <c r="H889" s="743"/>
      <c r="I889" s="743"/>
      <c r="J889" s="743"/>
      <c r="K889" s="743"/>
      <c r="L889" s="743"/>
      <c r="M889" s="743"/>
      <c r="N889" s="744"/>
      <c r="O889" s="744"/>
      <c r="P889" s="744"/>
      <c r="Q889" s="743"/>
      <c r="R889" s="743"/>
      <c r="S889" s="743"/>
    </row>
    <row r="890" spans="1:19" ht="13">
      <c r="A890" s="743"/>
      <c r="B890" s="743"/>
      <c r="C890" s="743"/>
      <c r="D890" s="743"/>
      <c r="E890" s="743"/>
      <c r="F890" s="743"/>
      <c r="G890" s="743"/>
      <c r="H890" s="743"/>
      <c r="I890" s="743"/>
      <c r="J890" s="743"/>
      <c r="K890" s="743"/>
      <c r="L890" s="743"/>
      <c r="M890" s="743"/>
      <c r="N890" s="744"/>
      <c r="O890" s="744"/>
      <c r="P890" s="744"/>
      <c r="Q890" s="743"/>
      <c r="R890" s="743"/>
      <c r="S890" s="743"/>
    </row>
    <row r="891" spans="1:19" ht="13">
      <c r="A891" s="743"/>
      <c r="B891" s="743"/>
      <c r="C891" s="743"/>
      <c r="D891" s="743"/>
      <c r="E891" s="743"/>
      <c r="F891" s="743"/>
      <c r="G891" s="743"/>
      <c r="H891" s="743"/>
      <c r="I891" s="743"/>
      <c r="J891" s="743"/>
      <c r="K891" s="743"/>
      <c r="L891" s="743"/>
      <c r="M891" s="743"/>
      <c r="N891" s="744"/>
      <c r="O891" s="744"/>
      <c r="P891" s="744"/>
      <c r="Q891" s="743"/>
      <c r="R891" s="743"/>
      <c r="S891" s="743"/>
    </row>
    <row r="892" spans="1:19" ht="13">
      <c r="A892" s="743"/>
      <c r="B892" s="743"/>
      <c r="C892" s="743"/>
      <c r="D892" s="743"/>
      <c r="E892" s="743"/>
      <c r="F892" s="743"/>
      <c r="G892" s="743"/>
      <c r="H892" s="743"/>
      <c r="I892" s="743"/>
      <c r="J892" s="743"/>
      <c r="K892" s="743"/>
      <c r="L892" s="743"/>
      <c r="M892" s="743"/>
      <c r="N892" s="744"/>
      <c r="O892" s="744"/>
      <c r="P892" s="744"/>
      <c r="Q892" s="743"/>
      <c r="R892" s="743"/>
      <c r="S892" s="743"/>
    </row>
    <row r="893" spans="1:19" ht="13">
      <c r="A893" s="743"/>
      <c r="B893" s="743"/>
      <c r="C893" s="743"/>
      <c r="D893" s="743"/>
      <c r="E893" s="743"/>
      <c r="F893" s="743"/>
      <c r="G893" s="743"/>
      <c r="H893" s="743"/>
      <c r="I893" s="743"/>
      <c r="J893" s="743"/>
      <c r="K893" s="743"/>
      <c r="L893" s="743"/>
      <c r="M893" s="743"/>
      <c r="N893" s="744"/>
      <c r="O893" s="744"/>
      <c r="P893" s="744"/>
      <c r="Q893" s="743"/>
      <c r="R893" s="743"/>
      <c r="S893" s="743"/>
    </row>
    <row r="894" spans="1:19" ht="13">
      <c r="A894" s="743"/>
      <c r="B894" s="743"/>
      <c r="C894" s="743"/>
      <c r="D894" s="743"/>
      <c r="E894" s="743"/>
      <c r="F894" s="743"/>
      <c r="G894" s="743"/>
      <c r="H894" s="743"/>
      <c r="I894" s="743"/>
      <c r="J894" s="743"/>
      <c r="K894" s="743"/>
      <c r="L894" s="743"/>
      <c r="M894" s="743"/>
      <c r="N894" s="744"/>
      <c r="O894" s="744"/>
      <c r="P894" s="744"/>
      <c r="Q894" s="743"/>
      <c r="R894" s="743"/>
      <c r="S894" s="743"/>
    </row>
    <row r="895" spans="1:19" ht="13">
      <c r="A895" s="743"/>
      <c r="B895" s="743"/>
      <c r="C895" s="743"/>
      <c r="D895" s="743"/>
      <c r="E895" s="743"/>
      <c r="F895" s="743"/>
      <c r="G895" s="743"/>
      <c r="H895" s="743"/>
      <c r="I895" s="743"/>
      <c r="J895" s="743"/>
      <c r="K895" s="743"/>
      <c r="L895" s="743"/>
      <c r="M895" s="743"/>
      <c r="N895" s="744"/>
      <c r="O895" s="744"/>
      <c r="P895" s="744"/>
      <c r="Q895" s="743"/>
      <c r="R895" s="743"/>
      <c r="S895" s="743"/>
    </row>
    <row r="896" spans="1:19" ht="13">
      <c r="A896" s="743"/>
      <c r="B896" s="743"/>
      <c r="C896" s="743"/>
      <c r="D896" s="743"/>
      <c r="E896" s="743"/>
      <c r="F896" s="743"/>
      <c r="G896" s="743"/>
      <c r="H896" s="743"/>
      <c r="I896" s="743"/>
      <c r="J896" s="743"/>
      <c r="K896" s="743"/>
      <c r="L896" s="743"/>
      <c r="M896" s="743"/>
      <c r="N896" s="744"/>
      <c r="O896" s="744"/>
      <c r="P896" s="744"/>
      <c r="Q896" s="743"/>
      <c r="R896" s="743"/>
      <c r="S896" s="743"/>
    </row>
    <row r="897" spans="1:19" ht="13">
      <c r="A897" s="743"/>
      <c r="B897" s="743"/>
      <c r="C897" s="743"/>
      <c r="D897" s="743"/>
      <c r="E897" s="743"/>
      <c r="F897" s="743"/>
      <c r="G897" s="743"/>
      <c r="H897" s="743"/>
      <c r="I897" s="743"/>
      <c r="J897" s="743"/>
      <c r="K897" s="743"/>
      <c r="L897" s="743"/>
      <c r="M897" s="743"/>
      <c r="N897" s="744"/>
      <c r="O897" s="744"/>
      <c r="P897" s="744"/>
      <c r="Q897" s="743"/>
      <c r="R897" s="743"/>
      <c r="S897" s="743"/>
    </row>
    <row r="898" spans="1:19" ht="13">
      <c r="A898" s="743"/>
      <c r="B898" s="743"/>
      <c r="C898" s="743"/>
      <c r="D898" s="743"/>
      <c r="E898" s="743"/>
      <c r="F898" s="743"/>
      <c r="G898" s="743"/>
      <c r="H898" s="743"/>
      <c r="I898" s="743"/>
      <c r="J898" s="743"/>
      <c r="K898" s="743"/>
      <c r="L898" s="743"/>
      <c r="M898" s="743"/>
      <c r="N898" s="744"/>
      <c r="O898" s="744"/>
      <c r="P898" s="744"/>
      <c r="Q898" s="743"/>
      <c r="R898" s="743"/>
      <c r="S898" s="743"/>
    </row>
    <row r="899" spans="1:19" ht="13">
      <c r="A899" s="743"/>
      <c r="B899" s="743"/>
      <c r="C899" s="743"/>
      <c r="D899" s="743"/>
      <c r="E899" s="743"/>
      <c r="F899" s="743"/>
      <c r="G899" s="743"/>
      <c r="H899" s="743"/>
      <c r="I899" s="743"/>
      <c r="J899" s="743"/>
      <c r="K899" s="743"/>
      <c r="L899" s="743"/>
      <c r="M899" s="743"/>
      <c r="N899" s="744"/>
      <c r="O899" s="744"/>
      <c r="P899" s="744"/>
      <c r="Q899" s="743"/>
      <c r="R899" s="743"/>
      <c r="S899" s="743"/>
    </row>
    <row r="900" spans="1:19" ht="13">
      <c r="A900" s="743"/>
      <c r="B900" s="743"/>
      <c r="C900" s="743"/>
      <c r="D900" s="743"/>
      <c r="E900" s="743"/>
      <c r="F900" s="743"/>
      <c r="G900" s="743"/>
      <c r="H900" s="743"/>
      <c r="I900" s="743"/>
      <c r="J900" s="743"/>
      <c r="K900" s="743"/>
      <c r="L900" s="743"/>
      <c r="M900" s="743"/>
      <c r="N900" s="744"/>
      <c r="O900" s="744"/>
      <c r="P900" s="744"/>
      <c r="Q900" s="743"/>
      <c r="R900" s="743"/>
      <c r="S900" s="743"/>
    </row>
    <row r="901" spans="1:19" ht="13">
      <c r="A901" s="743"/>
      <c r="B901" s="743"/>
      <c r="C901" s="743"/>
      <c r="D901" s="743"/>
      <c r="E901" s="743"/>
      <c r="F901" s="743"/>
      <c r="G901" s="743"/>
      <c r="H901" s="743"/>
      <c r="I901" s="743"/>
      <c r="J901" s="743"/>
      <c r="K901" s="743"/>
      <c r="L901" s="743"/>
      <c r="M901" s="743"/>
      <c r="N901" s="744"/>
      <c r="O901" s="744"/>
      <c r="P901" s="744"/>
      <c r="Q901" s="743"/>
      <c r="R901" s="743"/>
      <c r="S901" s="743"/>
    </row>
    <row r="902" spans="1:19" ht="13">
      <c r="A902" s="743"/>
      <c r="B902" s="743"/>
      <c r="C902" s="743"/>
      <c r="D902" s="743"/>
      <c r="E902" s="743"/>
      <c r="F902" s="743"/>
      <c r="G902" s="743"/>
      <c r="H902" s="743"/>
      <c r="I902" s="743"/>
      <c r="J902" s="743"/>
      <c r="K902" s="743"/>
      <c r="L902" s="743"/>
      <c r="M902" s="743"/>
      <c r="N902" s="744"/>
      <c r="O902" s="744"/>
      <c r="P902" s="744"/>
      <c r="Q902" s="743"/>
      <c r="R902" s="743"/>
      <c r="S902" s="743"/>
    </row>
    <row r="903" spans="1:19" ht="13">
      <c r="A903" s="743"/>
      <c r="B903" s="743"/>
      <c r="C903" s="743"/>
      <c r="D903" s="743"/>
      <c r="E903" s="743"/>
      <c r="F903" s="743"/>
      <c r="G903" s="743"/>
      <c r="H903" s="743"/>
      <c r="I903" s="743"/>
      <c r="J903" s="743"/>
      <c r="K903" s="743"/>
      <c r="L903" s="743"/>
      <c r="M903" s="743"/>
      <c r="N903" s="744"/>
      <c r="O903" s="744"/>
      <c r="P903" s="744"/>
      <c r="Q903" s="743"/>
      <c r="R903" s="743"/>
      <c r="S903" s="743"/>
    </row>
    <row r="904" spans="1:19" ht="13">
      <c r="A904" s="743"/>
      <c r="B904" s="743"/>
      <c r="C904" s="743"/>
      <c r="D904" s="743"/>
      <c r="E904" s="743"/>
      <c r="F904" s="743"/>
      <c r="G904" s="743"/>
      <c r="H904" s="743"/>
      <c r="I904" s="743"/>
      <c r="J904" s="743"/>
      <c r="K904" s="743"/>
      <c r="L904" s="743"/>
      <c r="M904" s="743"/>
      <c r="N904" s="744"/>
      <c r="O904" s="744"/>
      <c r="P904" s="744"/>
      <c r="Q904" s="743"/>
      <c r="R904" s="743"/>
      <c r="S904" s="743"/>
    </row>
    <row r="905" spans="1:19" ht="13">
      <c r="A905" s="743"/>
      <c r="B905" s="743"/>
      <c r="C905" s="743"/>
      <c r="D905" s="743"/>
      <c r="E905" s="743"/>
      <c r="F905" s="743"/>
      <c r="G905" s="743"/>
      <c r="H905" s="743"/>
      <c r="I905" s="743"/>
      <c r="J905" s="743"/>
      <c r="K905" s="743"/>
      <c r="L905" s="743"/>
      <c r="M905" s="743"/>
      <c r="N905" s="744"/>
      <c r="O905" s="744"/>
      <c r="P905" s="744"/>
      <c r="Q905" s="743"/>
      <c r="R905" s="743"/>
      <c r="S905" s="743"/>
    </row>
    <row r="906" spans="1:19" ht="13">
      <c r="A906" s="743"/>
      <c r="B906" s="743"/>
      <c r="C906" s="743"/>
      <c r="D906" s="743"/>
      <c r="E906" s="743"/>
      <c r="F906" s="743"/>
      <c r="G906" s="743"/>
      <c r="H906" s="743"/>
      <c r="I906" s="743"/>
      <c r="J906" s="743"/>
      <c r="K906" s="743"/>
      <c r="L906" s="743"/>
      <c r="M906" s="743"/>
      <c r="N906" s="744"/>
      <c r="O906" s="744"/>
      <c r="P906" s="744"/>
      <c r="Q906" s="743"/>
      <c r="R906" s="743"/>
      <c r="S906" s="743"/>
    </row>
    <row r="907" spans="1:19" ht="13">
      <c r="A907" s="743"/>
      <c r="B907" s="743"/>
      <c r="C907" s="743"/>
      <c r="D907" s="743"/>
      <c r="E907" s="743"/>
      <c r="F907" s="743"/>
      <c r="G907" s="743"/>
      <c r="H907" s="743"/>
      <c r="I907" s="743"/>
      <c r="J907" s="743"/>
      <c r="K907" s="743"/>
      <c r="L907" s="743"/>
      <c r="M907" s="743"/>
      <c r="N907" s="744"/>
      <c r="O907" s="744"/>
      <c r="P907" s="744"/>
      <c r="Q907" s="743"/>
      <c r="R907" s="743"/>
      <c r="S907" s="743"/>
    </row>
    <row r="908" spans="1:19" ht="13">
      <c r="A908" s="743"/>
      <c r="B908" s="743"/>
      <c r="C908" s="743"/>
      <c r="D908" s="743"/>
      <c r="E908" s="743"/>
      <c r="F908" s="743"/>
      <c r="G908" s="743"/>
      <c r="H908" s="743"/>
      <c r="I908" s="743"/>
      <c r="J908" s="743"/>
      <c r="K908" s="743"/>
      <c r="L908" s="743"/>
      <c r="M908" s="743"/>
      <c r="N908" s="744"/>
      <c r="O908" s="744"/>
      <c r="P908" s="744"/>
      <c r="Q908" s="743"/>
      <c r="R908" s="743"/>
      <c r="S908" s="743"/>
    </row>
    <row r="909" spans="1:19" ht="13">
      <c r="A909" s="743"/>
      <c r="B909" s="743"/>
      <c r="C909" s="743"/>
      <c r="D909" s="743"/>
      <c r="E909" s="743"/>
      <c r="F909" s="743"/>
      <c r="G909" s="743"/>
      <c r="H909" s="743"/>
      <c r="I909" s="743"/>
      <c r="J909" s="743"/>
      <c r="K909" s="743"/>
      <c r="L909" s="743"/>
      <c r="M909" s="743"/>
      <c r="N909" s="744"/>
      <c r="O909" s="744"/>
      <c r="P909" s="744"/>
      <c r="Q909" s="743"/>
      <c r="R909" s="743"/>
      <c r="S909" s="743"/>
    </row>
    <row r="910" spans="1:19" ht="13">
      <c r="A910" s="743"/>
      <c r="B910" s="743"/>
      <c r="C910" s="743"/>
      <c r="D910" s="743"/>
      <c r="E910" s="743"/>
      <c r="F910" s="743"/>
      <c r="G910" s="743"/>
      <c r="H910" s="743"/>
      <c r="I910" s="743"/>
      <c r="J910" s="743"/>
      <c r="K910" s="743"/>
      <c r="L910" s="743"/>
      <c r="M910" s="743"/>
      <c r="N910" s="744"/>
      <c r="O910" s="744"/>
      <c r="P910" s="744"/>
      <c r="Q910" s="743"/>
      <c r="R910" s="743"/>
      <c r="S910" s="743"/>
    </row>
    <row r="911" spans="1:19" ht="13">
      <c r="A911" s="743"/>
      <c r="B911" s="743"/>
      <c r="C911" s="743"/>
      <c r="D911" s="743"/>
      <c r="E911" s="743"/>
      <c r="F911" s="743"/>
      <c r="G911" s="743"/>
      <c r="H911" s="743"/>
      <c r="I911" s="743"/>
      <c r="J911" s="743"/>
      <c r="K911" s="743"/>
      <c r="L911" s="743"/>
      <c r="M911" s="743"/>
      <c r="N911" s="744"/>
      <c r="O911" s="744"/>
      <c r="P911" s="744"/>
      <c r="Q911" s="743"/>
      <c r="R911" s="743"/>
      <c r="S911" s="743"/>
    </row>
    <row r="912" spans="1:19" ht="13">
      <c r="A912" s="743"/>
      <c r="B912" s="743"/>
      <c r="C912" s="743"/>
      <c r="D912" s="743"/>
      <c r="E912" s="743"/>
      <c r="F912" s="743"/>
      <c r="G912" s="743"/>
      <c r="H912" s="743"/>
      <c r="I912" s="743"/>
      <c r="J912" s="743"/>
      <c r="K912" s="743"/>
      <c r="L912" s="743"/>
      <c r="M912" s="743"/>
      <c r="N912" s="744"/>
      <c r="O912" s="744"/>
      <c r="P912" s="744"/>
      <c r="Q912" s="743"/>
      <c r="R912" s="743"/>
      <c r="S912" s="743"/>
    </row>
    <row r="913" spans="1:19" ht="13">
      <c r="A913" s="743"/>
      <c r="B913" s="743"/>
      <c r="C913" s="743"/>
      <c r="D913" s="743"/>
      <c r="E913" s="743"/>
      <c r="F913" s="743"/>
      <c r="G913" s="743"/>
      <c r="H913" s="743"/>
      <c r="I913" s="743"/>
      <c r="J913" s="743"/>
      <c r="K913" s="743"/>
      <c r="L913" s="743"/>
      <c r="M913" s="743"/>
      <c r="N913" s="744"/>
      <c r="O913" s="744"/>
      <c r="P913" s="744"/>
      <c r="Q913" s="743"/>
      <c r="R913" s="743"/>
      <c r="S913" s="743"/>
    </row>
    <row r="914" spans="1:19" ht="13">
      <c r="A914" s="743"/>
      <c r="B914" s="743"/>
      <c r="C914" s="743"/>
      <c r="D914" s="743"/>
      <c r="E914" s="743"/>
      <c r="F914" s="743"/>
      <c r="G914" s="743"/>
      <c r="H914" s="743"/>
      <c r="I914" s="743"/>
      <c r="J914" s="743"/>
      <c r="K914" s="743"/>
      <c r="L914" s="743"/>
      <c r="M914" s="743"/>
      <c r="N914" s="744"/>
      <c r="O914" s="744"/>
      <c r="P914" s="744"/>
      <c r="Q914" s="743"/>
      <c r="R914" s="743"/>
      <c r="S914" s="743"/>
    </row>
    <row r="915" spans="1:19" ht="13">
      <c r="A915" s="743"/>
      <c r="B915" s="743"/>
      <c r="C915" s="743"/>
      <c r="D915" s="743"/>
      <c r="E915" s="743"/>
      <c r="F915" s="743"/>
      <c r="G915" s="743"/>
      <c r="H915" s="743"/>
      <c r="I915" s="743"/>
      <c r="J915" s="743"/>
      <c r="K915" s="743"/>
      <c r="L915" s="743"/>
      <c r="M915" s="743"/>
      <c r="N915" s="744"/>
      <c r="O915" s="744"/>
      <c r="P915" s="744"/>
      <c r="Q915" s="743"/>
      <c r="R915" s="743"/>
      <c r="S915" s="743"/>
    </row>
    <row r="916" spans="1:19" ht="13">
      <c r="A916" s="743"/>
      <c r="B916" s="743"/>
      <c r="C916" s="743"/>
      <c r="D916" s="743"/>
      <c r="E916" s="743"/>
      <c r="F916" s="743"/>
      <c r="G916" s="743"/>
      <c r="H916" s="743"/>
      <c r="I916" s="743"/>
      <c r="J916" s="743"/>
      <c r="K916" s="743"/>
      <c r="L916" s="743"/>
      <c r="M916" s="743"/>
      <c r="N916" s="744"/>
      <c r="O916" s="744"/>
      <c r="P916" s="744"/>
      <c r="Q916" s="743"/>
      <c r="R916" s="743"/>
      <c r="S916" s="743"/>
    </row>
    <row r="917" spans="1:19" ht="13">
      <c r="A917" s="743"/>
      <c r="B917" s="743"/>
      <c r="C917" s="743"/>
      <c r="D917" s="743"/>
      <c r="E917" s="743"/>
      <c r="F917" s="743"/>
      <c r="G917" s="743"/>
      <c r="H917" s="743"/>
      <c r="I917" s="743"/>
      <c r="J917" s="743"/>
      <c r="K917" s="743"/>
      <c r="L917" s="743"/>
      <c r="M917" s="743"/>
      <c r="N917" s="744"/>
      <c r="O917" s="744"/>
      <c r="P917" s="744"/>
      <c r="Q917" s="743"/>
      <c r="R917" s="743"/>
      <c r="S917" s="743"/>
    </row>
    <row r="918" spans="1:19" ht="13">
      <c r="A918" s="743"/>
      <c r="B918" s="743"/>
      <c r="C918" s="743"/>
      <c r="D918" s="743"/>
      <c r="E918" s="743"/>
      <c r="F918" s="743"/>
      <c r="G918" s="743"/>
      <c r="H918" s="743"/>
      <c r="I918" s="743"/>
      <c r="J918" s="743"/>
      <c r="K918" s="743"/>
      <c r="L918" s="743"/>
      <c r="M918" s="743"/>
      <c r="N918" s="744"/>
      <c r="O918" s="744"/>
      <c r="P918" s="744"/>
      <c r="Q918" s="743"/>
      <c r="R918" s="743"/>
      <c r="S918" s="743"/>
    </row>
    <row r="919" spans="1:19" ht="13">
      <c r="A919" s="743"/>
      <c r="B919" s="743"/>
      <c r="C919" s="743"/>
      <c r="D919" s="743"/>
      <c r="E919" s="743"/>
      <c r="F919" s="743"/>
      <c r="G919" s="743"/>
      <c r="H919" s="743"/>
      <c r="I919" s="743"/>
      <c r="J919" s="743"/>
      <c r="K919" s="743"/>
      <c r="L919" s="743"/>
      <c r="M919" s="743"/>
      <c r="N919" s="744"/>
      <c r="O919" s="744"/>
      <c r="P919" s="744"/>
      <c r="Q919" s="743"/>
      <c r="R919" s="743"/>
      <c r="S919" s="743"/>
    </row>
    <row r="920" spans="1:19" ht="13">
      <c r="A920" s="743"/>
      <c r="B920" s="743"/>
      <c r="C920" s="743"/>
      <c r="D920" s="743"/>
      <c r="E920" s="743"/>
      <c r="F920" s="743"/>
      <c r="G920" s="743"/>
      <c r="H920" s="743"/>
      <c r="I920" s="743"/>
      <c r="J920" s="743"/>
      <c r="K920" s="743"/>
      <c r="L920" s="743"/>
      <c r="M920" s="743"/>
      <c r="N920" s="744"/>
      <c r="O920" s="744"/>
      <c r="P920" s="744"/>
      <c r="Q920" s="743"/>
      <c r="R920" s="743"/>
      <c r="S920" s="743"/>
    </row>
    <row r="921" spans="1:19" ht="13">
      <c r="A921" s="743"/>
      <c r="B921" s="743"/>
      <c r="C921" s="743"/>
      <c r="D921" s="743"/>
      <c r="E921" s="743"/>
      <c r="F921" s="743"/>
      <c r="G921" s="743"/>
      <c r="H921" s="743"/>
      <c r="I921" s="743"/>
      <c r="J921" s="743"/>
      <c r="K921" s="743"/>
      <c r="L921" s="743"/>
      <c r="M921" s="743"/>
      <c r="N921" s="744"/>
      <c r="O921" s="744"/>
      <c r="P921" s="744"/>
      <c r="Q921" s="743"/>
      <c r="R921" s="743"/>
      <c r="S921" s="743"/>
    </row>
    <row r="922" spans="1:19" ht="13">
      <c r="A922" s="743"/>
      <c r="B922" s="743"/>
      <c r="C922" s="743"/>
      <c r="D922" s="743"/>
      <c r="E922" s="743"/>
      <c r="F922" s="743"/>
      <c r="G922" s="743"/>
      <c r="H922" s="743"/>
      <c r="I922" s="743"/>
      <c r="J922" s="743"/>
      <c r="K922" s="743"/>
      <c r="L922" s="743"/>
      <c r="M922" s="743"/>
      <c r="N922" s="744"/>
      <c r="O922" s="744"/>
      <c r="P922" s="744"/>
      <c r="Q922" s="743"/>
      <c r="R922" s="743"/>
      <c r="S922" s="743"/>
    </row>
    <row r="923" spans="1:19" ht="13">
      <c r="A923" s="743"/>
      <c r="B923" s="743"/>
      <c r="C923" s="743"/>
      <c r="D923" s="743"/>
      <c r="E923" s="743"/>
      <c r="F923" s="743"/>
      <c r="G923" s="743"/>
      <c r="H923" s="743"/>
      <c r="I923" s="743"/>
      <c r="J923" s="743"/>
      <c r="K923" s="743"/>
      <c r="L923" s="743"/>
      <c r="M923" s="743"/>
      <c r="N923" s="744"/>
      <c r="O923" s="744"/>
      <c r="P923" s="744"/>
      <c r="Q923" s="743"/>
      <c r="R923" s="743"/>
      <c r="S923" s="743"/>
    </row>
    <row r="924" spans="1:19" ht="13">
      <c r="A924" s="743"/>
      <c r="B924" s="743"/>
      <c r="C924" s="743"/>
      <c r="D924" s="743"/>
      <c r="E924" s="743"/>
      <c r="F924" s="743"/>
      <c r="G924" s="743"/>
      <c r="H924" s="743"/>
      <c r="I924" s="743"/>
      <c r="J924" s="743"/>
      <c r="K924" s="743"/>
      <c r="L924" s="743"/>
      <c r="M924" s="743"/>
      <c r="N924" s="744"/>
      <c r="O924" s="744"/>
      <c r="P924" s="744"/>
      <c r="Q924" s="743"/>
      <c r="R924" s="743"/>
      <c r="S924" s="743"/>
    </row>
    <row r="925" spans="1:19" ht="13">
      <c r="A925" s="743"/>
      <c r="B925" s="743"/>
      <c r="C925" s="743"/>
      <c r="D925" s="743"/>
      <c r="E925" s="743"/>
      <c r="F925" s="743"/>
      <c r="G925" s="743"/>
      <c r="H925" s="743"/>
      <c r="I925" s="743"/>
      <c r="J925" s="743"/>
      <c r="K925" s="743"/>
      <c r="L925" s="743"/>
      <c r="M925" s="743"/>
      <c r="N925" s="744"/>
      <c r="O925" s="744"/>
      <c r="P925" s="744"/>
      <c r="Q925" s="743"/>
      <c r="R925" s="743"/>
      <c r="S925" s="743"/>
    </row>
    <row r="926" spans="1:19" ht="13">
      <c r="A926" s="743"/>
      <c r="B926" s="743"/>
      <c r="C926" s="743"/>
      <c r="D926" s="743"/>
      <c r="E926" s="743"/>
      <c r="F926" s="743"/>
      <c r="G926" s="743"/>
      <c r="H926" s="743"/>
      <c r="I926" s="743"/>
      <c r="J926" s="743"/>
      <c r="K926" s="743"/>
      <c r="L926" s="743"/>
      <c r="M926" s="743"/>
      <c r="N926" s="744"/>
      <c r="O926" s="744"/>
      <c r="P926" s="744"/>
      <c r="Q926" s="743"/>
      <c r="R926" s="743"/>
      <c r="S926" s="743"/>
    </row>
    <row r="927" spans="1:19" ht="13">
      <c r="A927" s="743"/>
      <c r="B927" s="743"/>
      <c r="C927" s="743"/>
      <c r="D927" s="743"/>
      <c r="E927" s="743"/>
      <c r="F927" s="743"/>
      <c r="G927" s="743"/>
      <c r="H927" s="743"/>
      <c r="I927" s="743"/>
      <c r="J927" s="743"/>
      <c r="K927" s="743"/>
      <c r="L927" s="743"/>
      <c r="M927" s="743"/>
      <c r="N927" s="744"/>
      <c r="O927" s="744"/>
      <c r="P927" s="744"/>
      <c r="Q927" s="743"/>
      <c r="R927" s="743"/>
      <c r="S927" s="743"/>
    </row>
    <row r="928" spans="1:19" ht="13">
      <c r="A928" s="743"/>
      <c r="B928" s="743"/>
      <c r="C928" s="743"/>
      <c r="D928" s="743"/>
      <c r="E928" s="743"/>
      <c r="F928" s="743"/>
      <c r="G928" s="743"/>
      <c r="H928" s="743"/>
      <c r="I928" s="743"/>
      <c r="J928" s="743"/>
      <c r="K928" s="743"/>
      <c r="L928" s="743"/>
      <c r="M928" s="743"/>
      <c r="N928" s="744"/>
      <c r="O928" s="744"/>
      <c r="P928" s="744"/>
      <c r="Q928" s="743"/>
      <c r="R928" s="743"/>
      <c r="S928" s="743"/>
    </row>
    <row r="929" spans="1:19" ht="13">
      <c r="A929" s="743"/>
      <c r="B929" s="743"/>
      <c r="C929" s="743"/>
      <c r="D929" s="743"/>
      <c r="E929" s="743"/>
      <c r="F929" s="743"/>
      <c r="G929" s="743"/>
      <c r="H929" s="743"/>
      <c r="I929" s="743"/>
      <c r="J929" s="743"/>
      <c r="K929" s="743"/>
      <c r="L929" s="743"/>
      <c r="M929" s="743"/>
      <c r="N929" s="744"/>
      <c r="O929" s="744"/>
      <c r="P929" s="744"/>
      <c r="Q929" s="743"/>
      <c r="R929" s="743"/>
      <c r="S929" s="743"/>
    </row>
    <row r="930" spans="1:19" ht="13">
      <c r="A930" s="743"/>
      <c r="B930" s="743"/>
      <c r="C930" s="743"/>
      <c r="D930" s="743"/>
      <c r="E930" s="743"/>
      <c r="F930" s="743"/>
      <c r="G930" s="743"/>
      <c r="H930" s="743"/>
      <c r="I930" s="743"/>
      <c r="J930" s="743"/>
      <c r="K930" s="743"/>
      <c r="L930" s="743"/>
      <c r="M930" s="743"/>
      <c r="N930" s="744"/>
      <c r="O930" s="744"/>
      <c r="P930" s="744"/>
      <c r="Q930" s="743"/>
      <c r="R930" s="743"/>
      <c r="S930" s="743"/>
    </row>
    <row r="931" spans="1:19" ht="13">
      <c r="A931" s="743"/>
      <c r="B931" s="743"/>
      <c r="C931" s="743"/>
      <c r="D931" s="743"/>
      <c r="E931" s="743"/>
      <c r="F931" s="743"/>
      <c r="G931" s="743"/>
      <c r="H931" s="743"/>
      <c r="I931" s="743"/>
      <c r="J931" s="743"/>
      <c r="K931" s="743"/>
      <c r="L931" s="743"/>
      <c r="M931" s="743"/>
      <c r="N931" s="744"/>
      <c r="O931" s="744"/>
      <c r="P931" s="744"/>
      <c r="Q931" s="743"/>
      <c r="R931" s="743"/>
      <c r="S931" s="743"/>
    </row>
    <row r="932" spans="1:19" ht="13">
      <c r="A932" s="743"/>
      <c r="B932" s="743"/>
      <c r="C932" s="743"/>
      <c r="D932" s="743"/>
      <c r="E932" s="743"/>
      <c r="F932" s="743"/>
      <c r="G932" s="743"/>
      <c r="H932" s="743"/>
      <c r="I932" s="743"/>
      <c r="J932" s="743"/>
      <c r="K932" s="743"/>
      <c r="L932" s="743"/>
      <c r="M932" s="743"/>
      <c r="N932" s="744"/>
      <c r="O932" s="744"/>
      <c r="P932" s="744"/>
      <c r="Q932" s="743"/>
      <c r="R932" s="743"/>
      <c r="S932" s="743"/>
    </row>
    <row r="933" spans="1:19" ht="13">
      <c r="A933" s="743"/>
      <c r="B933" s="743"/>
      <c r="C933" s="743"/>
      <c r="D933" s="743"/>
      <c r="E933" s="743"/>
      <c r="F933" s="743"/>
      <c r="G933" s="743"/>
      <c r="H933" s="743"/>
      <c r="I933" s="743"/>
      <c r="J933" s="743"/>
      <c r="K933" s="743"/>
      <c r="L933" s="743"/>
      <c r="M933" s="743"/>
      <c r="N933" s="744"/>
      <c r="O933" s="744"/>
      <c r="P933" s="744"/>
      <c r="Q933" s="743"/>
      <c r="R933" s="743"/>
      <c r="S933" s="743"/>
    </row>
    <row r="934" spans="1:19" ht="13">
      <c r="A934" s="743"/>
      <c r="B934" s="743"/>
      <c r="C934" s="743"/>
      <c r="D934" s="743"/>
      <c r="E934" s="743"/>
      <c r="F934" s="743"/>
      <c r="G934" s="743"/>
      <c r="H934" s="743"/>
      <c r="I934" s="743"/>
      <c r="J934" s="743"/>
      <c r="K934" s="743"/>
      <c r="L934" s="743"/>
      <c r="M934" s="743"/>
      <c r="N934" s="744"/>
      <c r="O934" s="744"/>
      <c r="P934" s="744"/>
      <c r="Q934" s="743"/>
      <c r="R934" s="743"/>
      <c r="S934" s="743"/>
    </row>
    <row r="935" spans="1:19" ht="13">
      <c r="A935" s="743"/>
      <c r="B935" s="743"/>
      <c r="C935" s="743"/>
      <c r="D935" s="743"/>
      <c r="E935" s="743"/>
      <c r="F935" s="743"/>
      <c r="G935" s="743"/>
      <c r="H935" s="743"/>
      <c r="I935" s="743"/>
      <c r="J935" s="743"/>
      <c r="K935" s="743"/>
      <c r="L935" s="743"/>
      <c r="M935" s="743"/>
      <c r="N935" s="744"/>
      <c r="O935" s="744"/>
      <c r="P935" s="744"/>
      <c r="Q935" s="743"/>
      <c r="R935" s="743"/>
      <c r="S935" s="743"/>
    </row>
    <row r="936" spans="1:19" ht="13">
      <c r="A936" s="743"/>
      <c r="B936" s="743"/>
      <c r="C936" s="743"/>
      <c r="D936" s="743"/>
      <c r="E936" s="743"/>
      <c r="F936" s="743"/>
      <c r="G936" s="743"/>
      <c r="H936" s="743"/>
      <c r="I936" s="743"/>
      <c r="J936" s="743"/>
      <c r="K936" s="743"/>
      <c r="L936" s="743"/>
      <c r="M936" s="743"/>
      <c r="N936" s="744"/>
      <c r="O936" s="744"/>
      <c r="P936" s="744"/>
      <c r="Q936" s="743"/>
      <c r="R936" s="743"/>
      <c r="S936" s="743"/>
    </row>
    <row r="937" spans="1:19" ht="13">
      <c r="A937" s="743"/>
      <c r="B937" s="743"/>
      <c r="C937" s="743"/>
      <c r="D937" s="743"/>
      <c r="E937" s="743"/>
      <c r="F937" s="743"/>
      <c r="G937" s="743"/>
      <c r="H937" s="743"/>
      <c r="I937" s="743"/>
      <c r="J937" s="743"/>
      <c r="K937" s="743"/>
      <c r="L937" s="743"/>
      <c r="M937" s="743"/>
      <c r="N937" s="744"/>
      <c r="O937" s="744"/>
      <c r="P937" s="744"/>
      <c r="Q937" s="743"/>
      <c r="R937" s="743"/>
      <c r="S937" s="743"/>
    </row>
    <row r="938" spans="1:19" ht="13">
      <c r="A938" s="743"/>
      <c r="B938" s="743"/>
      <c r="C938" s="743"/>
      <c r="D938" s="743"/>
      <c r="E938" s="743"/>
      <c r="F938" s="743"/>
      <c r="G938" s="743"/>
      <c r="H938" s="743"/>
      <c r="I938" s="743"/>
      <c r="J938" s="743"/>
      <c r="K938" s="743"/>
      <c r="L938" s="743"/>
      <c r="M938" s="743"/>
      <c r="N938" s="744"/>
      <c r="O938" s="744"/>
      <c r="P938" s="744"/>
      <c r="Q938" s="743"/>
      <c r="R938" s="743"/>
      <c r="S938" s="743"/>
    </row>
    <row r="939" spans="1:19" ht="13">
      <c r="A939" s="743"/>
      <c r="B939" s="743"/>
      <c r="C939" s="743"/>
      <c r="D939" s="743"/>
      <c r="E939" s="743"/>
      <c r="F939" s="743"/>
      <c r="G939" s="743"/>
      <c r="H939" s="743"/>
      <c r="I939" s="743"/>
      <c r="J939" s="743"/>
      <c r="K939" s="743"/>
      <c r="L939" s="743"/>
      <c r="M939" s="743"/>
      <c r="N939" s="744"/>
      <c r="O939" s="744"/>
      <c r="P939" s="744"/>
      <c r="Q939" s="743"/>
      <c r="R939" s="743"/>
      <c r="S939" s="743"/>
    </row>
    <row r="940" spans="1:19" ht="13">
      <c r="A940" s="743"/>
      <c r="B940" s="743"/>
      <c r="C940" s="743"/>
      <c r="D940" s="743"/>
      <c r="E940" s="743"/>
      <c r="F940" s="743"/>
      <c r="G940" s="743"/>
      <c r="H940" s="743"/>
      <c r="I940" s="743"/>
      <c r="J940" s="743"/>
      <c r="K940" s="743"/>
      <c r="L940" s="743"/>
      <c r="M940" s="743"/>
      <c r="N940" s="744"/>
      <c r="O940" s="744"/>
      <c r="P940" s="744"/>
      <c r="Q940" s="743"/>
      <c r="R940" s="743"/>
      <c r="S940" s="743"/>
    </row>
    <row r="941" spans="1:19" ht="13">
      <c r="A941" s="743"/>
      <c r="B941" s="743"/>
      <c r="C941" s="743"/>
      <c r="D941" s="743"/>
      <c r="E941" s="743"/>
      <c r="F941" s="743"/>
      <c r="G941" s="743"/>
      <c r="H941" s="743"/>
      <c r="I941" s="743"/>
      <c r="J941" s="743"/>
      <c r="K941" s="743"/>
      <c r="L941" s="743"/>
      <c r="M941" s="743"/>
      <c r="N941" s="744"/>
      <c r="O941" s="744"/>
      <c r="P941" s="744"/>
      <c r="Q941" s="743"/>
      <c r="R941" s="743"/>
      <c r="S941" s="743"/>
    </row>
    <row r="942" spans="1:19" ht="13">
      <c r="A942" s="743"/>
      <c r="B942" s="743"/>
      <c r="C942" s="743"/>
      <c r="D942" s="743"/>
      <c r="E942" s="743"/>
      <c r="F942" s="743"/>
      <c r="G942" s="743"/>
      <c r="H942" s="743"/>
      <c r="I942" s="743"/>
      <c r="J942" s="743"/>
      <c r="K942" s="743"/>
      <c r="L942" s="743"/>
      <c r="M942" s="743"/>
      <c r="N942" s="744"/>
      <c r="O942" s="744"/>
      <c r="P942" s="744"/>
      <c r="Q942" s="743"/>
      <c r="R942" s="743"/>
      <c r="S942" s="743"/>
    </row>
    <row r="943" spans="1:19" ht="13">
      <c r="A943" s="743"/>
      <c r="B943" s="743"/>
      <c r="C943" s="743"/>
      <c r="D943" s="743"/>
      <c r="E943" s="743"/>
      <c r="F943" s="743"/>
      <c r="G943" s="743"/>
      <c r="H943" s="743"/>
      <c r="I943" s="743"/>
      <c r="J943" s="743"/>
      <c r="K943" s="743"/>
      <c r="L943" s="743"/>
      <c r="M943" s="743"/>
      <c r="N943" s="744"/>
      <c r="O943" s="744"/>
      <c r="P943" s="744"/>
      <c r="Q943" s="743"/>
      <c r="R943" s="743"/>
      <c r="S943" s="743"/>
    </row>
    <row r="944" spans="1:19" ht="13">
      <c r="A944" s="743"/>
      <c r="B944" s="743"/>
      <c r="C944" s="743"/>
      <c r="D944" s="743"/>
      <c r="E944" s="743"/>
      <c r="F944" s="743"/>
      <c r="G944" s="743"/>
      <c r="H944" s="743"/>
      <c r="I944" s="743"/>
      <c r="J944" s="743"/>
      <c r="K944" s="743"/>
      <c r="L944" s="743"/>
      <c r="M944" s="743"/>
      <c r="N944" s="744"/>
      <c r="O944" s="744"/>
      <c r="P944" s="744"/>
      <c r="Q944" s="743"/>
      <c r="R944" s="743"/>
      <c r="S944" s="743"/>
    </row>
    <row r="945" spans="1:19" ht="13">
      <c r="A945" s="743"/>
      <c r="B945" s="743"/>
      <c r="C945" s="743"/>
      <c r="D945" s="743"/>
      <c r="E945" s="743"/>
      <c r="F945" s="743"/>
      <c r="G945" s="743"/>
      <c r="H945" s="743"/>
      <c r="I945" s="743"/>
      <c r="J945" s="743"/>
      <c r="K945" s="743"/>
      <c r="L945" s="743"/>
      <c r="M945" s="743"/>
      <c r="N945" s="744"/>
      <c r="O945" s="744"/>
      <c r="P945" s="744"/>
      <c r="Q945" s="743"/>
      <c r="R945" s="743"/>
      <c r="S945" s="743"/>
    </row>
    <row r="946" spans="1:19" ht="13">
      <c r="A946" s="743"/>
      <c r="B946" s="743"/>
      <c r="C946" s="743"/>
      <c r="D946" s="743"/>
      <c r="E946" s="743"/>
      <c r="F946" s="743"/>
      <c r="G946" s="743"/>
      <c r="H946" s="743"/>
      <c r="I946" s="743"/>
      <c r="J946" s="743"/>
      <c r="K946" s="743"/>
      <c r="L946" s="743"/>
      <c r="M946" s="743"/>
      <c r="N946" s="744"/>
      <c r="O946" s="744"/>
      <c r="P946" s="744"/>
      <c r="Q946" s="743"/>
      <c r="R946" s="743"/>
      <c r="S946" s="743"/>
    </row>
    <row r="947" spans="1:19" ht="13">
      <c r="A947" s="743"/>
      <c r="B947" s="743"/>
      <c r="C947" s="743"/>
      <c r="D947" s="743"/>
      <c r="E947" s="743"/>
      <c r="F947" s="743"/>
      <c r="G947" s="743"/>
      <c r="H947" s="743"/>
      <c r="I947" s="743"/>
      <c r="J947" s="743"/>
      <c r="K947" s="743"/>
      <c r="L947" s="743"/>
      <c r="M947" s="743"/>
      <c r="N947" s="744"/>
      <c r="O947" s="744"/>
      <c r="P947" s="744"/>
      <c r="Q947" s="743"/>
      <c r="R947" s="743"/>
      <c r="S947" s="743"/>
    </row>
    <row r="948" spans="1:19" ht="13">
      <c r="A948" s="743"/>
      <c r="B948" s="743"/>
      <c r="C948" s="743"/>
      <c r="D948" s="743"/>
      <c r="E948" s="743"/>
      <c r="F948" s="743"/>
      <c r="G948" s="743"/>
      <c r="H948" s="743"/>
      <c r="I948" s="743"/>
      <c r="J948" s="743"/>
      <c r="K948" s="743"/>
      <c r="L948" s="743"/>
      <c r="M948" s="743"/>
      <c r="N948" s="744"/>
      <c r="O948" s="744"/>
      <c r="P948" s="744"/>
      <c r="Q948" s="743"/>
      <c r="R948" s="743"/>
      <c r="S948" s="743"/>
    </row>
    <row r="949" spans="1:19" ht="13">
      <c r="A949" s="743"/>
      <c r="B949" s="743"/>
      <c r="C949" s="743"/>
      <c r="D949" s="743"/>
      <c r="E949" s="743"/>
      <c r="F949" s="743"/>
      <c r="G949" s="743"/>
      <c r="H949" s="743"/>
      <c r="I949" s="743"/>
      <c r="J949" s="743"/>
      <c r="K949" s="743"/>
      <c r="L949" s="743"/>
      <c r="M949" s="743"/>
      <c r="N949" s="744"/>
      <c r="O949" s="744"/>
      <c r="P949" s="744"/>
      <c r="Q949" s="743"/>
      <c r="R949" s="743"/>
      <c r="S949" s="743"/>
    </row>
    <row r="950" spans="1:19" ht="13">
      <c r="A950" s="743"/>
      <c r="B950" s="743"/>
      <c r="C950" s="743"/>
      <c r="D950" s="743"/>
      <c r="E950" s="743"/>
      <c r="F950" s="743"/>
      <c r="G950" s="743"/>
      <c r="H950" s="743"/>
      <c r="I950" s="743"/>
      <c r="J950" s="743"/>
      <c r="K950" s="743"/>
      <c r="L950" s="743"/>
      <c r="M950" s="743"/>
      <c r="N950" s="744"/>
      <c r="O950" s="744"/>
      <c r="P950" s="744"/>
      <c r="Q950" s="743"/>
      <c r="R950" s="743"/>
      <c r="S950" s="743"/>
    </row>
    <row r="951" spans="1:19" ht="13">
      <c r="A951" s="743"/>
      <c r="B951" s="743"/>
      <c r="C951" s="743"/>
      <c r="D951" s="743"/>
      <c r="E951" s="743"/>
      <c r="F951" s="743"/>
      <c r="G951" s="743"/>
      <c r="H951" s="743"/>
      <c r="I951" s="743"/>
      <c r="J951" s="743"/>
      <c r="K951" s="743"/>
      <c r="L951" s="743"/>
      <c r="M951" s="743"/>
      <c r="N951" s="744"/>
      <c r="O951" s="744"/>
      <c r="P951" s="744"/>
      <c r="Q951" s="743"/>
      <c r="R951" s="743"/>
      <c r="S951" s="743"/>
    </row>
    <row r="952" spans="1:19" ht="13">
      <c r="A952" s="743"/>
      <c r="B952" s="743"/>
      <c r="C952" s="743"/>
      <c r="D952" s="743"/>
      <c r="E952" s="743"/>
      <c r="F952" s="743"/>
      <c r="G952" s="743"/>
      <c r="H952" s="743"/>
      <c r="I952" s="743"/>
      <c r="J952" s="743"/>
      <c r="K952" s="743"/>
      <c r="L952" s="743"/>
      <c r="M952" s="743"/>
      <c r="N952" s="744"/>
      <c r="O952" s="744"/>
      <c r="P952" s="744"/>
      <c r="Q952" s="743"/>
      <c r="R952" s="743"/>
      <c r="S952" s="743"/>
    </row>
    <row r="953" spans="1:19" ht="13">
      <c r="A953" s="743"/>
      <c r="B953" s="743"/>
      <c r="C953" s="743"/>
      <c r="D953" s="743"/>
      <c r="E953" s="743"/>
      <c r="F953" s="743"/>
      <c r="G953" s="743"/>
      <c r="H953" s="743"/>
      <c r="I953" s="743"/>
      <c r="J953" s="743"/>
      <c r="K953" s="743"/>
      <c r="L953" s="743"/>
      <c r="M953" s="743"/>
      <c r="N953" s="744"/>
      <c r="O953" s="744"/>
      <c r="P953" s="744"/>
      <c r="Q953" s="743"/>
      <c r="R953" s="743"/>
      <c r="S953" s="743"/>
    </row>
    <row r="954" spans="1:19" ht="13">
      <c r="A954" s="743"/>
      <c r="B954" s="743"/>
      <c r="C954" s="743"/>
      <c r="D954" s="743"/>
      <c r="E954" s="743"/>
      <c r="F954" s="743"/>
      <c r="G954" s="743"/>
      <c r="H954" s="743"/>
      <c r="I954" s="743"/>
      <c r="J954" s="743"/>
      <c r="K954" s="743"/>
      <c r="L954" s="743"/>
      <c r="M954" s="743"/>
      <c r="N954" s="744"/>
      <c r="O954" s="744"/>
      <c r="P954" s="744"/>
      <c r="Q954" s="743"/>
      <c r="R954" s="743"/>
      <c r="S954" s="743"/>
    </row>
    <row r="955" spans="1:19" ht="13">
      <c r="A955" s="743"/>
      <c r="B955" s="743"/>
      <c r="C955" s="743"/>
      <c r="D955" s="743"/>
      <c r="E955" s="743"/>
      <c r="F955" s="743"/>
      <c r="G955" s="743"/>
      <c r="H955" s="743"/>
      <c r="I955" s="743"/>
      <c r="J955" s="743"/>
      <c r="K955" s="743"/>
      <c r="L955" s="743"/>
      <c r="M955" s="743"/>
      <c r="N955" s="744"/>
      <c r="O955" s="744"/>
      <c r="P955" s="744"/>
      <c r="Q955" s="743"/>
      <c r="R955" s="743"/>
      <c r="S955" s="743"/>
    </row>
    <row r="956" spans="1:19" ht="13">
      <c r="A956" s="743"/>
      <c r="B956" s="743"/>
      <c r="C956" s="743"/>
      <c r="D956" s="743"/>
      <c r="E956" s="743"/>
      <c r="F956" s="743"/>
      <c r="G956" s="743"/>
      <c r="H956" s="743"/>
      <c r="I956" s="743"/>
      <c r="J956" s="743"/>
      <c r="K956" s="743"/>
      <c r="L956" s="743"/>
      <c r="M956" s="743"/>
      <c r="N956" s="744"/>
      <c r="O956" s="744"/>
      <c r="P956" s="744"/>
      <c r="Q956" s="743"/>
      <c r="R956" s="743"/>
      <c r="S956" s="743"/>
    </row>
    <row r="957" spans="1:19" ht="13">
      <c r="A957" s="743"/>
      <c r="B957" s="743"/>
      <c r="C957" s="743"/>
      <c r="D957" s="743"/>
      <c r="E957" s="743"/>
      <c r="F957" s="743"/>
      <c r="G957" s="743"/>
      <c r="H957" s="743"/>
      <c r="I957" s="743"/>
      <c r="J957" s="743"/>
      <c r="K957" s="743"/>
      <c r="L957" s="743"/>
      <c r="M957" s="743"/>
      <c r="N957" s="744"/>
      <c r="O957" s="744"/>
      <c r="P957" s="744"/>
      <c r="Q957" s="743"/>
      <c r="R957" s="743"/>
      <c r="S957" s="743"/>
    </row>
    <row r="958" spans="1:19" ht="13">
      <c r="A958" s="743"/>
      <c r="B958" s="743"/>
      <c r="C958" s="743"/>
      <c r="D958" s="743"/>
      <c r="E958" s="743"/>
      <c r="F958" s="743"/>
      <c r="G958" s="743"/>
      <c r="H958" s="743"/>
      <c r="I958" s="743"/>
      <c r="J958" s="743"/>
      <c r="K958" s="743"/>
      <c r="L958" s="743"/>
      <c r="M958" s="743"/>
      <c r="N958" s="744"/>
      <c r="O958" s="744"/>
      <c r="P958" s="744"/>
      <c r="Q958" s="743"/>
      <c r="R958" s="743"/>
      <c r="S958" s="743"/>
    </row>
    <row r="959" spans="1:19" ht="13">
      <c r="A959" s="743"/>
      <c r="B959" s="743"/>
      <c r="C959" s="743"/>
      <c r="D959" s="743"/>
      <c r="E959" s="743"/>
      <c r="F959" s="743"/>
      <c r="G959" s="743"/>
      <c r="H959" s="743"/>
      <c r="I959" s="743"/>
      <c r="J959" s="743"/>
      <c r="K959" s="743"/>
      <c r="L959" s="743"/>
      <c r="M959" s="743"/>
      <c r="N959" s="744"/>
      <c r="O959" s="744"/>
      <c r="P959" s="744"/>
      <c r="Q959" s="743"/>
      <c r="R959" s="743"/>
      <c r="S959" s="743"/>
    </row>
    <row r="960" spans="1:19" ht="13">
      <c r="A960" s="743"/>
      <c r="B960" s="743"/>
      <c r="C960" s="743"/>
      <c r="D960" s="743"/>
      <c r="E960" s="743"/>
      <c r="F960" s="743"/>
      <c r="G960" s="743"/>
      <c r="H960" s="743"/>
      <c r="I960" s="743"/>
      <c r="J960" s="743"/>
      <c r="K960" s="743"/>
      <c r="L960" s="743"/>
      <c r="M960" s="743"/>
      <c r="N960" s="744"/>
      <c r="O960" s="744"/>
      <c r="P960" s="744"/>
      <c r="Q960" s="743"/>
      <c r="R960" s="743"/>
      <c r="S960" s="743"/>
    </row>
    <row r="961" spans="1:19" ht="13">
      <c r="A961" s="743"/>
      <c r="B961" s="743"/>
      <c r="C961" s="743"/>
      <c r="D961" s="743"/>
      <c r="E961" s="743"/>
      <c r="F961" s="743"/>
      <c r="G961" s="743"/>
      <c r="H961" s="743"/>
      <c r="I961" s="743"/>
      <c r="J961" s="743"/>
      <c r="K961" s="743"/>
      <c r="L961" s="743"/>
      <c r="M961" s="743"/>
      <c r="N961" s="744"/>
      <c r="O961" s="744"/>
      <c r="P961" s="744"/>
      <c r="Q961" s="743"/>
      <c r="R961" s="743"/>
      <c r="S961" s="743"/>
    </row>
    <row r="962" spans="1:19" ht="13">
      <c r="A962" s="743"/>
      <c r="B962" s="743"/>
      <c r="C962" s="743"/>
      <c r="D962" s="743"/>
      <c r="E962" s="743"/>
      <c r="F962" s="743"/>
      <c r="G962" s="743"/>
      <c r="H962" s="743"/>
      <c r="I962" s="743"/>
      <c r="J962" s="743"/>
      <c r="K962" s="743"/>
      <c r="L962" s="743"/>
      <c r="M962" s="743"/>
      <c r="N962" s="744"/>
      <c r="O962" s="744"/>
      <c r="P962" s="744"/>
      <c r="Q962" s="743"/>
      <c r="R962" s="743"/>
      <c r="S962" s="743"/>
    </row>
    <row r="963" spans="1:19" ht="13">
      <c r="A963" s="743"/>
      <c r="B963" s="743"/>
      <c r="C963" s="743"/>
      <c r="D963" s="743"/>
      <c r="E963" s="743"/>
      <c r="F963" s="743"/>
      <c r="G963" s="743"/>
      <c r="H963" s="743"/>
      <c r="I963" s="743"/>
      <c r="J963" s="743"/>
      <c r="K963" s="743"/>
      <c r="L963" s="743"/>
      <c r="M963" s="743"/>
      <c r="N963" s="744"/>
      <c r="O963" s="744"/>
      <c r="P963" s="744"/>
      <c r="Q963" s="743"/>
      <c r="R963" s="743"/>
      <c r="S963" s="743"/>
    </row>
    <row r="964" spans="1:19" ht="13">
      <c r="A964" s="743"/>
      <c r="B964" s="743"/>
      <c r="C964" s="743"/>
      <c r="D964" s="743"/>
      <c r="E964" s="743"/>
      <c r="F964" s="743"/>
      <c r="G964" s="743"/>
      <c r="H964" s="743"/>
      <c r="I964" s="743"/>
      <c r="J964" s="743"/>
      <c r="K964" s="743"/>
      <c r="L964" s="743"/>
      <c r="M964" s="743"/>
      <c r="N964" s="744"/>
      <c r="O964" s="744"/>
      <c r="P964" s="744"/>
      <c r="Q964" s="743"/>
      <c r="R964" s="743"/>
      <c r="S964" s="743"/>
    </row>
    <row r="965" spans="1:19" ht="13">
      <c r="A965" s="743"/>
      <c r="B965" s="743"/>
      <c r="C965" s="743"/>
      <c r="D965" s="743"/>
      <c r="E965" s="743"/>
      <c r="F965" s="743"/>
      <c r="G965" s="743"/>
      <c r="H965" s="743"/>
      <c r="I965" s="743"/>
      <c r="J965" s="743"/>
      <c r="K965" s="743"/>
      <c r="L965" s="743"/>
      <c r="M965" s="743"/>
      <c r="N965" s="744"/>
      <c r="O965" s="744"/>
      <c r="P965" s="744"/>
      <c r="Q965" s="743"/>
      <c r="R965" s="743"/>
      <c r="S965" s="743"/>
    </row>
    <row r="966" spans="1:19" ht="13">
      <c r="A966" s="743"/>
      <c r="B966" s="743"/>
      <c r="C966" s="743"/>
      <c r="D966" s="743"/>
      <c r="E966" s="743"/>
      <c r="F966" s="743"/>
      <c r="G966" s="743"/>
      <c r="H966" s="743"/>
      <c r="I966" s="743"/>
      <c r="J966" s="743"/>
      <c r="K966" s="743"/>
      <c r="L966" s="743"/>
      <c r="M966" s="743"/>
      <c r="N966" s="744"/>
      <c r="O966" s="744"/>
      <c r="P966" s="744"/>
      <c r="Q966" s="743"/>
      <c r="R966" s="743"/>
      <c r="S966" s="743"/>
    </row>
    <row r="967" spans="1:19" ht="13">
      <c r="A967" s="743"/>
      <c r="B967" s="743"/>
      <c r="C967" s="743"/>
      <c r="D967" s="743"/>
      <c r="E967" s="743"/>
      <c r="F967" s="743"/>
      <c r="G967" s="743"/>
      <c r="H967" s="743"/>
      <c r="I967" s="743"/>
      <c r="J967" s="743"/>
      <c r="K967" s="743"/>
      <c r="L967" s="743"/>
      <c r="M967" s="743"/>
      <c r="N967" s="744"/>
      <c r="O967" s="744"/>
      <c r="P967" s="744"/>
      <c r="Q967" s="743"/>
      <c r="R967" s="743"/>
      <c r="S967" s="743"/>
    </row>
    <row r="968" spans="1:19" ht="13">
      <c r="A968" s="743"/>
      <c r="B968" s="743"/>
      <c r="C968" s="743"/>
      <c r="D968" s="743"/>
      <c r="E968" s="743"/>
      <c r="F968" s="743"/>
      <c r="G968" s="743"/>
      <c r="H968" s="743"/>
      <c r="I968" s="743"/>
      <c r="J968" s="743"/>
      <c r="K968" s="743"/>
      <c r="L968" s="743"/>
      <c r="M968" s="743"/>
      <c r="N968" s="744"/>
      <c r="O968" s="744"/>
      <c r="P968" s="744"/>
      <c r="Q968" s="743"/>
      <c r="R968" s="743"/>
      <c r="S968" s="743"/>
    </row>
    <row r="969" spans="1:19" ht="13">
      <c r="A969" s="743"/>
      <c r="B969" s="743"/>
      <c r="C969" s="743"/>
      <c r="D969" s="743"/>
      <c r="E969" s="743"/>
      <c r="F969" s="743"/>
      <c r="G969" s="743"/>
      <c r="H969" s="743"/>
      <c r="I969" s="743"/>
      <c r="J969" s="743"/>
      <c r="K969" s="743"/>
      <c r="L969" s="743"/>
      <c r="M969" s="743"/>
      <c r="N969" s="744"/>
      <c r="O969" s="744"/>
      <c r="P969" s="744"/>
      <c r="Q969" s="743"/>
      <c r="R969" s="743"/>
      <c r="S969" s="743"/>
    </row>
    <row r="970" spans="1:19" ht="13">
      <c r="A970" s="743"/>
      <c r="B970" s="743"/>
      <c r="C970" s="743"/>
      <c r="D970" s="743"/>
      <c r="E970" s="743"/>
      <c r="F970" s="743"/>
      <c r="G970" s="743"/>
      <c r="H970" s="743"/>
      <c r="I970" s="743"/>
      <c r="J970" s="743"/>
      <c r="K970" s="743"/>
      <c r="L970" s="743"/>
      <c r="M970" s="743"/>
      <c r="N970" s="744"/>
      <c r="O970" s="744"/>
      <c r="P970" s="744"/>
      <c r="Q970" s="743"/>
      <c r="R970" s="743"/>
      <c r="S970" s="743"/>
    </row>
    <row r="971" spans="1:19" ht="13">
      <c r="A971" s="743"/>
      <c r="B971" s="743"/>
      <c r="C971" s="743"/>
      <c r="D971" s="743"/>
      <c r="E971" s="743"/>
      <c r="F971" s="743"/>
      <c r="G971" s="743"/>
      <c r="H971" s="743"/>
      <c r="I971" s="743"/>
      <c r="J971" s="743"/>
      <c r="K971" s="743"/>
      <c r="L971" s="743"/>
      <c r="M971" s="743"/>
      <c r="N971" s="744"/>
      <c r="O971" s="744"/>
      <c r="P971" s="744"/>
      <c r="Q971" s="743"/>
      <c r="R971" s="743"/>
      <c r="S971" s="743"/>
    </row>
    <row r="972" spans="1:19" ht="13">
      <c r="A972" s="743"/>
      <c r="B972" s="743"/>
      <c r="C972" s="743"/>
      <c r="D972" s="743"/>
      <c r="E972" s="743"/>
      <c r="F972" s="743"/>
      <c r="G972" s="743"/>
      <c r="H972" s="743"/>
      <c r="I972" s="743"/>
      <c r="J972" s="743"/>
      <c r="K972" s="743"/>
      <c r="L972" s="743"/>
      <c r="M972" s="743"/>
      <c r="N972" s="744"/>
      <c r="O972" s="744"/>
      <c r="P972" s="744"/>
      <c r="Q972" s="743"/>
      <c r="R972" s="743"/>
      <c r="S972" s="743"/>
    </row>
    <row r="973" spans="1:19" ht="13">
      <c r="A973" s="743"/>
      <c r="B973" s="743"/>
      <c r="C973" s="743"/>
      <c r="D973" s="743"/>
      <c r="E973" s="743"/>
      <c r="F973" s="743"/>
      <c r="G973" s="743"/>
      <c r="H973" s="743"/>
      <c r="I973" s="743"/>
      <c r="J973" s="743"/>
      <c r="K973" s="743"/>
      <c r="L973" s="743"/>
      <c r="M973" s="743"/>
      <c r="N973" s="744"/>
      <c r="O973" s="744"/>
      <c r="P973" s="744"/>
      <c r="Q973" s="743"/>
      <c r="R973" s="743"/>
      <c r="S973" s="743"/>
    </row>
    <row r="974" spans="1:19" ht="13">
      <c r="A974" s="743"/>
      <c r="B974" s="743"/>
      <c r="C974" s="743"/>
      <c r="D974" s="743"/>
      <c r="E974" s="743"/>
      <c r="F974" s="743"/>
      <c r="G974" s="743"/>
      <c r="H974" s="743"/>
      <c r="I974" s="743"/>
      <c r="J974" s="743"/>
      <c r="K974" s="743"/>
      <c r="L974" s="743"/>
      <c r="M974" s="743"/>
      <c r="N974" s="744"/>
      <c r="O974" s="744"/>
      <c r="P974" s="744"/>
      <c r="Q974" s="743"/>
      <c r="R974" s="743"/>
      <c r="S974" s="743"/>
    </row>
    <row r="975" spans="1:19" ht="13">
      <c r="A975" s="743"/>
      <c r="B975" s="743"/>
      <c r="C975" s="743"/>
      <c r="D975" s="743"/>
      <c r="E975" s="743"/>
      <c r="F975" s="743"/>
      <c r="G975" s="743"/>
      <c r="H975" s="743"/>
      <c r="I975" s="743"/>
      <c r="J975" s="743"/>
      <c r="K975" s="743"/>
      <c r="L975" s="743"/>
      <c r="M975" s="743"/>
      <c r="N975" s="744"/>
      <c r="O975" s="744"/>
      <c r="P975" s="744"/>
      <c r="Q975" s="743"/>
      <c r="R975" s="743"/>
      <c r="S975" s="743"/>
    </row>
    <row r="976" spans="1:19" ht="13">
      <c r="A976" s="743"/>
      <c r="B976" s="743"/>
      <c r="C976" s="743"/>
      <c r="D976" s="743"/>
      <c r="E976" s="743"/>
      <c r="F976" s="743"/>
      <c r="G976" s="743"/>
      <c r="H976" s="743"/>
      <c r="I976" s="743"/>
      <c r="J976" s="743"/>
      <c r="K976" s="743"/>
      <c r="L976" s="743"/>
      <c r="M976" s="743"/>
      <c r="N976" s="744"/>
      <c r="O976" s="744"/>
      <c r="P976" s="744"/>
      <c r="Q976" s="743"/>
      <c r="R976" s="743"/>
      <c r="S976" s="743"/>
    </row>
    <row r="977" spans="1:19" ht="13">
      <c r="A977" s="743"/>
      <c r="B977" s="743"/>
      <c r="C977" s="743"/>
      <c r="D977" s="743"/>
      <c r="E977" s="743"/>
      <c r="F977" s="743"/>
      <c r="G977" s="743"/>
      <c r="H977" s="743"/>
      <c r="I977" s="743"/>
      <c r="J977" s="743"/>
      <c r="K977" s="743"/>
      <c r="L977" s="743"/>
      <c r="M977" s="743"/>
      <c r="N977" s="744"/>
      <c r="O977" s="744"/>
      <c r="P977" s="744"/>
      <c r="Q977" s="743"/>
      <c r="R977" s="743"/>
      <c r="S977" s="743"/>
    </row>
    <row r="978" spans="1:19" ht="13">
      <c r="A978" s="743"/>
      <c r="B978" s="743"/>
      <c r="C978" s="743"/>
      <c r="D978" s="743"/>
      <c r="E978" s="743"/>
      <c r="F978" s="743"/>
      <c r="G978" s="743"/>
      <c r="H978" s="743"/>
      <c r="I978" s="743"/>
      <c r="J978" s="743"/>
      <c r="K978" s="743"/>
      <c r="L978" s="743"/>
      <c r="M978" s="743"/>
      <c r="N978" s="744"/>
      <c r="O978" s="744"/>
      <c r="P978" s="744"/>
      <c r="Q978" s="743"/>
      <c r="R978" s="743"/>
      <c r="S978" s="743"/>
    </row>
    <row r="979" spans="1:19" ht="13">
      <c r="A979" s="743"/>
      <c r="B979" s="743"/>
      <c r="C979" s="743"/>
      <c r="D979" s="743"/>
      <c r="E979" s="743"/>
      <c r="F979" s="743"/>
      <c r="G979" s="743"/>
      <c r="H979" s="743"/>
      <c r="I979" s="743"/>
      <c r="J979" s="743"/>
      <c r="K979" s="743"/>
      <c r="L979" s="743"/>
      <c r="M979" s="743"/>
      <c r="N979" s="744"/>
      <c r="O979" s="744"/>
      <c r="P979" s="744"/>
      <c r="Q979" s="743"/>
      <c r="R979" s="743"/>
      <c r="S979" s="743"/>
    </row>
    <row r="980" spans="1:19" ht="13">
      <c r="A980" s="743"/>
      <c r="B980" s="743"/>
      <c r="C980" s="743"/>
      <c r="D980" s="743"/>
      <c r="E980" s="743"/>
      <c r="F980" s="743"/>
      <c r="G980" s="743"/>
      <c r="H980" s="743"/>
      <c r="I980" s="743"/>
      <c r="J980" s="743"/>
      <c r="K980" s="743"/>
      <c r="L980" s="743"/>
      <c r="M980" s="743"/>
      <c r="N980" s="744"/>
      <c r="O980" s="744"/>
      <c r="P980" s="744"/>
      <c r="Q980" s="743"/>
      <c r="R980" s="743"/>
      <c r="S980" s="743"/>
    </row>
    <row r="981" spans="1:19" ht="13">
      <c r="A981" s="743"/>
      <c r="B981" s="743"/>
      <c r="C981" s="743"/>
      <c r="D981" s="743"/>
      <c r="E981" s="743"/>
      <c r="F981" s="743"/>
      <c r="G981" s="743"/>
      <c r="H981" s="743"/>
      <c r="I981" s="743"/>
      <c r="J981" s="743"/>
      <c r="K981" s="743"/>
      <c r="L981" s="743"/>
      <c r="M981" s="743"/>
      <c r="N981" s="744"/>
      <c r="O981" s="744"/>
      <c r="P981" s="744"/>
      <c r="Q981" s="743"/>
      <c r="R981" s="743"/>
      <c r="S981" s="743"/>
    </row>
    <row r="982" spans="1:19" ht="13">
      <c r="A982" s="743"/>
      <c r="B982" s="743"/>
      <c r="C982" s="743"/>
      <c r="D982" s="743"/>
      <c r="E982" s="743"/>
      <c r="F982" s="743"/>
      <c r="G982" s="743"/>
      <c r="H982" s="743"/>
      <c r="I982" s="743"/>
      <c r="J982" s="743"/>
      <c r="K982" s="743"/>
      <c r="L982" s="743"/>
      <c r="M982" s="743"/>
      <c r="N982" s="744"/>
      <c r="O982" s="744"/>
      <c r="P982" s="744"/>
      <c r="Q982" s="743"/>
      <c r="R982" s="743"/>
      <c r="S982" s="743"/>
    </row>
    <row r="983" spans="1:19" ht="13">
      <c r="A983" s="743"/>
      <c r="B983" s="743"/>
      <c r="C983" s="743"/>
      <c r="D983" s="743"/>
      <c r="E983" s="743"/>
      <c r="F983" s="743"/>
      <c r="G983" s="743"/>
      <c r="H983" s="743"/>
      <c r="I983" s="743"/>
      <c r="J983" s="743"/>
      <c r="K983" s="743"/>
      <c r="L983" s="743"/>
      <c r="M983" s="743"/>
      <c r="N983" s="744"/>
      <c r="O983" s="744"/>
      <c r="P983" s="744"/>
      <c r="Q983" s="743"/>
      <c r="R983" s="743"/>
      <c r="S983" s="743"/>
    </row>
    <row r="984" spans="1:19" ht="13">
      <c r="A984" s="743"/>
      <c r="B984" s="743"/>
      <c r="C984" s="743"/>
      <c r="D984" s="743"/>
      <c r="E984" s="743"/>
      <c r="F984" s="743"/>
      <c r="G984" s="743"/>
      <c r="H984" s="743"/>
      <c r="I984" s="743"/>
      <c r="J984" s="743"/>
      <c r="K984" s="743"/>
      <c r="L984" s="743"/>
      <c r="M984" s="743"/>
      <c r="N984" s="744"/>
      <c r="O984" s="744"/>
      <c r="P984" s="744"/>
      <c r="Q984" s="743"/>
      <c r="R984" s="743"/>
      <c r="S984" s="743"/>
    </row>
    <row r="985" spans="1:19" ht="13">
      <c r="A985" s="743"/>
      <c r="B985" s="743"/>
      <c r="C985" s="743"/>
      <c r="D985" s="743"/>
      <c r="E985" s="743"/>
      <c r="F985" s="743"/>
      <c r="G985" s="743"/>
      <c r="H985" s="743"/>
      <c r="I985" s="743"/>
      <c r="J985" s="743"/>
      <c r="K985" s="743"/>
      <c r="L985" s="743"/>
      <c r="M985" s="743"/>
      <c r="N985" s="744"/>
      <c r="O985" s="744"/>
      <c r="P985" s="744"/>
      <c r="Q985" s="743"/>
      <c r="R985" s="743"/>
      <c r="S985" s="743"/>
    </row>
    <row r="986" spans="1:19" ht="13">
      <c r="A986" s="743"/>
      <c r="B986" s="743"/>
      <c r="C986" s="743"/>
      <c r="D986" s="743"/>
      <c r="E986" s="743"/>
      <c r="F986" s="743"/>
      <c r="G986" s="743"/>
      <c r="H986" s="743"/>
      <c r="I986" s="743"/>
      <c r="J986" s="743"/>
      <c r="K986" s="743"/>
      <c r="L986" s="743"/>
      <c r="M986" s="743"/>
      <c r="N986" s="744"/>
      <c r="O986" s="744"/>
      <c r="P986" s="744"/>
      <c r="Q986" s="743"/>
      <c r="R986" s="743"/>
      <c r="S986" s="743"/>
    </row>
    <row r="987" spans="1:19" ht="13">
      <c r="A987" s="743"/>
      <c r="B987" s="743"/>
      <c r="C987" s="743"/>
      <c r="D987" s="743"/>
      <c r="E987" s="743"/>
      <c r="F987" s="743"/>
      <c r="G987" s="743"/>
      <c r="H987" s="743"/>
      <c r="I987" s="743"/>
      <c r="J987" s="743"/>
      <c r="K987" s="743"/>
      <c r="L987" s="743"/>
      <c r="M987" s="743"/>
      <c r="N987" s="744"/>
      <c r="O987" s="744"/>
      <c r="P987" s="744"/>
      <c r="Q987" s="743"/>
      <c r="R987" s="743"/>
      <c r="S987" s="743"/>
    </row>
    <row r="988" spans="1:19" ht="13">
      <c r="A988" s="743"/>
      <c r="B988" s="743"/>
      <c r="C988" s="743"/>
      <c r="D988" s="743"/>
      <c r="E988" s="743"/>
      <c r="F988" s="743"/>
      <c r="G988" s="743"/>
      <c r="H988" s="743"/>
      <c r="I988" s="743"/>
      <c r="J988" s="743"/>
      <c r="K988" s="743"/>
      <c r="L988" s="743"/>
      <c r="M988" s="743"/>
      <c r="N988" s="744"/>
      <c r="O988" s="744"/>
      <c r="P988" s="744"/>
      <c r="Q988" s="743"/>
      <c r="R988" s="743"/>
      <c r="S988" s="743"/>
    </row>
    <row r="989" spans="1:19" ht="13">
      <c r="A989" s="743"/>
      <c r="B989" s="743"/>
      <c r="C989" s="743"/>
      <c r="D989" s="743"/>
      <c r="E989" s="743"/>
      <c r="F989" s="743"/>
      <c r="G989" s="743"/>
      <c r="H989" s="743"/>
      <c r="I989" s="743"/>
      <c r="J989" s="743"/>
      <c r="K989" s="743"/>
      <c r="L989" s="743"/>
      <c r="M989" s="743"/>
      <c r="N989" s="744"/>
      <c r="O989" s="744"/>
      <c r="P989" s="744"/>
      <c r="Q989" s="743"/>
      <c r="R989" s="743"/>
      <c r="S989" s="743"/>
    </row>
    <row r="990" spans="1:19" ht="13">
      <c r="A990" s="743"/>
      <c r="B990" s="743"/>
      <c r="C990" s="743"/>
      <c r="D990" s="743"/>
      <c r="E990" s="743"/>
      <c r="F990" s="743"/>
      <c r="G990" s="743"/>
      <c r="H990" s="743"/>
      <c r="I990" s="743"/>
      <c r="J990" s="743"/>
      <c r="K990" s="743"/>
      <c r="L990" s="743"/>
      <c r="M990" s="743"/>
      <c r="N990" s="744"/>
      <c r="O990" s="744"/>
      <c r="P990" s="744"/>
      <c r="Q990" s="743"/>
      <c r="R990" s="743"/>
      <c r="S990" s="743"/>
    </row>
    <row r="991" spans="1:19" ht="13">
      <c r="A991" s="743"/>
      <c r="B991" s="743"/>
      <c r="C991" s="743"/>
      <c r="D991" s="743"/>
      <c r="E991" s="743"/>
      <c r="F991" s="743"/>
      <c r="G991" s="743"/>
      <c r="H991" s="743"/>
      <c r="I991" s="743"/>
      <c r="J991" s="743"/>
      <c r="K991" s="743"/>
      <c r="L991" s="743"/>
      <c r="M991" s="743"/>
      <c r="N991" s="744"/>
      <c r="O991" s="744"/>
      <c r="P991" s="744"/>
      <c r="Q991" s="743"/>
      <c r="R991" s="743"/>
      <c r="S991" s="743"/>
    </row>
    <row r="992" spans="1:19" ht="13">
      <c r="A992" s="743"/>
      <c r="B992" s="743"/>
      <c r="C992" s="743"/>
      <c r="D992" s="743"/>
      <c r="E992" s="743"/>
      <c r="F992" s="743"/>
      <c r="G992" s="743"/>
      <c r="H992" s="743"/>
      <c r="I992" s="743"/>
      <c r="J992" s="743"/>
      <c r="K992" s="743"/>
      <c r="L992" s="743"/>
      <c r="M992" s="743"/>
      <c r="N992" s="744"/>
      <c r="O992" s="744"/>
      <c r="P992" s="744"/>
      <c r="Q992" s="743"/>
      <c r="R992" s="743"/>
      <c r="S992" s="743"/>
    </row>
    <row r="993" spans="1:19" ht="13">
      <c r="A993" s="743"/>
      <c r="B993" s="743"/>
      <c r="C993" s="743"/>
      <c r="D993" s="743"/>
      <c r="E993" s="743"/>
      <c r="F993" s="743"/>
      <c r="G993" s="743"/>
      <c r="H993" s="743"/>
      <c r="I993" s="743"/>
      <c r="J993" s="743"/>
      <c r="K993" s="743"/>
      <c r="L993" s="743"/>
      <c r="M993" s="743"/>
      <c r="N993" s="744"/>
      <c r="O993" s="744"/>
      <c r="P993" s="744"/>
      <c r="Q993" s="743"/>
      <c r="R993" s="743"/>
      <c r="S993" s="743"/>
    </row>
    <row r="994" spans="1:19" ht="13">
      <c r="A994" s="743"/>
      <c r="B994" s="743"/>
      <c r="C994" s="743"/>
      <c r="D994" s="743"/>
      <c r="E994" s="743"/>
      <c r="F994" s="743"/>
      <c r="G994" s="743"/>
      <c r="H994" s="743"/>
      <c r="I994" s="743"/>
      <c r="J994" s="743"/>
      <c r="K994" s="743"/>
      <c r="L994" s="743"/>
      <c r="M994" s="743"/>
      <c r="N994" s="744"/>
      <c r="O994" s="744"/>
      <c r="P994" s="744"/>
      <c r="Q994" s="743"/>
      <c r="R994" s="743"/>
      <c r="S994" s="743"/>
    </row>
    <row r="995" spans="1:19" ht="13">
      <c r="A995" s="743"/>
      <c r="B995" s="743"/>
      <c r="C995" s="743"/>
      <c r="D995" s="743"/>
      <c r="E995" s="743"/>
      <c r="F995" s="743"/>
      <c r="G995" s="743"/>
      <c r="H995" s="743"/>
      <c r="I995" s="743"/>
      <c r="J995" s="743"/>
      <c r="K995" s="743"/>
      <c r="L995" s="743"/>
      <c r="M995" s="743"/>
      <c r="N995" s="744"/>
      <c r="O995" s="744"/>
      <c r="P995" s="744"/>
      <c r="Q995" s="743"/>
      <c r="R995" s="743"/>
      <c r="S995" s="743"/>
    </row>
    <row r="996" spans="1:19" ht="13">
      <c r="A996" s="743"/>
      <c r="B996" s="743"/>
      <c r="C996" s="743"/>
      <c r="D996" s="743"/>
      <c r="E996" s="743"/>
      <c r="F996" s="743"/>
      <c r="G996" s="743"/>
      <c r="H996" s="743"/>
      <c r="I996" s="743"/>
      <c r="J996" s="743"/>
      <c r="K996" s="743"/>
      <c r="L996" s="743"/>
      <c r="M996" s="743"/>
      <c r="N996" s="744"/>
      <c r="O996" s="744"/>
      <c r="P996" s="744"/>
      <c r="Q996" s="743"/>
      <c r="R996" s="743"/>
      <c r="S996" s="743"/>
    </row>
    <row r="997" spans="1:19" ht="13">
      <c r="A997" s="743"/>
      <c r="B997" s="743"/>
      <c r="C997" s="743"/>
      <c r="D997" s="743"/>
      <c r="E997" s="743"/>
      <c r="F997" s="743"/>
      <c r="G997" s="743"/>
      <c r="H997" s="743"/>
      <c r="I997" s="743"/>
      <c r="J997" s="743"/>
      <c r="K997" s="743"/>
      <c r="L997" s="743"/>
      <c r="M997" s="743"/>
      <c r="N997" s="744"/>
      <c r="O997" s="744"/>
      <c r="P997" s="744"/>
      <c r="Q997" s="743"/>
      <c r="R997" s="743"/>
      <c r="S997" s="743"/>
    </row>
    <row r="998" spans="1:19" ht="13">
      <c r="A998" s="743"/>
      <c r="B998" s="743"/>
      <c r="C998" s="743"/>
      <c r="D998" s="743"/>
      <c r="E998" s="743"/>
      <c r="F998" s="743"/>
      <c r="G998" s="743"/>
      <c r="H998" s="743"/>
      <c r="I998" s="743"/>
      <c r="J998" s="743"/>
      <c r="K998" s="743"/>
      <c r="L998" s="743"/>
      <c r="M998" s="743"/>
      <c r="N998" s="744"/>
      <c r="O998" s="744"/>
      <c r="P998" s="744"/>
      <c r="Q998" s="743"/>
      <c r="R998" s="743"/>
      <c r="S998" s="743"/>
    </row>
    <row r="999" spans="1:19" ht="13">
      <c r="A999" s="743"/>
      <c r="B999" s="743"/>
      <c r="C999" s="743"/>
      <c r="D999" s="743"/>
      <c r="E999" s="743"/>
      <c r="F999" s="743"/>
      <c r="G999" s="743"/>
      <c r="H999" s="743"/>
      <c r="I999" s="743"/>
      <c r="J999" s="743"/>
      <c r="K999" s="743"/>
      <c r="L999" s="743"/>
      <c r="M999" s="743"/>
      <c r="N999" s="744"/>
      <c r="O999" s="744"/>
      <c r="P999" s="744"/>
      <c r="Q999" s="743"/>
      <c r="R999" s="743"/>
      <c r="S999" s="743"/>
    </row>
    <row r="1000" spans="1:19" ht="13">
      <c r="A1000" s="743"/>
      <c r="B1000" s="743"/>
      <c r="C1000" s="743"/>
      <c r="D1000" s="743"/>
      <c r="E1000" s="743"/>
      <c r="F1000" s="743"/>
      <c r="G1000" s="743"/>
      <c r="H1000" s="743"/>
      <c r="I1000" s="743"/>
      <c r="J1000" s="743"/>
      <c r="K1000" s="743"/>
      <c r="L1000" s="743"/>
      <c r="M1000" s="743"/>
      <c r="N1000" s="744"/>
      <c r="O1000" s="744"/>
      <c r="P1000" s="744"/>
      <c r="Q1000" s="743"/>
      <c r="R1000" s="743"/>
      <c r="S1000" s="743"/>
    </row>
    <row r="1001" spans="1:19" ht="13">
      <c r="A1001" s="743"/>
      <c r="B1001" s="743"/>
      <c r="C1001" s="743"/>
      <c r="D1001" s="743"/>
      <c r="E1001" s="743"/>
      <c r="F1001" s="743"/>
      <c r="G1001" s="743"/>
      <c r="H1001" s="743"/>
      <c r="I1001" s="743"/>
      <c r="J1001" s="743"/>
      <c r="K1001" s="743"/>
      <c r="L1001" s="743"/>
      <c r="M1001" s="743"/>
      <c r="N1001" s="744"/>
      <c r="O1001" s="744"/>
      <c r="P1001" s="744"/>
      <c r="Q1001" s="743"/>
      <c r="R1001" s="743"/>
      <c r="S1001" s="743"/>
    </row>
    <row r="1002" spans="1:19" ht="13">
      <c r="A1002" s="743"/>
      <c r="B1002" s="743"/>
      <c r="C1002" s="743"/>
      <c r="D1002" s="743"/>
      <c r="E1002" s="743"/>
      <c r="F1002" s="743"/>
      <c r="G1002" s="743"/>
      <c r="H1002" s="743"/>
      <c r="I1002" s="743"/>
      <c r="J1002" s="743"/>
      <c r="K1002" s="743"/>
      <c r="L1002" s="743"/>
      <c r="M1002" s="743"/>
      <c r="N1002" s="744"/>
      <c r="O1002" s="744"/>
      <c r="P1002" s="744"/>
      <c r="Q1002" s="743"/>
      <c r="R1002" s="743"/>
      <c r="S1002" s="743"/>
    </row>
    <row r="1003" spans="1:19" ht="13">
      <c r="A1003" s="743"/>
      <c r="B1003" s="743"/>
      <c r="C1003" s="743"/>
      <c r="D1003" s="743"/>
      <c r="E1003" s="743"/>
      <c r="F1003" s="743"/>
      <c r="G1003" s="743"/>
      <c r="H1003" s="743"/>
      <c r="I1003" s="743"/>
      <c r="J1003" s="743"/>
      <c r="K1003" s="743"/>
      <c r="L1003" s="743"/>
      <c r="M1003" s="743"/>
      <c r="N1003" s="744"/>
      <c r="O1003" s="744"/>
      <c r="P1003" s="744"/>
      <c r="Q1003" s="743"/>
      <c r="R1003" s="743"/>
      <c r="S1003" s="74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997"/>
  <sheetViews>
    <sheetView workbookViewId="0"/>
  </sheetViews>
  <sheetFormatPr baseColWidth="10" defaultColWidth="12.6640625" defaultRowHeight="15.75" customHeight="1"/>
  <cols>
    <col min="4" max="4" width="26.6640625" customWidth="1"/>
  </cols>
  <sheetData>
    <row r="1" spans="1:9" ht="15.75" customHeight="1">
      <c r="A1" s="777" t="s">
        <v>1528</v>
      </c>
      <c r="B1" s="778"/>
      <c r="C1" s="778"/>
      <c r="D1" s="778"/>
      <c r="E1" s="779"/>
      <c r="F1" s="778"/>
      <c r="G1" s="778"/>
      <c r="H1" s="778"/>
      <c r="I1" s="780"/>
    </row>
    <row r="2" spans="1:9" ht="15.75" customHeight="1">
      <c r="A2" s="96" t="s">
        <v>38</v>
      </c>
      <c r="B2" s="45"/>
      <c r="C2" s="45"/>
      <c r="D2" s="45"/>
      <c r="E2" s="68"/>
      <c r="F2" s="45"/>
      <c r="G2" s="45"/>
      <c r="H2" s="781"/>
      <c r="I2" s="780"/>
    </row>
    <row r="3" spans="1:9" ht="15.75" customHeight="1">
      <c r="A3" s="97"/>
      <c r="B3" s="782" t="s">
        <v>55</v>
      </c>
      <c r="C3" s="49"/>
      <c r="D3" s="49" t="s">
        <v>455</v>
      </c>
      <c r="E3" s="59" t="s">
        <v>1529</v>
      </c>
      <c r="F3" s="49" t="s">
        <v>1530</v>
      </c>
      <c r="G3" s="45"/>
      <c r="H3" s="96" t="s">
        <v>1526</v>
      </c>
      <c r="I3" s="99" t="s">
        <v>1527</v>
      </c>
    </row>
    <row r="4" spans="1:9" ht="15.75" customHeight="1">
      <c r="A4" s="97"/>
      <c r="B4" s="783"/>
      <c r="C4" s="45"/>
      <c r="D4" s="45"/>
      <c r="E4" s="55"/>
      <c r="F4" s="45"/>
      <c r="G4" s="45"/>
      <c r="H4" s="784"/>
      <c r="I4" s="785">
        <f>SUMIF($F13:$F15,"&lt;&gt;S",$E13:$E15)</f>
        <v>0</v>
      </c>
    </row>
    <row r="5" spans="1:9" ht="15.75" customHeight="1">
      <c r="A5" s="97"/>
      <c r="B5" s="783"/>
      <c r="C5" s="45"/>
      <c r="D5" s="45"/>
      <c r="E5" s="68"/>
      <c r="F5" s="45"/>
      <c r="G5" s="45"/>
      <c r="H5" s="45"/>
      <c r="I5" s="98"/>
    </row>
    <row r="6" spans="1:9" ht="15.75" customHeight="1">
      <c r="A6" s="97"/>
      <c r="B6" s="45"/>
      <c r="C6" s="45"/>
      <c r="D6" s="45"/>
      <c r="E6" s="68"/>
      <c r="F6" s="45"/>
      <c r="G6" s="45"/>
      <c r="H6" s="45"/>
      <c r="I6" s="98"/>
    </row>
    <row r="7" spans="1:9" ht="15.75" customHeight="1">
      <c r="A7" s="97"/>
      <c r="B7" s="783"/>
      <c r="C7" s="45"/>
      <c r="D7" s="45"/>
      <c r="E7" s="68"/>
      <c r="F7" s="45"/>
      <c r="G7" s="45"/>
      <c r="H7" s="45"/>
      <c r="I7" s="98"/>
    </row>
    <row r="8" spans="1:9" ht="15.75" customHeight="1">
      <c r="A8" s="97"/>
      <c r="B8" s="783"/>
      <c r="C8" s="45"/>
      <c r="D8" s="45"/>
      <c r="E8" s="68"/>
      <c r="F8" s="45"/>
      <c r="G8" s="45"/>
      <c r="H8" s="45"/>
      <c r="I8" s="98"/>
    </row>
    <row r="9" spans="1:9" ht="15.75" customHeight="1">
      <c r="A9" s="97"/>
      <c r="B9" s="45"/>
      <c r="C9" s="45"/>
      <c r="D9" s="45"/>
      <c r="E9" s="68"/>
      <c r="F9" s="45"/>
      <c r="G9" s="45"/>
      <c r="H9" s="45"/>
      <c r="I9" s="98"/>
    </row>
    <row r="10" spans="1:9" ht="15.75" customHeight="1">
      <c r="A10" s="97"/>
      <c r="B10" s="783"/>
      <c r="C10" s="45"/>
      <c r="D10" s="45"/>
      <c r="E10" s="68"/>
      <c r="F10" s="45"/>
      <c r="G10" s="45"/>
      <c r="H10" s="45"/>
      <c r="I10" s="98"/>
    </row>
    <row r="11" spans="1:9" ht="15.75" customHeight="1">
      <c r="A11" s="96" t="s">
        <v>25</v>
      </c>
      <c r="B11" s="783"/>
      <c r="C11" s="45"/>
      <c r="D11" s="45"/>
      <c r="E11" s="68"/>
      <c r="F11" s="45"/>
      <c r="G11" s="45"/>
      <c r="H11" s="45"/>
      <c r="I11" s="98"/>
    </row>
    <row r="12" spans="1:9" ht="15.75" customHeight="1">
      <c r="A12" s="97"/>
      <c r="B12" s="786" t="s">
        <v>55</v>
      </c>
      <c r="C12" s="45"/>
      <c r="D12" s="45" t="s">
        <v>455</v>
      </c>
      <c r="E12" s="59" t="s">
        <v>1529</v>
      </c>
      <c r="F12" s="49" t="s">
        <v>1531</v>
      </c>
      <c r="G12" s="45"/>
      <c r="H12" s="45"/>
      <c r="I12" s="98"/>
    </row>
    <row r="13" spans="1:9" ht="15.75" customHeight="1">
      <c r="A13" s="97"/>
      <c r="B13" s="45">
        <v>2022</v>
      </c>
      <c r="C13" s="45"/>
      <c r="D13" s="45" t="s">
        <v>1264</v>
      </c>
      <c r="E13" s="68">
        <v>237000</v>
      </c>
      <c r="F13" s="45" t="s">
        <v>125</v>
      </c>
      <c r="G13" s="45"/>
      <c r="H13" s="45"/>
      <c r="I13" s="98"/>
    </row>
    <row r="14" spans="1:9" ht="15.75" customHeight="1">
      <c r="A14" s="97"/>
      <c r="B14" s="45" t="s">
        <v>57</v>
      </c>
      <c r="C14" s="45"/>
      <c r="D14" s="45" t="s">
        <v>1532</v>
      </c>
      <c r="E14" s="68">
        <v>432000</v>
      </c>
      <c r="F14" s="45" t="s">
        <v>125</v>
      </c>
      <c r="G14" s="45"/>
      <c r="H14" s="45"/>
      <c r="I14" s="98"/>
    </row>
    <row r="15" spans="1:9" ht="15.75" customHeight="1">
      <c r="A15" s="100"/>
      <c r="B15" s="787">
        <v>45870</v>
      </c>
      <c r="C15" s="45"/>
      <c r="D15" s="103" t="s">
        <v>1533</v>
      </c>
      <c r="E15" s="68">
        <v>2662</v>
      </c>
      <c r="F15" s="101" t="s">
        <v>125</v>
      </c>
      <c r="G15" s="101"/>
      <c r="H15" s="101"/>
      <c r="I15" s="788"/>
    </row>
    <row r="16" spans="1:9" ht="15.75" customHeight="1">
      <c r="A16" s="777" t="s">
        <v>1534</v>
      </c>
      <c r="B16" s="789"/>
      <c r="C16" s="778"/>
      <c r="D16" s="778"/>
      <c r="E16" s="779"/>
      <c r="F16" s="778"/>
      <c r="G16" s="778"/>
      <c r="H16" s="778"/>
      <c r="I16" s="780"/>
    </row>
    <row r="17" spans="1:9" ht="15.75" customHeight="1">
      <c r="A17" s="96" t="s">
        <v>38</v>
      </c>
      <c r="B17" s="45"/>
      <c r="C17" s="45"/>
      <c r="D17" s="45"/>
      <c r="E17" s="68"/>
      <c r="F17" s="45"/>
      <c r="G17" s="45"/>
      <c r="H17" s="781"/>
      <c r="I17" s="780"/>
    </row>
    <row r="18" spans="1:9" ht="15.75" customHeight="1">
      <c r="A18" s="97"/>
      <c r="B18" s="49" t="s">
        <v>55</v>
      </c>
      <c r="C18" s="49"/>
      <c r="D18" s="49" t="s">
        <v>455</v>
      </c>
      <c r="E18" s="59" t="s">
        <v>1535</v>
      </c>
      <c r="F18" s="49" t="s">
        <v>1530</v>
      </c>
      <c r="G18" s="45"/>
      <c r="H18" s="96" t="s">
        <v>1536</v>
      </c>
      <c r="I18" s="99" t="s">
        <v>1537</v>
      </c>
    </row>
    <row r="19" spans="1:9" ht="15.75" customHeight="1">
      <c r="A19" s="97"/>
      <c r="B19" s="790">
        <v>44937</v>
      </c>
      <c r="C19" s="45"/>
      <c r="D19" s="45" t="s">
        <v>1264</v>
      </c>
      <c r="E19" s="55">
        <v>15000</v>
      </c>
      <c r="F19" s="45" t="s">
        <v>125</v>
      </c>
      <c r="G19" s="45"/>
      <c r="H19" s="784">
        <f>SUMIF($F19:$F25,"&lt;&gt;S",$E19:$E25)</f>
        <v>13784.02</v>
      </c>
      <c r="I19" s="785">
        <f>SUMIF($F27:$F73,"&lt;&gt;S",$E27:$E73)</f>
        <v>0</v>
      </c>
    </row>
    <row r="20" spans="1:9" ht="15.75" customHeight="1">
      <c r="A20" s="97"/>
      <c r="B20" s="45" t="s">
        <v>57</v>
      </c>
      <c r="C20" s="45"/>
      <c r="D20" s="45" t="s">
        <v>1264</v>
      </c>
      <c r="E20" s="68">
        <v>20209</v>
      </c>
      <c r="F20" s="45" t="s">
        <v>125</v>
      </c>
      <c r="G20" s="45"/>
      <c r="H20" s="45"/>
      <c r="I20" s="98"/>
    </row>
    <row r="21" spans="1:9" ht="15.75" customHeight="1">
      <c r="A21" s="97"/>
      <c r="B21" s="791" t="s">
        <v>1538</v>
      </c>
      <c r="C21" s="45"/>
      <c r="D21" s="45" t="s">
        <v>1539</v>
      </c>
      <c r="E21" s="55">
        <f>13189.02+595</f>
        <v>13784.02</v>
      </c>
      <c r="F21" s="45"/>
      <c r="G21" s="45"/>
      <c r="H21" s="45"/>
      <c r="I21" s="98"/>
    </row>
    <row r="22" spans="1:9" ht="15.75" customHeight="1">
      <c r="A22" s="97"/>
      <c r="B22" s="45"/>
      <c r="C22" s="45"/>
      <c r="D22" s="45"/>
      <c r="E22" s="68"/>
      <c r="F22" s="45"/>
      <c r="G22" s="45"/>
      <c r="H22" s="45"/>
      <c r="I22" s="98"/>
    </row>
    <row r="23" spans="1:9" ht="15.75" customHeight="1">
      <c r="A23" s="97"/>
      <c r="B23" s="783"/>
      <c r="C23" s="45"/>
      <c r="D23" s="45"/>
      <c r="E23" s="68"/>
      <c r="F23" s="45"/>
      <c r="G23" s="45"/>
      <c r="H23" s="45"/>
      <c r="I23" s="98"/>
    </row>
    <row r="24" spans="1:9" ht="15.75" customHeight="1">
      <c r="A24" s="97"/>
      <c r="B24" s="45"/>
      <c r="C24" s="45"/>
      <c r="D24" s="45"/>
      <c r="E24" s="68"/>
      <c r="F24" s="45"/>
      <c r="G24" s="45"/>
      <c r="H24" s="45"/>
      <c r="I24" s="98"/>
    </row>
    <row r="25" spans="1:9" ht="15.75" customHeight="1">
      <c r="A25" s="97"/>
      <c r="B25" s="783"/>
      <c r="C25" s="45"/>
      <c r="D25" s="45"/>
      <c r="E25" s="68"/>
      <c r="F25" s="45"/>
      <c r="G25" s="45"/>
      <c r="H25" s="45"/>
      <c r="I25" s="98"/>
    </row>
    <row r="26" spans="1:9" ht="15.75" customHeight="1">
      <c r="A26" s="96" t="s">
        <v>25</v>
      </c>
      <c r="B26" s="783"/>
      <c r="C26" s="45"/>
      <c r="D26" s="45"/>
      <c r="E26" s="68"/>
      <c r="F26" s="45"/>
      <c r="G26" s="45"/>
      <c r="H26" s="45"/>
      <c r="I26" s="98"/>
    </row>
    <row r="27" spans="1:9" ht="15.75" customHeight="1">
      <c r="A27" s="97"/>
      <c r="B27" s="786" t="s">
        <v>55</v>
      </c>
      <c r="C27" s="45"/>
      <c r="D27" s="45" t="s">
        <v>455</v>
      </c>
      <c r="E27" s="59" t="s">
        <v>1535</v>
      </c>
      <c r="F27" s="49" t="s">
        <v>1531</v>
      </c>
      <c r="G27" s="45"/>
      <c r="H27" s="45"/>
      <c r="I27" s="98"/>
    </row>
    <row r="28" spans="1:9" ht="15.75" customHeight="1">
      <c r="A28" s="97"/>
      <c r="B28" s="792">
        <v>44569</v>
      </c>
      <c r="C28" s="45"/>
      <c r="D28" s="45" t="s">
        <v>1264</v>
      </c>
      <c r="E28" s="68">
        <v>23909</v>
      </c>
      <c r="F28" s="45" t="s">
        <v>125</v>
      </c>
      <c r="G28" s="45"/>
      <c r="H28" s="45"/>
      <c r="I28" s="98"/>
    </row>
    <row r="29" spans="1:9" ht="15.75" customHeight="1">
      <c r="A29" s="45"/>
      <c r="B29" s="45" t="s">
        <v>57</v>
      </c>
      <c r="C29" s="45"/>
      <c r="D29" s="45" t="s">
        <v>1532</v>
      </c>
      <c r="E29" s="68">
        <v>22875</v>
      </c>
      <c r="F29" s="45" t="s">
        <v>125</v>
      </c>
      <c r="G29" s="45"/>
      <c r="H29" s="45"/>
      <c r="I29" s="98"/>
    </row>
    <row r="30" spans="1:9" ht="15.75" customHeight="1">
      <c r="A30" s="45"/>
      <c r="B30" s="787"/>
      <c r="C30" s="45"/>
      <c r="D30" s="103"/>
      <c r="E30" s="68"/>
      <c r="F30" s="45"/>
      <c r="G30" s="45"/>
      <c r="H30" s="45"/>
      <c r="I30" s="98"/>
    </row>
    <row r="31" spans="1:9" ht="15.75" customHeight="1">
      <c r="A31" s="45"/>
      <c r="B31" s="791"/>
      <c r="C31" s="45"/>
      <c r="D31" s="103"/>
      <c r="E31" s="68"/>
      <c r="F31" s="45"/>
      <c r="G31" s="45"/>
      <c r="H31" s="45"/>
      <c r="I31" s="98"/>
    </row>
    <row r="32" spans="1:9" ht="15.75" customHeight="1">
      <c r="A32" s="100"/>
      <c r="B32" s="101"/>
      <c r="C32" s="101"/>
      <c r="D32" s="101"/>
      <c r="E32" s="793"/>
      <c r="F32" s="101"/>
      <c r="G32" s="101"/>
      <c r="H32" s="101"/>
      <c r="I32" s="788"/>
    </row>
    <row r="33" spans="2:5" ht="15.75" customHeight="1">
      <c r="B33" s="83"/>
      <c r="E33" s="22"/>
    </row>
    <row r="34" spans="2:5" ht="15.75" customHeight="1">
      <c r="B34" s="83"/>
      <c r="E34" s="22"/>
    </row>
    <row r="35" spans="2:5" ht="15.75" customHeight="1">
      <c r="B35" s="83"/>
      <c r="E35" s="22"/>
    </row>
    <row r="36" spans="2:5" ht="15.75" customHeight="1">
      <c r="B36" s="83"/>
      <c r="E36" s="22"/>
    </row>
    <row r="37" spans="2:5" ht="15.75" customHeight="1">
      <c r="B37" s="83"/>
      <c r="E37" s="22"/>
    </row>
    <row r="38" spans="2:5" ht="15.75" customHeight="1">
      <c r="B38" s="83"/>
      <c r="E38" s="22"/>
    </row>
    <row r="39" spans="2:5" ht="15.75" customHeight="1">
      <c r="B39" s="83"/>
      <c r="E39" s="22"/>
    </row>
    <row r="40" spans="2:5" ht="15.75" customHeight="1">
      <c r="B40" s="83"/>
      <c r="E40" s="22"/>
    </row>
    <row r="41" spans="2:5" ht="15.75" customHeight="1">
      <c r="B41" s="83"/>
      <c r="E41" s="22"/>
    </row>
    <row r="42" spans="2:5" ht="15.75" customHeight="1">
      <c r="B42" s="83"/>
      <c r="E42" s="22"/>
    </row>
    <row r="43" spans="2:5" ht="15.75" customHeight="1">
      <c r="B43" s="83"/>
      <c r="E43" s="22"/>
    </row>
    <row r="44" spans="2:5" ht="15.75" customHeight="1">
      <c r="B44" s="83"/>
      <c r="E44" s="22"/>
    </row>
    <row r="45" spans="2:5" ht="15.75" customHeight="1">
      <c r="B45" s="83"/>
      <c r="E45" s="22"/>
    </row>
    <row r="46" spans="2:5" ht="15.75" customHeight="1">
      <c r="B46" s="83"/>
      <c r="E46" s="22"/>
    </row>
    <row r="47" spans="2:5" ht="15.75" customHeight="1">
      <c r="B47" s="83"/>
      <c r="E47" s="22"/>
    </row>
    <row r="48" spans="2:5" ht="15.75" customHeight="1">
      <c r="B48" s="83"/>
      <c r="E48" s="22"/>
    </row>
    <row r="49" spans="2:5" ht="15.75" customHeight="1">
      <c r="B49" s="83"/>
      <c r="E49" s="22"/>
    </row>
    <row r="50" spans="2:5" ht="15.75" customHeight="1">
      <c r="B50" s="83"/>
      <c r="E50" s="22"/>
    </row>
    <row r="51" spans="2:5" ht="15.75" customHeight="1">
      <c r="B51" s="83"/>
      <c r="E51" s="22"/>
    </row>
    <row r="52" spans="2:5" ht="15.75" customHeight="1">
      <c r="B52" s="83"/>
      <c r="E52" s="22"/>
    </row>
    <row r="53" spans="2:5" ht="15.75" customHeight="1">
      <c r="B53" s="83"/>
      <c r="E53" s="22"/>
    </row>
    <row r="54" spans="2:5" ht="15.75" customHeight="1">
      <c r="B54" s="83"/>
      <c r="E54" s="22"/>
    </row>
    <row r="55" spans="2:5" ht="15.75" customHeight="1">
      <c r="B55" s="83"/>
      <c r="E55" s="22"/>
    </row>
    <row r="56" spans="2:5" ht="15.75" customHeight="1">
      <c r="B56" s="83"/>
      <c r="E56" s="22"/>
    </row>
    <row r="57" spans="2:5" ht="15.75" customHeight="1">
      <c r="B57" s="83"/>
      <c r="E57" s="22"/>
    </row>
    <row r="58" spans="2:5" ht="15.75" customHeight="1">
      <c r="B58" s="83"/>
      <c r="E58" s="22"/>
    </row>
    <row r="59" spans="2:5" ht="15.75" customHeight="1">
      <c r="B59" s="83"/>
      <c r="E59" s="22"/>
    </row>
    <row r="60" spans="2:5" ht="15.75" customHeight="1">
      <c r="B60" s="83"/>
      <c r="E60" s="22"/>
    </row>
    <row r="61" spans="2:5" ht="15.75" customHeight="1">
      <c r="B61" s="83"/>
      <c r="E61" s="22"/>
    </row>
    <row r="62" spans="2:5" ht="15.75" customHeight="1">
      <c r="B62" s="83"/>
      <c r="E62" s="22"/>
    </row>
    <row r="63" spans="2:5" ht="15.75" customHeight="1">
      <c r="B63" s="83"/>
      <c r="E63" s="22"/>
    </row>
    <row r="64" spans="2:5" ht="15.75" customHeight="1">
      <c r="B64" s="83"/>
      <c r="E64" s="22"/>
    </row>
    <row r="65" spans="2:5" ht="13">
      <c r="B65" s="83"/>
      <c r="E65" s="22"/>
    </row>
    <row r="66" spans="2:5" ht="13">
      <c r="B66" s="83"/>
      <c r="E66" s="22"/>
    </row>
    <row r="67" spans="2:5" ht="13">
      <c r="B67" s="83"/>
      <c r="E67" s="22"/>
    </row>
    <row r="68" spans="2:5" ht="13">
      <c r="B68" s="83"/>
      <c r="E68" s="22"/>
    </row>
    <row r="69" spans="2:5" ht="13">
      <c r="B69" s="83"/>
      <c r="E69" s="22"/>
    </row>
    <row r="70" spans="2:5" ht="13">
      <c r="B70" s="83"/>
      <c r="E70" s="22"/>
    </row>
    <row r="71" spans="2:5" ht="13">
      <c r="B71" s="83"/>
      <c r="E71" s="22"/>
    </row>
    <row r="72" spans="2:5" ht="13">
      <c r="B72" s="83"/>
      <c r="E72" s="22"/>
    </row>
    <row r="73" spans="2:5" ht="13">
      <c r="B73" s="83"/>
      <c r="E73" s="22"/>
    </row>
    <row r="74" spans="2:5" ht="13">
      <c r="B74" s="83"/>
      <c r="E74" s="22"/>
    </row>
    <row r="75" spans="2:5" ht="13">
      <c r="B75" s="83"/>
      <c r="E75" s="22"/>
    </row>
    <row r="76" spans="2:5" ht="13">
      <c r="B76" s="83"/>
      <c r="E76" s="22"/>
    </row>
    <row r="77" spans="2:5" ht="13">
      <c r="B77" s="83"/>
      <c r="E77" s="22"/>
    </row>
    <row r="78" spans="2:5" ht="13">
      <c r="B78" s="83"/>
      <c r="E78" s="22"/>
    </row>
    <row r="79" spans="2:5" ht="13">
      <c r="B79" s="83"/>
      <c r="E79" s="22"/>
    </row>
    <row r="80" spans="2:5" ht="13">
      <c r="B80" s="83"/>
      <c r="E80" s="22"/>
    </row>
    <row r="81" spans="2:5" ht="13">
      <c r="B81" s="83"/>
      <c r="E81" s="22"/>
    </row>
    <row r="82" spans="2:5" ht="13">
      <c r="B82" s="83"/>
      <c r="E82" s="22"/>
    </row>
    <row r="83" spans="2:5" ht="13">
      <c r="B83" s="83"/>
      <c r="E83" s="22"/>
    </row>
    <row r="84" spans="2:5" ht="13">
      <c r="B84" s="83"/>
      <c r="E84" s="22"/>
    </row>
    <row r="85" spans="2:5" ht="13">
      <c r="B85" s="83"/>
      <c r="E85" s="22"/>
    </row>
    <row r="86" spans="2:5" ht="13">
      <c r="B86" s="83"/>
      <c r="E86" s="22"/>
    </row>
    <row r="87" spans="2:5" ht="13">
      <c r="B87" s="83"/>
      <c r="E87" s="22"/>
    </row>
    <row r="88" spans="2:5" ht="13">
      <c r="B88" s="83"/>
      <c r="E88" s="22"/>
    </row>
    <row r="89" spans="2:5" ht="13">
      <c r="B89" s="83"/>
      <c r="E89" s="22"/>
    </row>
    <row r="90" spans="2:5" ht="13">
      <c r="B90" s="83"/>
      <c r="E90" s="22"/>
    </row>
    <row r="91" spans="2:5" ht="13">
      <c r="B91" s="83"/>
      <c r="E91" s="22"/>
    </row>
    <row r="92" spans="2:5" ht="13">
      <c r="B92" s="83"/>
      <c r="E92" s="22"/>
    </row>
    <row r="93" spans="2:5" ht="13">
      <c r="B93" s="83"/>
      <c r="E93" s="22"/>
    </row>
    <row r="94" spans="2:5" ht="13">
      <c r="B94" s="83"/>
      <c r="E94" s="22"/>
    </row>
    <row r="95" spans="2:5" ht="13">
      <c r="B95" s="83"/>
      <c r="E95" s="22"/>
    </row>
    <row r="96" spans="2:5" ht="13">
      <c r="B96" s="83"/>
      <c r="E96" s="22"/>
    </row>
    <row r="97" spans="2:5" ht="13">
      <c r="B97" s="83"/>
      <c r="E97" s="22"/>
    </row>
    <row r="98" spans="2:5" ht="13">
      <c r="B98" s="83"/>
      <c r="E98" s="22"/>
    </row>
    <row r="99" spans="2:5" ht="13">
      <c r="B99" s="83"/>
      <c r="E99" s="22"/>
    </row>
    <row r="100" spans="2:5" ht="13">
      <c r="B100" s="83"/>
      <c r="E100" s="22"/>
    </row>
    <row r="101" spans="2:5" ht="13">
      <c r="B101" s="83"/>
      <c r="E101" s="22"/>
    </row>
    <row r="102" spans="2:5" ht="13">
      <c r="B102" s="83"/>
      <c r="E102" s="22"/>
    </row>
    <row r="103" spans="2:5" ht="13">
      <c r="B103" s="83"/>
      <c r="E103" s="22"/>
    </row>
    <row r="104" spans="2:5" ht="13">
      <c r="B104" s="83"/>
      <c r="E104" s="22"/>
    </row>
    <row r="105" spans="2:5" ht="13">
      <c r="B105" s="83"/>
      <c r="E105" s="22"/>
    </row>
    <row r="106" spans="2:5" ht="13">
      <c r="B106" s="83"/>
      <c r="E106" s="22"/>
    </row>
    <row r="107" spans="2:5" ht="13">
      <c r="B107" s="83"/>
      <c r="E107" s="22"/>
    </row>
    <row r="108" spans="2:5" ht="13">
      <c r="B108" s="83"/>
      <c r="E108" s="22"/>
    </row>
    <row r="109" spans="2:5" ht="13">
      <c r="B109" s="83"/>
      <c r="E109" s="22"/>
    </row>
    <row r="110" spans="2:5" ht="13">
      <c r="B110" s="83"/>
      <c r="E110" s="22"/>
    </row>
    <row r="111" spans="2:5" ht="13">
      <c r="B111" s="83"/>
      <c r="E111" s="22"/>
    </row>
    <row r="112" spans="2:5" ht="13">
      <c r="B112" s="83"/>
      <c r="E112" s="22"/>
    </row>
    <row r="113" spans="2:5" ht="13">
      <c r="B113" s="83"/>
      <c r="E113" s="22"/>
    </row>
    <row r="114" spans="2:5" ht="13">
      <c r="B114" s="83"/>
      <c r="E114" s="22"/>
    </row>
    <row r="115" spans="2:5" ht="13">
      <c r="B115" s="83"/>
      <c r="E115" s="22"/>
    </row>
    <row r="116" spans="2:5" ht="13">
      <c r="B116" s="83"/>
      <c r="E116" s="22"/>
    </row>
    <row r="117" spans="2:5" ht="13">
      <c r="B117" s="83"/>
      <c r="E117" s="22"/>
    </row>
    <row r="118" spans="2:5" ht="13">
      <c r="B118" s="83"/>
      <c r="E118" s="22"/>
    </row>
    <row r="119" spans="2:5" ht="13">
      <c r="B119" s="83"/>
      <c r="E119" s="22"/>
    </row>
    <row r="120" spans="2:5" ht="13">
      <c r="B120" s="83"/>
      <c r="E120" s="22"/>
    </row>
    <row r="121" spans="2:5" ht="13">
      <c r="B121" s="83"/>
      <c r="E121" s="22"/>
    </row>
    <row r="122" spans="2:5" ht="13">
      <c r="B122" s="83"/>
      <c r="E122" s="22"/>
    </row>
    <row r="123" spans="2:5" ht="13">
      <c r="B123" s="83"/>
      <c r="E123" s="22"/>
    </row>
    <row r="124" spans="2:5" ht="13">
      <c r="B124" s="83"/>
      <c r="E124" s="22"/>
    </row>
    <row r="125" spans="2:5" ht="13">
      <c r="B125" s="83"/>
      <c r="E125" s="22"/>
    </row>
    <row r="126" spans="2:5" ht="13">
      <c r="B126" s="83"/>
      <c r="E126" s="22"/>
    </row>
    <row r="127" spans="2:5" ht="13">
      <c r="B127" s="83"/>
      <c r="E127" s="22"/>
    </row>
    <row r="128" spans="2:5" ht="13">
      <c r="B128" s="83"/>
      <c r="E128" s="22"/>
    </row>
    <row r="129" spans="2:5" ht="13">
      <c r="B129" s="83"/>
      <c r="E129" s="22"/>
    </row>
    <row r="130" spans="2:5" ht="13">
      <c r="B130" s="83"/>
      <c r="E130" s="22"/>
    </row>
    <row r="131" spans="2:5" ht="13">
      <c r="B131" s="83"/>
      <c r="E131" s="22"/>
    </row>
    <row r="132" spans="2:5" ht="13">
      <c r="B132" s="83"/>
      <c r="E132" s="22"/>
    </row>
    <row r="133" spans="2:5" ht="13">
      <c r="B133" s="83"/>
      <c r="E133" s="22"/>
    </row>
    <row r="134" spans="2:5" ht="13">
      <c r="B134" s="83"/>
      <c r="E134" s="22"/>
    </row>
    <row r="135" spans="2:5" ht="13">
      <c r="B135" s="83"/>
      <c r="E135" s="22"/>
    </row>
    <row r="136" spans="2:5" ht="13">
      <c r="B136" s="83"/>
      <c r="E136" s="22"/>
    </row>
    <row r="137" spans="2:5" ht="13">
      <c r="B137" s="83"/>
      <c r="E137" s="22"/>
    </row>
    <row r="138" spans="2:5" ht="13">
      <c r="B138" s="83"/>
      <c r="E138" s="22"/>
    </row>
    <row r="139" spans="2:5" ht="13">
      <c r="B139" s="83"/>
      <c r="E139" s="22"/>
    </row>
    <row r="140" spans="2:5" ht="13">
      <c r="B140" s="83"/>
      <c r="E140" s="22"/>
    </row>
    <row r="141" spans="2:5" ht="13">
      <c r="B141" s="83"/>
      <c r="E141" s="22"/>
    </row>
    <row r="142" spans="2:5" ht="13">
      <c r="B142" s="83"/>
      <c r="E142" s="22"/>
    </row>
    <row r="143" spans="2:5" ht="13">
      <c r="B143" s="83"/>
      <c r="E143" s="22"/>
    </row>
    <row r="144" spans="2:5" ht="13">
      <c r="B144" s="83"/>
      <c r="E144" s="22"/>
    </row>
    <row r="145" spans="2:5" ht="13">
      <c r="B145" s="83"/>
      <c r="E145" s="22"/>
    </row>
    <row r="146" spans="2:5" ht="13">
      <c r="B146" s="83"/>
      <c r="E146" s="22"/>
    </row>
    <row r="147" spans="2:5" ht="13">
      <c r="B147" s="83"/>
      <c r="E147" s="22"/>
    </row>
    <row r="148" spans="2:5" ht="13">
      <c r="B148" s="83"/>
      <c r="E148" s="22"/>
    </row>
    <row r="149" spans="2:5" ht="13">
      <c r="B149" s="83"/>
      <c r="E149" s="22"/>
    </row>
    <row r="150" spans="2:5" ht="13">
      <c r="B150" s="83"/>
      <c r="E150" s="22"/>
    </row>
    <row r="151" spans="2:5" ht="13">
      <c r="B151" s="83"/>
      <c r="E151" s="22"/>
    </row>
    <row r="152" spans="2:5" ht="13">
      <c r="B152" s="83"/>
      <c r="E152" s="22"/>
    </row>
    <row r="153" spans="2:5" ht="13">
      <c r="B153" s="83"/>
      <c r="E153" s="22"/>
    </row>
    <row r="154" spans="2:5" ht="13">
      <c r="B154" s="83"/>
      <c r="E154" s="22"/>
    </row>
    <row r="155" spans="2:5" ht="13">
      <c r="B155" s="83"/>
      <c r="E155" s="22"/>
    </row>
    <row r="156" spans="2:5" ht="13">
      <c r="B156" s="83"/>
      <c r="E156" s="22"/>
    </row>
    <row r="157" spans="2:5" ht="13">
      <c r="B157" s="83"/>
      <c r="E157" s="22"/>
    </row>
    <row r="158" spans="2:5" ht="13">
      <c r="B158" s="83"/>
      <c r="E158" s="22"/>
    </row>
    <row r="159" spans="2:5" ht="13">
      <c r="B159" s="83"/>
      <c r="E159" s="22"/>
    </row>
    <row r="160" spans="2:5" ht="13">
      <c r="B160" s="83"/>
      <c r="E160" s="22"/>
    </row>
    <row r="161" spans="2:5" ht="13">
      <c r="B161" s="83"/>
      <c r="E161" s="22"/>
    </row>
    <row r="162" spans="2:5" ht="13">
      <c r="B162" s="83"/>
      <c r="E162" s="22"/>
    </row>
    <row r="163" spans="2:5" ht="13">
      <c r="B163" s="83"/>
      <c r="E163" s="22"/>
    </row>
    <row r="164" spans="2:5" ht="13">
      <c r="B164" s="83"/>
      <c r="E164" s="22"/>
    </row>
    <row r="165" spans="2:5" ht="13">
      <c r="B165" s="83"/>
      <c r="E165" s="22"/>
    </row>
    <row r="166" spans="2:5" ht="13">
      <c r="B166" s="83"/>
      <c r="E166" s="22"/>
    </row>
    <row r="167" spans="2:5" ht="13">
      <c r="B167" s="83"/>
      <c r="E167" s="22"/>
    </row>
    <row r="168" spans="2:5" ht="13">
      <c r="B168" s="83"/>
      <c r="E168" s="22"/>
    </row>
    <row r="169" spans="2:5" ht="13">
      <c r="B169" s="83"/>
      <c r="E169" s="22"/>
    </row>
    <row r="170" spans="2:5" ht="13">
      <c r="B170" s="83"/>
      <c r="E170" s="22"/>
    </row>
    <row r="171" spans="2:5" ht="13">
      <c r="B171" s="83"/>
      <c r="E171" s="22"/>
    </row>
    <row r="172" spans="2:5" ht="13">
      <c r="B172" s="83"/>
      <c r="E172" s="22"/>
    </row>
    <row r="173" spans="2:5" ht="13">
      <c r="B173" s="83"/>
      <c r="E173" s="22"/>
    </row>
    <row r="174" spans="2:5" ht="13">
      <c r="B174" s="83"/>
      <c r="E174" s="22"/>
    </row>
    <row r="175" spans="2:5" ht="13">
      <c r="B175" s="83"/>
      <c r="E175" s="22"/>
    </row>
    <row r="176" spans="2:5" ht="13">
      <c r="B176" s="83"/>
      <c r="E176" s="22"/>
    </row>
    <row r="177" spans="2:5" ht="13">
      <c r="B177" s="83"/>
      <c r="E177" s="22"/>
    </row>
    <row r="178" spans="2:5" ht="13">
      <c r="B178" s="83"/>
      <c r="E178" s="22"/>
    </row>
    <row r="179" spans="2:5" ht="13">
      <c r="B179" s="83"/>
      <c r="E179" s="22"/>
    </row>
    <row r="180" spans="2:5" ht="13">
      <c r="B180" s="83"/>
      <c r="E180" s="22"/>
    </row>
    <row r="181" spans="2:5" ht="13">
      <c r="B181" s="83"/>
      <c r="E181" s="22"/>
    </row>
    <row r="182" spans="2:5" ht="13">
      <c r="B182" s="83"/>
      <c r="E182" s="22"/>
    </row>
    <row r="183" spans="2:5" ht="13">
      <c r="B183" s="83"/>
      <c r="E183" s="22"/>
    </row>
    <row r="184" spans="2:5" ht="13">
      <c r="B184" s="83"/>
      <c r="E184" s="22"/>
    </row>
    <row r="185" spans="2:5" ht="13">
      <c r="B185" s="83"/>
      <c r="E185" s="22"/>
    </row>
    <row r="186" spans="2:5" ht="13">
      <c r="B186" s="83"/>
      <c r="E186" s="22"/>
    </row>
    <row r="187" spans="2:5" ht="13">
      <c r="B187" s="83"/>
      <c r="E187" s="22"/>
    </row>
    <row r="188" spans="2:5" ht="13">
      <c r="B188" s="83"/>
      <c r="E188" s="22"/>
    </row>
    <row r="189" spans="2:5" ht="13">
      <c r="B189" s="83"/>
      <c r="E189" s="22"/>
    </row>
    <row r="190" spans="2:5" ht="13">
      <c r="B190" s="83"/>
      <c r="E190" s="22"/>
    </row>
    <row r="191" spans="2:5" ht="13">
      <c r="B191" s="83"/>
      <c r="E191" s="22"/>
    </row>
    <row r="192" spans="2:5" ht="13">
      <c r="B192" s="83"/>
      <c r="E192" s="22"/>
    </row>
    <row r="193" spans="2:5" ht="13">
      <c r="B193" s="83"/>
      <c r="E193" s="22"/>
    </row>
    <row r="194" spans="2:5" ht="13">
      <c r="B194" s="83"/>
      <c r="E194" s="22"/>
    </row>
    <row r="195" spans="2:5" ht="13">
      <c r="B195" s="83"/>
      <c r="E195" s="22"/>
    </row>
    <row r="196" spans="2:5" ht="13">
      <c r="B196" s="83"/>
      <c r="E196" s="22"/>
    </row>
    <row r="197" spans="2:5" ht="13">
      <c r="B197" s="83"/>
      <c r="E197" s="22"/>
    </row>
    <row r="198" spans="2:5" ht="13">
      <c r="B198" s="83"/>
      <c r="E198" s="22"/>
    </row>
    <row r="199" spans="2:5" ht="13">
      <c r="B199" s="83"/>
      <c r="E199" s="22"/>
    </row>
    <row r="200" spans="2:5" ht="13">
      <c r="B200" s="83"/>
      <c r="E200" s="22"/>
    </row>
    <row r="201" spans="2:5" ht="13">
      <c r="B201" s="83"/>
      <c r="E201" s="22"/>
    </row>
    <row r="202" spans="2:5" ht="13">
      <c r="B202" s="83"/>
      <c r="E202" s="22"/>
    </row>
    <row r="203" spans="2:5" ht="13">
      <c r="B203" s="83"/>
      <c r="E203" s="22"/>
    </row>
    <row r="204" spans="2:5" ht="13">
      <c r="B204" s="83"/>
      <c r="E204" s="22"/>
    </row>
    <row r="205" spans="2:5" ht="13">
      <c r="B205" s="83"/>
      <c r="E205" s="22"/>
    </row>
    <row r="206" spans="2:5" ht="13">
      <c r="B206" s="83"/>
      <c r="E206" s="22"/>
    </row>
    <row r="207" spans="2:5" ht="13">
      <c r="B207" s="83"/>
      <c r="E207" s="22"/>
    </row>
    <row r="208" spans="2:5" ht="13">
      <c r="B208" s="83"/>
      <c r="E208" s="22"/>
    </row>
    <row r="209" spans="2:5" ht="13">
      <c r="B209" s="83"/>
      <c r="E209" s="22"/>
    </row>
    <row r="210" spans="2:5" ht="13">
      <c r="B210" s="83"/>
      <c r="E210" s="22"/>
    </row>
    <row r="211" spans="2:5" ht="13">
      <c r="B211" s="83"/>
      <c r="E211" s="22"/>
    </row>
    <row r="212" spans="2:5" ht="13">
      <c r="B212" s="83"/>
      <c r="E212" s="22"/>
    </row>
    <row r="213" spans="2:5" ht="13">
      <c r="B213" s="83"/>
      <c r="E213" s="22"/>
    </row>
    <row r="214" spans="2:5" ht="13">
      <c r="B214" s="83"/>
      <c r="E214" s="22"/>
    </row>
    <row r="215" spans="2:5" ht="13">
      <c r="B215" s="83"/>
      <c r="E215" s="22"/>
    </row>
    <row r="216" spans="2:5" ht="13">
      <c r="B216" s="83"/>
      <c r="E216" s="22"/>
    </row>
    <row r="217" spans="2:5" ht="13">
      <c r="B217" s="83"/>
      <c r="E217" s="22"/>
    </row>
    <row r="218" spans="2:5" ht="13">
      <c r="B218" s="83"/>
      <c r="E218" s="22"/>
    </row>
    <row r="219" spans="2:5" ht="13">
      <c r="B219" s="83"/>
      <c r="E219" s="22"/>
    </row>
    <row r="220" spans="2:5" ht="13">
      <c r="B220" s="83"/>
      <c r="E220" s="22"/>
    </row>
    <row r="221" spans="2:5" ht="13">
      <c r="B221" s="83"/>
      <c r="E221" s="22"/>
    </row>
    <row r="222" spans="2:5" ht="13">
      <c r="B222" s="83"/>
      <c r="E222" s="22"/>
    </row>
    <row r="223" spans="2:5" ht="13">
      <c r="B223" s="83"/>
      <c r="E223" s="22"/>
    </row>
    <row r="224" spans="2:5" ht="13">
      <c r="B224" s="83"/>
      <c r="E224" s="22"/>
    </row>
    <row r="225" spans="2:5" ht="13">
      <c r="B225" s="83"/>
      <c r="E225" s="22"/>
    </row>
    <row r="226" spans="2:5" ht="13">
      <c r="B226" s="83"/>
      <c r="E226" s="22"/>
    </row>
    <row r="227" spans="2:5" ht="13">
      <c r="B227" s="83"/>
      <c r="E227" s="22"/>
    </row>
    <row r="228" spans="2:5" ht="13">
      <c r="B228" s="83"/>
      <c r="E228" s="22"/>
    </row>
    <row r="229" spans="2:5" ht="13">
      <c r="B229" s="83"/>
      <c r="E229" s="22"/>
    </row>
    <row r="230" spans="2:5" ht="13">
      <c r="B230" s="83"/>
      <c r="E230" s="22"/>
    </row>
    <row r="231" spans="2:5" ht="13">
      <c r="B231" s="83"/>
      <c r="E231" s="22"/>
    </row>
    <row r="232" spans="2:5" ht="13">
      <c r="B232" s="83"/>
      <c r="E232" s="22"/>
    </row>
    <row r="233" spans="2:5" ht="13">
      <c r="B233" s="83"/>
      <c r="E233" s="22"/>
    </row>
    <row r="234" spans="2:5" ht="13">
      <c r="B234" s="83"/>
      <c r="E234" s="22"/>
    </row>
    <row r="235" spans="2:5" ht="13">
      <c r="B235" s="83"/>
      <c r="E235" s="22"/>
    </row>
    <row r="236" spans="2:5" ht="13">
      <c r="B236" s="83"/>
      <c r="E236" s="22"/>
    </row>
    <row r="237" spans="2:5" ht="13">
      <c r="B237" s="83"/>
      <c r="E237" s="22"/>
    </row>
    <row r="238" spans="2:5" ht="13">
      <c r="B238" s="83"/>
      <c r="E238" s="22"/>
    </row>
    <row r="239" spans="2:5" ht="13">
      <c r="B239" s="83"/>
      <c r="E239" s="22"/>
    </row>
    <row r="240" spans="2:5" ht="13">
      <c r="B240" s="83"/>
      <c r="E240" s="22"/>
    </row>
    <row r="241" spans="2:5" ht="13">
      <c r="B241" s="83"/>
      <c r="E241" s="22"/>
    </row>
    <row r="242" spans="2:5" ht="13">
      <c r="B242" s="83"/>
      <c r="E242" s="22"/>
    </row>
    <row r="243" spans="2:5" ht="13">
      <c r="B243" s="83"/>
      <c r="E243" s="22"/>
    </row>
    <row r="244" spans="2:5" ht="13">
      <c r="B244" s="83"/>
      <c r="E244" s="22"/>
    </row>
    <row r="245" spans="2:5" ht="13">
      <c r="B245" s="83"/>
      <c r="E245" s="22"/>
    </row>
    <row r="246" spans="2:5" ht="13">
      <c r="B246" s="83"/>
      <c r="E246" s="22"/>
    </row>
    <row r="247" spans="2:5" ht="13">
      <c r="B247" s="83"/>
      <c r="E247" s="22"/>
    </row>
    <row r="248" spans="2:5" ht="13">
      <c r="B248" s="83"/>
      <c r="E248" s="22"/>
    </row>
    <row r="249" spans="2:5" ht="13">
      <c r="B249" s="83"/>
      <c r="E249" s="22"/>
    </row>
    <row r="250" spans="2:5" ht="13">
      <c r="B250" s="83"/>
      <c r="E250" s="22"/>
    </row>
    <row r="251" spans="2:5" ht="13">
      <c r="B251" s="83"/>
      <c r="E251" s="22"/>
    </row>
    <row r="252" spans="2:5" ht="13">
      <c r="B252" s="83"/>
      <c r="E252" s="22"/>
    </row>
    <row r="253" spans="2:5" ht="13">
      <c r="B253" s="83"/>
      <c r="E253" s="22"/>
    </row>
    <row r="254" spans="2:5" ht="13">
      <c r="B254" s="83"/>
      <c r="E254" s="22"/>
    </row>
    <row r="255" spans="2:5" ht="13">
      <c r="B255" s="83"/>
      <c r="E255" s="22"/>
    </row>
    <row r="256" spans="2:5" ht="13">
      <c r="B256" s="83"/>
      <c r="E256" s="22"/>
    </row>
    <row r="257" spans="2:5" ht="13">
      <c r="B257" s="83"/>
      <c r="E257" s="22"/>
    </row>
    <row r="258" spans="2:5" ht="13">
      <c r="B258" s="83"/>
      <c r="E258" s="22"/>
    </row>
    <row r="259" spans="2:5" ht="13">
      <c r="B259" s="83"/>
      <c r="E259" s="22"/>
    </row>
    <row r="260" spans="2:5" ht="13">
      <c r="B260" s="83"/>
      <c r="E260" s="22"/>
    </row>
    <row r="261" spans="2:5" ht="13">
      <c r="B261" s="83"/>
      <c r="E261" s="22"/>
    </row>
    <row r="262" spans="2:5" ht="13">
      <c r="B262" s="83"/>
      <c r="E262" s="22"/>
    </row>
    <row r="263" spans="2:5" ht="13">
      <c r="B263" s="83"/>
      <c r="E263" s="22"/>
    </row>
    <row r="264" spans="2:5" ht="13">
      <c r="B264" s="83"/>
      <c r="E264" s="22"/>
    </row>
    <row r="265" spans="2:5" ht="13">
      <c r="B265" s="83"/>
      <c r="E265" s="22"/>
    </row>
    <row r="266" spans="2:5" ht="13">
      <c r="B266" s="83"/>
      <c r="E266" s="22"/>
    </row>
    <row r="267" spans="2:5" ht="13">
      <c r="B267" s="83"/>
      <c r="E267" s="22"/>
    </row>
    <row r="268" spans="2:5" ht="13">
      <c r="B268" s="83"/>
      <c r="E268" s="22"/>
    </row>
    <row r="269" spans="2:5" ht="13">
      <c r="B269" s="83"/>
      <c r="E269" s="22"/>
    </row>
    <row r="270" spans="2:5" ht="13">
      <c r="B270" s="83"/>
      <c r="E270" s="22"/>
    </row>
    <row r="271" spans="2:5" ht="13">
      <c r="B271" s="83"/>
      <c r="E271" s="22"/>
    </row>
    <row r="272" spans="2:5" ht="13">
      <c r="B272" s="83"/>
      <c r="E272" s="22"/>
    </row>
    <row r="273" spans="2:5" ht="13">
      <c r="B273" s="83"/>
      <c r="E273" s="22"/>
    </row>
    <row r="274" spans="2:5" ht="13">
      <c r="B274" s="83"/>
      <c r="E274" s="22"/>
    </row>
    <row r="275" spans="2:5" ht="13">
      <c r="B275" s="83"/>
      <c r="E275" s="22"/>
    </row>
    <row r="276" spans="2:5" ht="13">
      <c r="B276" s="83"/>
      <c r="E276" s="22"/>
    </row>
    <row r="277" spans="2:5" ht="13">
      <c r="B277" s="83"/>
      <c r="E277" s="22"/>
    </row>
    <row r="278" spans="2:5" ht="13">
      <c r="B278" s="83"/>
      <c r="E278" s="22"/>
    </row>
    <row r="279" spans="2:5" ht="13">
      <c r="B279" s="83"/>
      <c r="E279" s="22"/>
    </row>
    <row r="280" spans="2:5" ht="13">
      <c r="B280" s="83"/>
      <c r="E280" s="22"/>
    </row>
    <row r="281" spans="2:5" ht="13">
      <c r="B281" s="83"/>
      <c r="E281" s="22"/>
    </row>
    <row r="282" spans="2:5" ht="13">
      <c r="B282" s="83"/>
      <c r="E282" s="22"/>
    </row>
    <row r="283" spans="2:5" ht="13">
      <c r="B283" s="83"/>
      <c r="E283" s="22"/>
    </row>
    <row r="284" spans="2:5" ht="13">
      <c r="B284" s="83"/>
      <c r="E284" s="22"/>
    </row>
    <row r="285" spans="2:5" ht="13">
      <c r="B285" s="83"/>
      <c r="E285" s="22"/>
    </row>
    <row r="286" spans="2:5" ht="13">
      <c r="B286" s="83"/>
      <c r="E286" s="22"/>
    </row>
    <row r="287" spans="2:5" ht="13">
      <c r="B287" s="83"/>
      <c r="E287" s="22"/>
    </row>
    <row r="288" spans="2:5" ht="13">
      <c r="B288" s="83"/>
      <c r="E288" s="22"/>
    </row>
    <row r="289" spans="2:5" ht="13">
      <c r="B289" s="83"/>
      <c r="E289" s="22"/>
    </row>
    <row r="290" spans="2:5" ht="13">
      <c r="B290" s="83"/>
      <c r="E290" s="22"/>
    </row>
    <row r="291" spans="2:5" ht="13">
      <c r="B291" s="83"/>
      <c r="E291" s="22"/>
    </row>
    <row r="292" spans="2:5" ht="13">
      <c r="B292" s="83"/>
      <c r="E292" s="22"/>
    </row>
    <row r="293" spans="2:5" ht="13">
      <c r="B293" s="83"/>
      <c r="E293" s="22"/>
    </row>
    <row r="294" spans="2:5" ht="13">
      <c r="B294" s="83"/>
      <c r="E294" s="22"/>
    </row>
    <row r="295" spans="2:5" ht="13">
      <c r="B295" s="83"/>
      <c r="E295" s="22"/>
    </row>
    <row r="296" spans="2:5" ht="13">
      <c r="B296" s="83"/>
      <c r="E296" s="22"/>
    </row>
    <row r="297" spans="2:5" ht="13">
      <c r="B297" s="83"/>
      <c r="E297" s="22"/>
    </row>
    <row r="298" spans="2:5" ht="13">
      <c r="B298" s="83"/>
      <c r="E298" s="22"/>
    </row>
    <row r="299" spans="2:5" ht="13">
      <c r="B299" s="83"/>
      <c r="E299" s="22"/>
    </row>
    <row r="300" spans="2:5" ht="13">
      <c r="B300" s="83"/>
      <c r="E300" s="22"/>
    </row>
    <row r="301" spans="2:5" ht="13">
      <c r="B301" s="83"/>
      <c r="E301" s="22"/>
    </row>
    <row r="302" spans="2:5" ht="13">
      <c r="B302" s="83"/>
      <c r="E302" s="22"/>
    </row>
    <row r="303" spans="2:5" ht="13">
      <c r="B303" s="83"/>
      <c r="E303" s="22"/>
    </row>
    <row r="304" spans="2:5" ht="13">
      <c r="B304" s="83"/>
      <c r="E304" s="22"/>
    </row>
    <row r="305" spans="2:5" ht="13">
      <c r="B305" s="83"/>
      <c r="E305" s="22"/>
    </row>
    <row r="306" spans="2:5" ht="13">
      <c r="B306" s="83"/>
      <c r="E306" s="22"/>
    </row>
    <row r="307" spans="2:5" ht="13">
      <c r="B307" s="83"/>
      <c r="E307" s="22"/>
    </row>
    <row r="308" spans="2:5" ht="13">
      <c r="B308" s="83"/>
      <c r="E308" s="22"/>
    </row>
    <row r="309" spans="2:5" ht="13">
      <c r="B309" s="83"/>
      <c r="E309" s="22"/>
    </row>
    <row r="310" spans="2:5" ht="13">
      <c r="B310" s="83"/>
      <c r="E310" s="22"/>
    </row>
    <row r="311" spans="2:5" ht="13">
      <c r="B311" s="83"/>
      <c r="E311" s="22"/>
    </row>
    <row r="312" spans="2:5" ht="13">
      <c r="B312" s="83"/>
      <c r="E312" s="22"/>
    </row>
    <row r="313" spans="2:5" ht="13">
      <c r="B313" s="83"/>
      <c r="E313" s="22"/>
    </row>
    <row r="314" spans="2:5" ht="13">
      <c r="B314" s="83"/>
      <c r="E314" s="22"/>
    </row>
    <row r="315" spans="2:5" ht="13">
      <c r="B315" s="83"/>
      <c r="E315" s="22"/>
    </row>
    <row r="316" spans="2:5" ht="13">
      <c r="B316" s="83"/>
      <c r="E316" s="22"/>
    </row>
    <row r="317" spans="2:5" ht="13">
      <c r="B317" s="83"/>
      <c r="E317" s="22"/>
    </row>
    <row r="318" spans="2:5" ht="13">
      <c r="B318" s="83"/>
      <c r="E318" s="22"/>
    </row>
    <row r="319" spans="2:5" ht="13">
      <c r="B319" s="83"/>
      <c r="E319" s="22"/>
    </row>
    <row r="320" spans="2:5" ht="13">
      <c r="B320" s="83"/>
      <c r="E320" s="22"/>
    </row>
    <row r="321" spans="2:5" ht="13">
      <c r="B321" s="83"/>
      <c r="E321" s="22"/>
    </row>
    <row r="322" spans="2:5" ht="13">
      <c r="B322" s="83"/>
      <c r="E322" s="22"/>
    </row>
    <row r="323" spans="2:5" ht="13">
      <c r="B323" s="83"/>
      <c r="E323" s="22"/>
    </row>
    <row r="324" spans="2:5" ht="13">
      <c r="B324" s="83"/>
      <c r="E324" s="22"/>
    </row>
    <row r="325" spans="2:5" ht="13">
      <c r="B325" s="83"/>
      <c r="E325" s="22"/>
    </row>
    <row r="326" spans="2:5" ht="13">
      <c r="B326" s="83"/>
      <c r="E326" s="22"/>
    </row>
    <row r="327" spans="2:5" ht="13">
      <c r="B327" s="83"/>
      <c r="E327" s="22"/>
    </row>
    <row r="328" spans="2:5" ht="13">
      <c r="B328" s="83"/>
      <c r="E328" s="22"/>
    </row>
    <row r="329" spans="2:5" ht="13">
      <c r="B329" s="83"/>
      <c r="E329" s="22"/>
    </row>
    <row r="330" spans="2:5" ht="13">
      <c r="B330" s="83"/>
      <c r="E330" s="22"/>
    </row>
    <row r="331" spans="2:5" ht="13">
      <c r="B331" s="83"/>
      <c r="E331" s="22"/>
    </row>
    <row r="332" spans="2:5" ht="13">
      <c r="B332" s="83"/>
      <c r="E332" s="22"/>
    </row>
    <row r="333" spans="2:5" ht="13">
      <c r="B333" s="83"/>
      <c r="E333" s="22"/>
    </row>
    <row r="334" spans="2:5" ht="13">
      <c r="B334" s="83"/>
      <c r="E334" s="22"/>
    </row>
    <row r="335" spans="2:5" ht="13">
      <c r="B335" s="83"/>
      <c r="E335" s="22"/>
    </row>
    <row r="336" spans="2:5" ht="13">
      <c r="B336" s="83"/>
      <c r="E336" s="22"/>
    </row>
    <row r="337" spans="2:5" ht="13">
      <c r="B337" s="83"/>
      <c r="E337" s="22"/>
    </row>
    <row r="338" spans="2:5" ht="13">
      <c r="B338" s="83"/>
      <c r="E338" s="22"/>
    </row>
    <row r="339" spans="2:5" ht="13">
      <c r="B339" s="83"/>
      <c r="E339" s="22"/>
    </row>
    <row r="340" spans="2:5" ht="13">
      <c r="B340" s="83"/>
      <c r="E340" s="22"/>
    </row>
    <row r="341" spans="2:5" ht="13">
      <c r="B341" s="83"/>
      <c r="E341" s="22"/>
    </row>
    <row r="342" spans="2:5" ht="13">
      <c r="B342" s="83"/>
      <c r="E342" s="22"/>
    </row>
    <row r="343" spans="2:5" ht="13">
      <c r="B343" s="83"/>
      <c r="E343" s="22"/>
    </row>
    <row r="344" spans="2:5" ht="13">
      <c r="B344" s="83"/>
      <c r="E344" s="22"/>
    </row>
    <row r="345" spans="2:5" ht="13">
      <c r="B345" s="83"/>
      <c r="E345" s="22"/>
    </row>
    <row r="346" spans="2:5" ht="13">
      <c r="B346" s="83"/>
      <c r="E346" s="22"/>
    </row>
    <row r="347" spans="2:5" ht="13">
      <c r="B347" s="83"/>
      <c r="E347" s="22"/>
    </row>
    <row r="348" spans="2:5" ht="13">
      <c r="B348" s="83"/>
      <c r="E348" s="22"/>
    </row>
    <row r="349" spans="2:5" ht="13">
      <c r="B349" s="83"/>
      <c r="E349" s="22"/>
    </row>
    <row r="350" spans="2:5" ht="13">
      <c r="B350" s="83"/>
      <c r="E350" s="22"/>
    </row>
    <row r="351" spans="2:5" ht="13">
      <c r="B351" s="83"/>
      <c r="E351" s="22"/>
    </row>
    <row r="352" spans="2:5" ht="13">
      <c r="B352" s="83"/>
      <c r="E352" s="22"/>
    </row>
    <row r="353" spans="2:5" ht="13">
      <c r="B353" s="83"/>
      <c r="E353" s="22"/>
    </row>
    <row r="354" spans="2:5" ht="13">
      <c r="B354" s="83"/>
      <c r="E354" s="22"/>
    </row>
    <row r="355" spans="2:5" ht="13">
      <c r="B355" s="83"/>
      <c r="E355" s="22"/>
    </row>
    <row r="356" spans="2:5" ht="13">
      <c r="B356" s="83"/>
      <c r="E356" s="22"/>
    </row>
    <row r="357" spans="2:5" ht="13">
      <c r="B357" s="83"/>
      <c r="E357" s="22"/>
    </row>
    <row r="358" spans="2:5" ht="13">
      <c r="B358" s="83"/>
      <c r="E358" s="22"/>
    </row>
    <row r="359" spans="2:5" ht="13">
      <c r="B359" s="83"/>
      <c r="E359" s="22"/>
    </row>
    <row r="360" spans="2:5" ht="13">
      <c r="B360" s="83"/>
      <c r="E360" s="22"/>
    </row>
    <row r="361" spans="2:5" ht="13">
      <c r="B361" s="83"/>
      <c r="E361" s="22"/>
    </row>
    <row r="362" spans="2:5" ht="13">
      <c r="B362" s="83"/>
      <c r="E362" s="22"/>
    </row>
    <row r="363" spans="2:5" ht="13">
      <c r="B363" s="83"/>
      <c r="E363" s="22"/>
    </row>
    <row r="364" spans="2:5" ht="13">
      <c r="B364" s="83"/>
      <c r="E364" s="22"/>
    </row>
    <row r="365" spans="2:5" ht="13">
      <c r="B365" s="83"/>
      <c r="E365" s="22"/>
    </row>
    <row r="366" spans="2:5" ht="13">
      <c r="B366" s="83"/>
      <c r="E366" s="22"/>
    </row>
    <row r="367" spans="2:5" ht="13">
      <c r="B367" s="83"/>
      <c r="E367" s="22"/>
    </row>
    <row r="368" spans="2:5" ht="13">
      <c r="B368" s="83"/>
      <c r="E368" s="22"/>
    </row>
    <row r="369" spans="2:5" ht="13">
      <c r="B369" s="83"/>
      <c r="E369" s="22"/>
    </row>
    <row r="370" spans="2:5" ht="13">
      <c r="B370" s="83"/>
      <c r="E370" s="22"/>
    </row>
    <row r="371" spans="2:5" ht="13">
      <c r="B371" s="83"/>
      <c r="E371" s="22"/>
    </row>
    <row r="372" spans="2:5" ht="13">
      <c r="B372" s="83"/>
      <c r="E372" s="22"/>
    </row>
    <row r="373" spans="2:5" ht="13">
      <c r="B373" s="83"/>
      <c r="E373" s="22"/>
    </row>
    <row r="374" spans="2:5" ht="13">
      <c r="B374" s="83"/>
      <c r="E374" s="22"/>
    </row>
    <row r="375" spans="2:5" ht="13">
      <c r="B375" s="83"/>
      <c r="E375" s="22"/>
    </row>
    <row r="376" spans="2:5" ht="13">
      <c r="B376" s="83"/>
      <c r="E376" s="22"/>
    </row>
    <row r="377" spans="2:5" ht="13">
      <c r="B377" s="83"/>
      <c r="E377" s="22"/>
    </row>
    <row r="378" spans="2:5" ht="13">
      <c r="B378" s="83"/>
      <c r="E378" s="22"/>
    </row>
    <row r="379" spans="2:5" ht="13">
      <c r="B379" s="83"/>
      <c r="E379" s="22"/>
    </row>
    <row r="380" spans="2:5" ht="13">
      <c r="B380" s="83"/>
      <c r="E380" s="22"/>
    </row>
    <row r="381" spans="2:5" ht="13">
      <c r="B381" s="83"/>
      <c r="E381" s="22"/>
    </row>
    <row r="382" spans="2:5" ht="13">
      <c r="B382" s="83"/>
      <c r="E382" s="22"/>
    </row>
    <row r="383" spans="2:5" ht="13">
      <c r="B383" s="83"/>
      <c r="E383" s="22"/>
    </row>
    <row r="384" spans="2:5" ht="13">
      <c r="B384" s="83"/>
      <c r="E384" s="22"/>
    </row>
    <row r="385" spans="2:5" ht="13">
      <c r="B385" s="83"/>
      <c r="E385" s="22"/>
    </row>
    <row r="386" spans="2:5" ht="13">
      <c r="B386" s="83"/>
      <c r="E386" s="22"/>
    </row>
    <row r="387" spans="2:5" ht="13">
      <c r="B387" s="83"/>
      <c r="E387" s="22"/>
    </row>
    <row r="388" spans="2:5" ht="13">
      <c r="B388" s="83"/>
      <c r="E388" s="22"/>
    </row>
    <row r="389" spans="2:5" ht="13">
      <c r="B389" s="83"/>
      <c r="E389" s="22"/>
    </row>
    <row r="390" spans="2:5" ht="13">
      <c r="B390" s="83"/>
      <c r="E390" s="22"/>
    </row>
    <row r="391" spans="2:5" ht="13">
      <c r="B391" s="83"/>
      <c r="E391" s="22"/>
    </row>
    <row r="392" spans="2:5" ht="13">
      <c r="B392" s="83"/>
      <c r="E392" s="22"/>
    </row>
    <row r="393" spans="2:5" ht="13">
      <c r="B393" s="83"/>
      <c r="E393" s="22"/>
    </row>
    <row r="394" spans="2:5" ht="13">
      <c r="B394" s="83"/>
      <c r="E394" s="22"/>
    </row>
    <row r="395" spans="2:5" ht="13">
      <c r="B395" s="83"/>
      <c r="E395" s="22"/>
    </row>
    <row r="396" spans="2:5" ht="13">
      <c r="B396" s="83"/>
      <c r="E396" s="22"/>
    </row>
    <row r="397" spans="2:5" ht="13">
      <c r="B397" s="83"/>
      <c r="E397" s="22"/>
    </row>
    <row r="398" spans="2:5" ht="13">
      <c r="B398" s="83"/>
      <c r="E398" s="22"/>
    </row>
    <row r="399" spans="2:5" ht="13">
      <c r="B399" s="83"/>
      <c r="E399" s="22"/>
    </row>
    <row r="400" spans="2:5" ht="13">
      <c r="B400" s="83"/>
      <c r="E400" s="22"/>
    </row>
    <row r="401" spans="2:5" ht="13">
      <c r="B401" s="83"/>
      <c r="E401" s="22"/>
    </row>
    <row r="402" spans="2:5" ht="13">
      <c r="B402" s="83"/>
      <c r="E402" s="22"/>
    </row>
    <row r="403" spans="2:5" ht="13">
      <c r="B403" s="83"/>
      <c r="E403" s="22"/>
    </row>
    <row r="404" spans="2:5" ht="13">
      <c r="B404" s="83"/>
      <c r="E404" s="22"/>
    </row>
    <row r="405" spans="2:5" ht="13">
      <c r="B405" s="83"/>
      <c r="E405" s="22"/>
    </row>
    <row r="406" spans="2:5" ht="13">
      <c r="B406" s="83"/>
      <c r="E406" s="22"/>
    </row>
    <row r="407" spans="2:5" ht="13">
      <c r="B407" s="83"/>
      <c r="E407" s="22"/>
    </row>
    <row r="408" spans="2:5" ht="13">
      <c r="B408" s="83"/>
      <c r="E408" s="22"/>
    </row>
    <row r="409" spans="2:5" ht="13">
      <c r="B409" s="83"/>
      <c r="E409" s="22"/>
    </row>
    <row r="410" spans="2:5" ht="13">
      <c r="B410" s="83"/>
      <c r="E410" s="22"/>
    </row>
    <row r="411" spans="2:5" ht="13">
      <c r="B411" s="83"/>
      <c r="E411" s="22"/>
    </row>
    <row r="412" spans="2:5" ht="13">
      <c r="B412" s="83"/>
      <c r="E412" s="22"/>
    </row>
    <row r="413" spans="2:5" ht="13">
      <c r="B413" s="83"/>
      <c r="E413" s="22"/>
    </row>
    <row r="414" spans="2:5" ht="13">
      <c r="B414" s="83"/>
      <c r="E414" s="22"/>
    </row>
    <row r="415" spans="2:5" ht="13">
      <c r="B415" s="83"/>
      <c r="E415" s="22"/>
    </row>
    <row r="416" spans="2:5" ht="13">
      <c r="B416" s="83"/>
      <c r="E416" s="22"/>
    </row>
    <row r="417" spans="2:5" ht="13">
      <c r="B417" s="83"/>
      <c r="E417" s="22"/>
    </row>
    <row r="418" spans="2:5" ht="13">
      <c r="B418" s="83"/>
      <c r="E418" s="22"/>
    </row>
    <row r="419" spans="2:5" ht="13">
      <c r="B419" s="83"/>
      <c r="E419" s="22"/>
    </row>
    <row r="420" spans="2:5" ht="13">
      <c r="B420" s="83"/>
      <c r="E420" s="22"/>
    </row>
    <row r="421" spans="2:5" ht="13">
      <c r="B421" s="83"/>
      <c r="E421" s="22"/>
    </row>
    <row r="422" spans="2:5" ht="13">
      <c r="B422" s="83"/>
      <c r="E422" s="22"/>
    </row>
    <row r="423" spans="2:5" ht="13">
      <c r="B423" s="83"/>
      <c r="E423" s="22"/>
    </row>
    <row r="424" spans="2:5" ht="13">
      <c r="B424" s="83"/>
      <c r="E424" s="22"/>
    </row>
    <row r="425" spans="2:5" ht="13">
      <c r="B425" s="83"/>
      <c r="E425" s="22"/>
    </row>
    <row r="426" spans="2:5" ht="13">
      <c r="B426" s="83"/>
      <c r="E426" s="22"/>
    </row>
    <row r="427" spans="2:5" ht="13">
      <c r="B427" s="83"/>
      <c r="E427" s="22"/>
    </row>
    <row r="428" spans="2:5" ht="13">
      <c r="B428" s="83"/>
      <c r="E428" s="22"/>
    </row>
    <row r="429" spans="2:5" ht="13">
      <c r="B429" s="83"/>
      <c r="E429" s="22"/>
    </row>
    <row r="430" spans="2:5" ht="13">
      <c r="B430" s="83"/>
      <c r="E430" s="22"/>
    </row>
    <row r="431" spans="2:5" ht="13">
      <c r="B431" s="83"/>
      <c r="E431" s="22"/>
    </row>
    <row r="432" spans="2:5" ht="13">
      <c r="B432" s="83"/>
      <c r="E432" s="22"/>
    </row>
    <row r="433" spans="2:5" ht="13">
      <c r="B433" s="83"/>
      <c r="E433" s="22"/>
    </row>
    <row r="434" spans="2:5" ht="13">
      <c r="B434" s="83"/>
      <c r="E434" s="22"/>
    </row>
    <row r="435" spans="2:5" ht="13">
      <c r="B435" s="83"/>
      <c r="E435" s="22"/>
    </row>
    <row r="436" spans="2:5" ht="13">
      <c r="B436" s="83"/>
      <c r="E436" s="22"/>
    </row>
    <row r="437" spans="2:5" ht="13">
      <c r="B437" s="83"/>
      <c r="E437" s="22"/>
    </row>
    <row r="438" spans="2:5" ht="13">
      <c r="B438" s="83"/>
      <c r="E438" s="22"/>
    </row>
    <row r="439" spans="2:5" ht="13">
      <c r="B439" s="83"/>
      <c r="E439" s="22"/>
    </row>
    <row r="440" spans="2:5" ht="13">
      <c r="B440" s="83"/>
      <c r="E440" s="22"/>
    </row>
    <row r="441" spans="2:5" ht="13">
      <c r="B441" s="83"/>
      <c r="E441" s="22"/>
    </row>
    <row r="442" spans="2:5" ht="13">
      <c r="B442" s="83"/>
      <c r="E442" s="22"/>
    </row>
    <row r="443" spans="2:5" ht="13">
      <c r="B443" s="83"/>
      <c r="E443" s="22"/>
    </row>
    <row r="444" spans="2:5" ht="13">
      <c r="B444" s="83"/>
      <c r="E444" s="22"/>
    </row>
    <row r="445" spans="2:5" ht="13">
      <c r="B445" s="83"/>
      <c r="E445" s="22"/>
    </row>
    <row r="446" spans="2:5" ht="13">
      <c r="B446" s="83"/>
      <c r="E446" s="22"/>
    </row>
    <row r="447" spans="2:5" ht="13">
      <c r="B447" s="83"/>
      <c r="E447" s="22"/>
    </row>
    <row r="448" spans="2:5" ht="13">
      <c r="B448" s="83"/>
      <c r="E448" s="22"/>
    </row>
    <row r="449" spans="2:5" ht="13">
      <c r="B449" s="83"/>
      <c r="E449" s="22"/>
    </row>
    <row r="450" spans="2:5" ht="13">
      <c r="B450" s="83"/>
      <c r="E450" s="22"/>
    </row>
    <row r="451" spans="2:5" ht="13">
      <c r="B451" s="83"/>
      <c r="E451" s="22"/>
    </row>
    <row r="452" spans="2:5" ht="13">
      <c r="B452" s="83"/>
      <c r="E452" s="22"/>
    </row>
    <row r="453" spans="2:5" ht="13">
      <c r="B453" s="83"/>
      <c r="E453" s="22"/>
    </row>
    <row r="454" spans="2:5" ht="13">
      <c r="B454" s="83"/>
      <c r="E454" s="22"/>
    </row>
    <row r="455" spans="2:5" ht="13">
      <c r="B455" s="83"/>
      <c r="E455" s="22"/>
    </row>
    <row r="456" spans="2:5" ht="13">
      <c r="B456" s="83"/>
      <c r="E456" s="22"/>
    </row>
    <row r="457" spans="2:5" ht="13">
      <c r="B457" s="83"/>
      <c r="E457" s="22"/>
    </row>
    <row r="458" spans="2:5" ht="13">
      <c r="B458" s="83"/>
      <c r="E458" s="22"/>
    </row>
    <row r="459" spans="2:5" ht="13">
      <c r="B459" s="83"/>
      <c r="E459" s="22"/>
    </row>
    <row r="460" spans="2:5" ht="13">
      <c r="B460" s="83"/>
      <c r="E460" s="22"/>
    </row>
    <row r="461" spans="2:5" ht="13">
      <c r="B461" s="83"/>
      <c r="E461" s="22"/>
    </row>
    <row r="462" spans="2:5" ht="13">
      <c r="B462" s="83"/>
      <c r="E462" s="22"/>
    </row>
    <row r="463" spans="2:5" ht="13">
      <c r="B463" s="83"/>
      <c r="E463" s="22"/>
    </row>
    <row r="464" spans="2:5" ht="13">
      <c r="B464" s="83"/>
      <c r="E464" s="22"/>
    </row>
    <row r="465" spans="2:5" ht="13">
      <c r="B465" s="83"/>
      <c r="E465" s="22"/>
    </row>
    <row r="466" spans="2:5" ht="13">
      <c r="B466" s="83"/>
      <c r="E466" s="22"/>
    </row>
    <row r="467" spans="2:5" ht="13">
      <c r="B467" s="83"/>
      <c r="E467" s="22"/>
    </row>
    <row r="468" spans="2:5" ht="13">
      <c r="B468" s="83"/>
      <c r="E468" s="22"/>
    </row>
    <row r="469" spans="2:5" ht="13">
      <c r="B469" s="83"/>
      <c r="E469" s="22"/>
    </row>
    <row r="470" spans="2:5" ht="13">
      <c r="B470" s="83"/>
      <c r="E470" s="22"/>
    </row>
    <row r="471" spans="2:5" ht="13">
      <c r="B471" s="83"/>
      <c r="E471" s="22"/>
    </row>
    <row r="472" spans="2:5" ht="13">
      <c r="B472" s="83"/>
      <c r="E472" s="22"/>
    </row>
    <row r="473" spans="2:5" ht="13">
      <c r="B473" s="83"/>
      <c r="E473" s="22"/>
    </row>
    <row r="474" spans="2:5" ht="13">
      <c r="B474" s="83"/>
      <c r="E474" s="22"/>
    </row>
    <row r="475" spans="2:5" ht="13">
      <c r="B475" s="83"/>
      <c r="E475" s="22"/>
    </row>
    <row r="476" spans="2:5" ht="13">
      <c r="B476" s="83"/>
      <c r="E476" s="22"/>
    </row>
    <row r="477" spans="2:5" ht="13">
      <c r="B477" s="83"/>
      <c r="E477" s="22"/>
    </row>
    <row r="478" spans="2:5" ht="13">
      <c r="B478" s="83"/>
      <c r="E478" s="22"/>
    </row>
    <row r="479" spans="2:5" ht="13">
      <c r="B479" s="83"/>
      <c r="E479" s="22"/>
    </row>
    <row r="480" spans="2:5" ht="13">
      <c r="B480" s="83"/>
      <c r="E480" s="22"/>
    </row>
    <row r="481" spans="2:5" ht="13">
      <c r="B481" s="83"/>
      <c r="E481" s="22"/>
    </row>
    <row r="482" spans="2:5" ht="13">
      <c r="B482" s="83"/>
      <c r="E482" s="22"/>
    </row>
    <row r="483" spans="2:5" ht="13">
      <c r="B483" s="83"/>
      <c r="E483" s="22"/>
    </row>
    <row r="484" spans="2:5" ht="13">
      <c r="B484" s="83"/>
      <c r="E484" s="22"/>
    </row>
    <row r="485" spans="2:5" ht="13">
      <c r="B485" s="83"/>
      <c r="E485" s="22"/>
    </row>
    <row r="486" spans="2:5" ht="13">
      <c r="B486" s="83"/>
      <c r="E486" s="22"/>
    </row>
    <row r="487" spans="2:5" ht="13">
      <c r="B487" s="83"/>
      <c r="E487" s="22"/>
    </row>
    <row r="488" spans="2:5" ht="13">
      <c r="B488" s="83"/>
      <c r="E488" s="22"/>
    </row>
    <row r="489" spans="2:5" ht="13">
      <c r="B489" s="83"/>
      <c r="E489" s="22"/>
    </row>
    <row r="490" spans="2:5" ht="13">
      <c r="B490" s="83"/>
      <c r="E490" s="22"/>
    </row>
    <row r="491" spans="2:5" ht="13">
      <c r="B491" s="83"/>
      <c r="E491" s="22"/>
    </row>
    <row r="492" spans="2:5" ht="13">
      <c r="B492" s="83"/>
      <c r="E492" s="22"/>
    </row>
    <row r="493" spans="2:5" ht="13">
      <c r="B493" s="83"/>
      <c r="E493" s="22"/>
    </row>
    <row r="494" spans="2:5" ht="13">
      <c r="B494" s="83"/>
      <c r="E494" s="22"/>
    </row>
    <row r="495" spans="2:5" ht="13">
      <c r="B495" s="83"/>
      <c r="E495" s="22"/>
    </row>
    <row r="496" spans="2:5" ht="13">
      <c r="B496" s="83"/>
      <c r="E496" s="22"/>
    </row>
    <row r="497" spans="2:5" ht="13">
      <c r="B497" s="83"/>
      <c r="E497" s="22"/>
    </row>
    <row r="498" spans="2:5" ht="13">
      <c r="B498" s="83"/>
      <c r="E498" s="22"/>
    </row>
    <row r="499" spans="2:5" ht="13">
      <c r="B499" s="83"/>
      <c r="E499" s="22"/>
    </row>
    <row r="500" spans="2:5" ht="13">
      <c r="B500" s="83"/>
      <c r="E500" s="22"/>
    </row>
    <row r="501" spans="2:5" ht="13">
      <c r="B501" s="83"/>
      <c r="E501" s="22"/>
    </row>
    <row r="502" spans="2:5" ht="13">
      <c r="B502" s="83"/>
      <c r="E502" s="22"/>
    </row>
    <row r="503" spans="2:5" ht="13">
      <c r="B503" s="83"/>
      <c r="E503" s="22"/>
    </row>
    <row r="504" spans="2:5" ht="13">
      <c r="B504" s="83"/>
      <c r="E504" s="22"/>
    </row>
    <row r="505" spans="2:5" ht="13">
      <c r="B505" s="83"/>
      <c r="E505" s="22"/>
    </row>
    <row r="506" spans="2:5" ht="13">
      <c r="B506" s="83"/>
      <c r="E506" s="22"/>
    </row>
    <row r="507" spans="2:5" ht="13">
      <c r="B507" s="83"/>
      <c r="E507" s="22"/>
    </row>
    <row r="508" spans="2:5" ht="13">
      <c r="B508" s="83"/>
      <c r="E508" s="22"/>
    </row>
    <row r="509" spans="2:5" ht="13">
      <c r="B509" s="83"/>
      <c r="E509" s="22"/>
    </row>
    <row r="510" spans="2:5" ht="13">
      <c r="B510" s="83"/>
      <c r="E510" s="22"/>
    </row>
    <row r="511" spans="2:5" ht="13">
      <c r="B511" s="83"/>
      <c r="E511" s="22"/>
    </row>
    <row r="512" spans="2:5" ht="13">
      <c r="B512" s="83"/>
      <c r="E512" s="22"/>
    </row>
    <row r="513" spans="2:5" ht="13">
      <c r="B513" s="83"/>
      <c r="E513" s="22"/>
    </row>
    <row r="514" spans="2:5" ht="13">
      <c r="B514" s="83"/>
      <c r="E514" s="22"/>
    </row>
    <row r="515" spans="2:5" ht="13">
      <c r="B515" s="83"/>
      <c r="E515" s="22"/>
    </row>
    <row r="516" spans="2:5" ht="13">
      <c r="B516" s="83"/>
      <c r="E516" s="22"/>
    </row>
    <row r="517" spans="2:5" ht="13">
      <c r="B517" s="83"/>
      <c r="E517" s="22"/>
    </row>
    <row r="518" spans="2:5" ht="13">
      <c r="B518" s="83"/>
      <c r="E518" s="22"/>
    </row>
    <row r="519" spans="2:5" ht="13">
      <c r="B519" s="83"/>
      <c r="E519" s="22"/>
    </row>
    <row r="520" spans="2:5" ht="13">
      <c r="B520" s="83"/>
      <c r="E520" s="22"/>
    </row>
    <row r="521" spans="2:5" ht="13">
      <c r="B521" s="83"/>
      <c r="E521" s="22"/>
    </row>
    <row r="522" spans="2:5" ht="13">
      <c r="B522" s="83"/>
      <c r="E522" s="22"/>
    </row>
    <row r="523" spans="2:5" ht="13">
      <c r="B523" s="83"/>
      <c r="E523" s="22"/>
    </row>
    <row r="524" spans="2:5" ht="13">
      <c r="B524" s="83"/>
      <c r="E524" s="22"/>
    </row>
    <row r="525" spans="2:5" ht="13">
      <c r="B525" s="83"/>
      <c r="E525" s="22"/>
    </row>
    <row r="526" spans="2:5" ht="13">
      <c r="B526" s="83"/>
      <c r="E526" s="22"/>
    </row>
    <row r="527" spans="2:5" ht="13">
      <c r="B527" s="83"/>
      <c r="E527" s="22"/>
    </row>
    <row r="528" spans="2:5" ht="13">
      <c r="B528" s="83"/>
      <c r="E528" s="22"/>
    </row>
    <row r="529" spans="2:5" ht="13">
      <c r="B529" s="83"/>
      <c r="E529" s="22"/>
    </row>
    <row r="530" spans="2:5" ht="13">
      <c r="B530" s="83"/>
      <c r="E530" s="22"/>
    </row>
    <row r="531" spans="2:5" ht="13">
      <c r="B531" s="83"/>
      <c r="E531" s="22"/>
    </row>
    <row r="532" spans="2:5" ht="13">
      <c r="B532" s="83"/>
      <c r="E532" s="22"/>
    </row>
    <row r="533" spans="2:5" ht="13">
      <c r="B533" s="83"/>
      <c r="E533" s="22"/>
    </row>
    <row r="534" spans="2:5" ht="13">
      <c r="B534" s="83"/>
      <c r="E534" s="22"/>
    </row>
    <row r="535" spans="2:5" ht="13">
      <c r="B535" s="83"/>
      <c r="E535" s="22"/>
    </row>
    <row r="536" spans="2:5" ht="13">
      <c r="B536" s="83"/>
      <c r="E536" s="22"/>
    </row>
    <row r="537" spans="2:5" ht="13">
      <c r="B537" s="83"/>
      <c r="E537" s="22"/>
    </row>
    <row r="538" spans="2:5" ht="13">
      <c r="B538" s="83"/>
      <c r="E538" s="22"/>
    </row>
    <row r="539" spans="2:5" ht="13">
      <c r="B539" s="83"/>
      <c r="E539" s="22"/>
    </row>
    <row r="540" spans="2:5" ht="13">
      <c r="B540" s="83"/>
      <c r="E540" s="22"/>
    </row>
    <row r="541" spans="2:5" ht="13">
      <c r="B541" s="83"/>
      <c r="E541" s="22"/>
    </row>
    <row r="542" spans="2:5" ht="13">
      <c r="B542" s="83"/>
      <c r="E542" s="22"/>
    </row>
    <row r="543" spans="2:5" ht="13">
      <c r="B543" s="83"/>
      <c r="E543" s="22"/>
    </row>
    <row r="544" spans="2:5" ht="13">
      <c r="B544" s="83"/>
      <c r="E544" s="22"/>
    </row>
    <row r="545" spans="2:5" ht="13">
      <c r="B545" s="83"/>
      <c r="E545" s="22"/>
    </row>
    <row r="546" spans="2:5" ht="13">
      <c r="B546" s="83"/>
      <c r="E546" s="22"/>
    </row>
    <row r="547" spans="2:5" ht="13">
      <c r="B547" s="83"/>
      <c r="E547" s="22"/>
    </row>
    <row r="548" spans="2:5" ht="13">
      <c r="B548" s="83"/>
      <c r="E548" s="22"/>
    </row>
    <row r="549" spans="2:5" ht="13">
      <c r="B549" s="83"/>
      <c r="E549" s="22"/>
    </row>
    <row r="550" spans="2:5" ht="13">
      <c r="B550" s="83"/>
      <c r="E550" s="22"/>
    </row>
    <row r="551" spans="2:5" ht="13">
      <c r="B551" s="83"/>
      <c r="E551" s="22"/>
    </row>
    <row r="552" spans="2:5" ht="13">
      <c r="B552" s="83"/>
      <c r="E552" s="22"/>
    </row>
    <row r="553" spans="2:5" ht="13">
      <c r="B553" s="83"/>
      <c r="E553" s="22"/>
    </row>
    <row r="554" spans="2:5" ht="13">
      <c r="B554" s="83"/>
      <c r="E554" s="22"/>
    </row>
    <row r="555" spans="2:5" ht="13">
      <c r="B555" s="83"/>
      <c r="E555" s="22"/>
    </row>
    <row r="556" spans="2:5" ht="13">
      <c r="B556" s="83"/>
      <c r="E556" s="22"/>
    </row>
    <row r="557" spans="2:5" ht="13">
      <c r="B557" s="83"/>
      <c r="E557" s="22"/>
    </row>
    <row r="558" spans="2:5" ht="13">
      <c r="B558" s="83"/>
      <c r="E558" s="22"/>
    </row>
    <row r="559" spans="2:5" ht="13">
      <c r="B559" s="83"/>
      <c r="E559" s="22"/>
    </row>
    <row r="560" spans="2:5" ht="13">
      <c r="B560" s="83"/>
      <c r="E560" s="22"/>
    </row>
    <row r="561" spans="2:5" ht="13">
      <c r="B561" s="83"/>
      <c r="E561" s="22"/>
    </row>
    <row r="562" spans="2:5" ht="13">
      <c r="B562" s="83"/>
      <c r="E562" s="22"/>
    </row>
    <row r="563" spans="2:5" ht="13">
      <c r="B563" s="83"/>
      <c r="E563" s="22"/>
    </row>
    <row r="564" spans="2:5" ht="13">
      <c r="B564" s="83"/>
      <c r="E564" s="22"/>
    </row>
    <row r="565" spans="2:5" ht="13">
      <c r="B565" s="83"/>
      <c r="E565" s="22"/>
    </row>
    <row r="566" spans="2:5" ht="13">
      <c r="B566" s="83"/>
      <c r="E566" s="22"/>
    </row>
    <row r="567" spans="2:5" ht="13">
      <c r="B567" s="83"/>
      <c r="E567" s="22"/>
    </row>
    <row r="568" spans="2:5" ht="13">
      <c r="B568" s="83"/>
      <c r="E568" s="22"/>
    </row>
    <row r="569" spans="2:5" ht="13">
      <c r="B569" s="83"/>
      <c r="E569" s="22"/>
    </row>
    <row r="570" spans="2:5" ht="13">
      <c r="B570" s="83"/>
      <c r="E570" s="22"/>
    </row>
    <row r="571" spans="2:5" ht="13">
      <c r="B571" s="83"/>
      <c r="E571" s="22"/>
    </row>
    <row r="572" spans="2:5" ht="13">
      <c r="B572" s="83"/>
      <c r="E572" s="22"/>
    </row>
    <row r="573" spans="2:5" ht="13">
      <c r="B573" s="83"/>
      <c r="E573" s="22"/>
    </row>
    <row r="574" spans="2:5" ht="13">
      <c r="B574" s="83"/>
      <c r="E574" s="22"/>
    </row>
    <row r="575" spans="2:5" ht="13">
      <c r="B575" s="83"/>
      <c r="E575" s="22"/>
    </row>
    <row r="576" spans="2:5" ht="13">
      <c r="B576" s="83"/>
      <c r="E576" s="22"/>
    </row>
    <row r="577" spans="2:5" ht="13">
      <c r="B577" s="83"/>
      <c r="E577" s="22"/>
    </row>
    <row r="578" spans="2:5" ht="13">
      <c r="B578" s="83"/>
      <c r="E578" s="22"/>
    </row>
    <row r="579" spans="2:5" ht="13">
      <c r="B579" s="83"/>
      <c r="E579" s="22"/>
    </row>
    <row r="580" spans="2:5" ht="13">
      <c r="B580" s="83"/>
      <c r="E580" s="22"/>
    </row>
    <row r="581" spans="2:5" ht="13">
      <c r="B581" s="83"/>
      <c r="E581" s="22"/>
    </row>
    <row r="582" spans="2:5" ht="13">
      <c r="B582" s="83"/>
      <c r="E582" s="22"/>
    </row>
    <row r="583" spans="2:5" ht="13">
      <c r="B583" s="83"/>
      <c r="E583" s="22"/>
    </row>
    <row r="584" spans="2:5" ht="13">
      <c r="B584" s="83"/>
      <c r="E584" s="22"/>
    </row>
    <row r="585" spans="2:5" ht="13">
      <c r="B585" s="83"/>
      <c r="E585" s="22"/>
    </row>
    <row r="586" spans="2:5" ht="13">
      <c r="B586" s="83"/>
      <c r="E586" s="22"/>
    </row>
    <row r="587" spans="2:5" ht="13">
      <c r="B587" s="83"/>
      <c r="E587" s="22"/>
    </row>
    <row r="588" spans="2:5" ht="13">
      <c r="B588" s="83"/>
      <c r="E588" s="22"/>
    </row>
    <row r="589" spans="2:5" ht="13">
      <c r="B589" s="83"/>
      <c r="E589" s="22"/>
    </row>
    <row r="590" spans="2:5" ht="13">
      <c r="B590" s="83"/>
      <c r="E590" s="22"/>
    </row>
    <row r="591" spans="2:5" ht="13">
      <c r="B591" s="83"/>
      <c r="E591" s="22"/>
    </row>
    <row r="592" spans="2:5" ht="13">
      <c r="B592" s="83"/>
      <c r="E592" s="22"/>
    </row>
    <row r="593" spans="2:5" ht="13">
      <c r="B593" s="83"/>
      <c r="E593" s="22"/>
    </row>
    <row r="594" spans="2:5" ht="13">
      <c r="B594" s="83"/>
      <c r="E594" s="22"/>
    </row>
    <row r="595" spans="2:5" ht="13">
      <c r="B595" s="83"/>
      <c r="E595" s="22"/>
    </row>
    <row r="596" spans="2:5" ht="13">
      <c r="B596" s="83"/>
      <c r="E596" s="22"/>
    </row>
    <row r="597" spans="2:5" ht="13">
      <c r="B597" s="83"/>
      <c r="E597" s="22"/>
    </row>
    <row r="598" spans="2:5" ht="13">
      <c r="B598" s="83"/>
      <c r="E598" s="22"/>
    </row>
    <row r="599" spans="2:5" ht="13">
      <c r="B599" s="83"/>
      <c r="E599" s="22"/>
    </row>
    <row r="600" spans="2:5" ht="13">
      <c r="B600" s="83"/>
      <c r="E600" s="22"/>
    </row>
    <row r="601" spans="2:5" ht="13">
      <c r="B601" s="83"/>
      <c r="E601" s="22"/>
    </row>
    <row r="602" spans="2:5" ht="13">
      <c r="B602" s="83"/>
      <c r="E602" s="22"/>
    </row>
    <row r="603" spans="2:5" ht="13">
      <c r="B603" s="83"/>
      <c r="E603" s="22"/>
    </row>
    <row r="604" spans="2:5" ht="13">
      <c r="B604" s="83"/>
      <c r="E604" s="22"/>
    </row>
    <row r="605" spans="2:5" ht="13">
      <c r="B605" s="83"/>
      <c r="E605" s="22"/>
    </row>
    <row r="606" spans="2:5" ht="13">
      <c r="B606" s="83"/>
      <c r="E606" s="22"/>
    </row>
    <row r="607" spans="2:5" ht="13">
      <c r="B607" s="83"/>
      <c r="E607" s="22"/>
    </row>
    <row r="608" spans="2:5" ht="13">
      <c r="B608" s="83"/>
      <c r="E608" s="22"/>
    </row>
    <row r="609" spans="2:5" ht="13">
      <c r="B609" s="83"/>
      <c r="E609" s="22"/>
    </row>
    <row r="610" spans="2:5" ht="13">
      <c r="B610" s="83"/>
      <c r="E610" s="22"/>
    </row>
    <row r="611" spans="2:5" ht="13">
      <c r="B611" s="83"/>
      <c r="E611" s="22"/>
    </row>
    <row r="612" spans="2:5" ht="13">
      <c r="B612" s="83"/>
      <c r="E612" s="22"/>
    </row>
    <row r="613" spans="2:5" ht="13">
      <c r="B613" s="83"/>
      <c r="E613" s="22"/>
    </row>
    <row r="614" spans="2:5" ht="13">
      <c r="B614" s="83"/>
      <c r="E614" s="22"/>
    </row>
    <row r="615" spans="2:5" ht="13">
      <c r="B615" s="83"/>
      <c r="E615" s="22"/>
    </row>
    <row r="616" spans="2:5" ht="13">
      <c r="B616" s="83"/>
      <c r="E616" s="22"/>
    </row>
    <row r="617" spans="2:5" ht="13">
      <c r="B617" s="83"/>
      <c r="E617" s="22"/>
    </row>
    <row r="618" spans="2:5" ht="13">
      <c r="B618" s="83"/>
      <c r="E618" s="22"/>
    </row>
    <row r="619" spans="2:5" ht="13">
      <c r="B619" s="83"/>
      <c r="E619" s="22"/>
    </row>
    <row r="620" spans="2:5" ht="13">
      <c r="B620" s="83"/>
      <c r="E620" s="22"/>
    </row>
    <row r="621" spans="2:5" ht="13">
      <c r="B621" s="83"/>
      <c r="E621" s="22"/>
    </row>
    <row r="622" spans="2:5" ht="13">
      <c r="B622" s="83"/>
      <c r="E622" s="22"/>
    </row>
    <row r="623" spans="2:5" ht="13">
      <c r="B623" s="83"/>
      <c r="E623" s="22"/>
    </row>
    <row r="624" spans="2:5" ht="13">
      <c r="B624" s="83"/>
      <c r="E624" s="22"/>
    </row>
    <row r="625" spans="2:5" ht="13">
      <c r="B625" s="83"/>
      <c r="E625" s="22"/>
    </row>
    <row r="626" spans="2:5" ht="13">
      <c r="B626" s="83"/>
      <c r="E626" s="22"/>
    </row>
    <row r="627" spans="2:5" ht="13">
      <c r="B627" s="83"/>
      <c r="E627" s="22"/>
    </row>
    <row r="628" spans="2:5" ht="13">
      <c r="B628" s="83"/>
      <c r="E628" s="22"/>
    </row>
    <row r="629" spans="2:5" ht="13">
      <c r="B629" s="83"/>
      <c r="E629" s="22"/>
    </row>
    <row r="630" spans="2:5" ht="13">
      <c r="B630" s="83"/>
      <c r="E630" s="22"/>
    </row>
    <row r="631" spans="2:5" ht="13">
      <c r="B631" s="83"/>
      <c r="E631" s="22"/>
    </row>
    <row r="632" spans="2:5" ht="13">
      <c r="B632" s="83"/>
      <c r="E632" s="22"/>
    </row>
    <row r="633" spans="2:5" ht="13">
      <c r="B633" s="83"/>
      <c r="E633" s="22"/>
    </row>
    <row r="634" spans="2:5" ht="13">
      <c r="B634" s="83"/>
      <c r="E634" s="22"/>
    </row>
    <row r="635" spans="2:5" ht="13">
      <c r="B635" s="83"/>
      <c r="E635" s="22"/>
    </row>
    <row r="636" spans="2:5" ht="13">
      <c r="B636" s="83"/>
      <c r="E636" s="22"/>
    </row>
    <row r="637" spans="2:5" ht="13">
      <c r="B637" s="83"/>
      <c r="E637" s="22"/>
    </row>
    <row r="638" spans="2:5" ht="13">
      <c r="B638" s="83"/>
      <c r="E638" s="22"/>
    </row>
    <row r="639" spans="2:5" ht="13">
      <c r="B639" s="83"/>
      <c r="E639" s="22"/>
    </row>
    <row r="640" spans="2:5" ht="13">
      <c r="B640" s="83"/>
      <c r="E640" s="22"/>
    </row>
    <row r="641" spans="2:5" ht="13">
      <c r="B641" s="83"/>
      <c r="E641" s="22"/>
    </row>
    <row r="642" spans="2:5" ht="13">
      <c r="B642" s="83"/>
      <c r="E642" s="22"/>
    </row>
    <row r="643" spans="2:5" ht="13">
      <c r="B643" s="83"/>
      <c r="E643" s="22"/>
    </row>
    <row r="644" spans="2:5" ht="13">
      <c r="B644" s="83"/>
      <c r="E644" s="22"/>
    </row>
    <row r="645" spans="2:5" ht="13">
      <c r="B645" s="83"/>
      <c r="E645" s="22"/>
    </row>
    <row r="646" spans="2:5" ht="13">
      <c r="B646" s="83"/>
      <c r="E646" s="22"/>
    </row>
    <row r="647" spans="2:5" ht="13">
      <c r="B647" s="83"/>
      <c r="E647" s="22"/>
    </row>
    <row r="648" spans="2:5" ht="13">
      <c r="B648" s="83"/>
      <c r="E648" s="22"/>
    </row>
    <row r="649" spans="2:5" ht="13">
      <c r="B649" s="83"/>
      <c r="E649" s="22"/>
    </row>
    <row r="650" spans="2:5" ht="13">
      <c r="B650" s="83"/>
      <c r="E650" s="22"/>
    </row>
    <row r="651" spans="2:5" ht="13">
      <c r="B651" s="83"/>
      <c r="E651" s="22"/>
    </row>
    <row r="652" spans="2:5" ht="13">
      <c r="B652" s="83"/>
      <c r="E652" s="22"/>
    </row>
    <row r="653" spans="2:5" ht="13">
      <c r="B653" s="83"/>
      <c r="E653" s="22"/>
    </row>
    <row r="654" spans="2:5" ht="13">
      <c r="B654" s="83"/>
      <c r="E654" s="22"/>
    </row>
    <row r="655" spans="2:5" ht="13">
      <c r="B655" s="83"/>
      <c r="E655" s="22"/>
    </row>
    <row r="656" spans="2:5" ht="13">
      <c r="B656" s="83"/>
      <c r="E656" s="22"/>
    </row>
    <row r="657" spans="2:5" ht="13">
      <c r="B657" s="83"/>
      <c r="E657" s="22"/>
    </row>
    <row r="658" spans="2:5" ht="13">
      <c r="B658" s="83"/>
      <c r="E658" s="22"/>
    </row>
    <row r="659" spans="2:5" ht="13">
      <c r="B659" s="83"/>
      <c r="E659" s="22"/>
    </row>
    <row r="660" spans="2:5" ht="13">
      <c r="B660" s="83"/>
      <c r="E660" s="22"/>
    </row>
    <row r="661" spans="2:5" ht="13">
      <c r="B661" s="83"/>
      <c r="E661" s="22"/>
    </row>
    <row r="662" spans="2:5" ht="13">
      <c r="B662" s="83"/>
      <c r="E662" s="22"/>
    </row>
    <row r="663" spans="2:5" ht="13">
      <c r="B663" s="83"/>
      <c r="E663" s="22"/>
    </row>
    <row r="664" spans="2:5" ht="13">
      <c r="B664" s="83"/>
      <c r="E664" s="22"/>
    </row>
    <row r="665" spans="2:5" ht="13">
      <c r="B665" s="83"/>
      <c r="E665" s="22"/>
    </row>
    <row r="666" spans="2:5" ht="13">
      <c r="B666" s="83"/>
      <c r="E666" s="22"/>
    </row>
    <row r="667" spans="2:5" ht="13">
      <c r="B667" s="83"/>
      <c r="E667" s="22"/>
    </row>
    <row r="668" spans="2:5" ht="13">
      <c r="B668" s="83"/>
      <c r="E668" s="22"/>
    </row>
    <row r="669" spans="2:5" ht="13">
      <c r="B669" s="83"/>
      <c r="E669" s="22"/>
    </row>
    <row r="670" spans="2:5" ht="13">
      <c r="B670" s="83"/>
      <c r="E670" s="22"/>
    </row>
    <row r="671" spans="2:5" ht="13">
      <c r="B671" s="83"/>
      <c r="E671" s="22"/>
    </row>
    <row r="672" spans="2:5" ht="13">
      <c r="B672" s="83"/>
      <c r="E672" s="22"/>
    </row>
    <row r="673" spans="2:5" ht="13">
      <c r="B673" s="83"/>
      <c r="E673" s="22"/>
    </row>
    <row r="674" spans="2:5" ht="13">
      <c r="B674" s="83"/>
      <c r="E674" s="22"/>
    </row>
    <row r="675" spans="2:5" ht="13">
      <c r="B675" s="83"/>
      <c r="E675" s="22"/>
    </row>
    <row r="676" spans="2:5" ht="13">
      <c r="B676" s="83"/>
      <c r="E676" s="22"/>
    </row>
    <row r="677" spans="2:5" ht="13">
      <c r="B677" s="83"/>
      <c r="E677" s="22"/>
    </row>
    <row r="678" spans="2:5" ht="13">
      <c r="B678" s="83"/>
      <c r="E678" s="22"/>
    </row>
    <row r="679" spans="2:5" ht="13">
      <c r="B679" s="83"/>
      <c r="E679" s="22"/>
    </row>
    <row r="680" spans="2:5" ht="13">
      <c r="B680" s="83"/>
      <c r="E680" s="22"/>
    </row>
    <row r="681" spans="2:5" ht="13">
      <c r="B681" s="83"/>
      <c r="E681" s="22"/>
    </row>
    <row r="682" spans="2:5" ht="13">
      <c r="B682" s="83"/>
      <c r="E682" s="22"/>
    </row>
    <row r="683" spans="2:5" ht="13">
      <c r="B683" s="83"/>
      <c r="E683" s="22"/>
    </row>
    <row r="684" spans="2:5" ht="13">
      <c r="B684" s="83"/>
      <c r="E684" s="22"/>
    </row>
    <row r="685" spans="2:5" ht="13">
      <c r="B685" s="83"/>
      <c r="E685" s="22"/>
    </row>
    <row r="686" spans="2:5" ht="13">
      <c r="B686" s="83"/>
      <c r="E686" s="22"/>
    </row>
    <row r="687" spans="2:5" ht="13">
      <c r="B687" s="83"/>
      <c r="E687" s="22"/>
    </row>
    <row r="688" spans="2:5" ht="13">
      <c r="B688" s="83"/>
      <c r="E688" s="22"/>
    </row>
    <row r="689" spans="2:5" ht="13">
      <c r="B689" s="83"/>
      <c r="E689" s="22"/>
    </row>
    <row r="690" spans="2:5" ht="13">
      <c r="B690" s="83"/>
      <c r="E690" s="22"/>
    </row>
    <row r="691" spans="2:5" ht="13">
      <c r="B691" s="83"/>
      <c r="E691" s="22"/>
    </row>
    <row r="692" spans="2:5" ht="13">
      <c r="B692" s="83"/>
      <c r="E692" s="22"/>
    </row>
    <row r="693" spans="2:5" ht="13">
      <c r="B693" s="83"/>
      <c r="E693" s="22"/>
    </row>
    <row r="694" spans="2:5" ht="13">
      <c r="B694" s="83"/>
      <c r="E694" s="22"/>
    </row>
    <row r="695" spans="2:5" ht="13">
      <c r="B695" s="83"/>
      <c r="E695" s="22"/>
    </row>
    <row r="696" spans="2:5" ht="13">
      <c r="B696" s="83"/>
      <c r="E696" s="22"/>
    </row>
    <row r="697" spans="2:5" ht="13">
      <c r="B697" s="83"/>
      <c r="E697" s="22"/>
    </row>
    <row r="698" spans="2:5" ht="13">
      <c r="B698" s="83"/>
      <c r="E698" s="22"/>
    </row>
    <row r="699" spans="2:5" ht="13">
      <c r="B699" s="83"/>
      <c r="E699" s="22"/>
    </row>
    <row r="700" spans="2:5" ht="13">
      <c r="B700" s="83"/>
      <c r="E700" s="22"/>
    </row>
    <row r="701" spans="2:5" ht="13">
      <c r="B701" s="83"/>
      <c r="E701" s="22"/>
    </row>
    <row r="702" spans="2:5" ht="13">
      <c r="B702" s="83"/>
      <c r="E702" s="22"/>
    </row>
    <row r="703" spans="2:5" ht="13">
      <c r="B703" s="83"/>
      <c r="E703" s="22"/>
    </row>
    <row r="704" spans="2:5" ht="13">
      <c r="B704" s="83"/>
      <c r="E704" s="22"/>
    </row>
    <row r="705" spans="2:5" ht="13">
      <c r="B705" s="83"/>
      <c r="E705" s="22"/>
    </row>
    <row r="706" spans="2:5" ht="13">
      <c r="B706" s="83"/>
      <c r="E706" s="22"/>
    </row>
    <row r="707" spans="2:5" ht="13">
      <c r="B707" s="83"/>
      <c r="E707" s="22"/>
    </row>
    <row r="708" spans="2:5" ht="13">
      <c r="B708" s="83"/>
      <c r="E708" s="22"/>
    </row>
    <row r="709" spans="2:5" ht="13">
      <c r="B709" s="83"/>
      <c r="E709" s="22"/>
    </row>
    <row r="710" spans="2:5" ht="13">
      <c r="B710" s="83"/>
      <c r="E710" s="22"/>
    </row>
    <row r="711" spans="2:5" ht="13">
      <c r="B711" s="83"/>
      <c r="E711" s="22"/>
    </row>
    <row r="712" spans="2:5" ht="13">
      <c r="B712" s="83"/>
      <c r="E712" s="22"/>
    </row>
    <row r="713" spans="2:5" ht="13">
      <c r="B713" s="83"/>
      <c r="E713" s="22"/>
    </row>
    <row r="714" spans="2:5" ht="13">
      <c r="B714" s="83"/>
      <c r="E714" s="22"/>
    </row>
    <row r="715" spans="2:5" ht="13">
      <c r="B715" s="83"/>
      <c r="E715" s="22"/>
    </row>
    <row r="716" spans="2:5" ht="13">
      <c r="B716" s="83"/>
      <c r="E716" s="22"/>
    </row>
    <row r="717" spans="2:5" ht="13">
      <c r="B717" s="83"/>
      <c r="E717" s="22"/>
    </row>
    <row r="718" spans="2:5" ht="13">
      <c r="B718" s="83"/>
      <c r="E718" s="22"/>
    </row>
    <row r="719" spans="2:5" ht="13">
      <c r="B719" s="83"/>
      <c r="E719" s="22"/>
    </row>
    <row r="720" spans="2:5" ht="13">
      <c r="B720" s="83"/>
      <c r="E720" s="22"/>
    </row>
    <row r="721" spans="2:5" ht="13">
      <c r="B721" s="83"/>
      <c r="E721" s="22"/>
    </row>
    <row r="722" spans="2:5" ht="13">
      <c r="B722" s="83"/>
      <c r="E722" s="22"/>
    </row>
    <row r="723" spans="2:5" ht="13">
      <c r="B723" s="83"/>
      <c r="E723" s="22"/>
    </row>
    <row r="724" spans="2:5" ht="13">
      <c r="B724" s="83"/>
      <c r="E724" s="22"/>
    </row>
    <row r="725" spans="2:5" ht="13">
      <c r="B725" s="83"/>
      <c r="E725" s="22"/>
    </row>
    <row r="726" spans="2:5" ht="13">
      <c r="B726" s="83"/>
      <c r="E726" s="22"/>
    </row>
    <row r="727" spans="2:5" ht="13">
      <c r="B727" s="83"/>
      <c r="E727" s="22"/>
    </row>
    <row r="728" spans="2:5" ht="13">
      <c r="B728" s="83"/>
      <c r="E728" s="22"/>
    </row>
    <row r="729" spans="2:5" ht="13">
      <c r="B729" s="83"/>
      <c r="E729" s="22"/>
    </row>
    <row r="730" spans="2:5" ht="13">
      <c r="B730" s="83"/>
      <c r="E730" s="22"/>
    </row>
    <row r="731" spans="2:5" ht="13">
      <c r="B731" s="83"/>
      <c r="E731" s="22"/>
    </row>
    <row r="732" spans="2:5" ht="13">
      <c r="B732" s="83"/>
      <c r="E732" s="22"/>
    </row>
    <row r="733" spans="2:5" ht="13">
      <c r="B733" s="83"/>
      <c r="E733" s="22"/>
    </row>
    <row r="734" spans="2:5" ht="13">
      <c r="B734" s="83"/>
      <c r="E734" s="22"/>
    </row>
    <row r="735" spans="2:5" ht="13">
      <c r="B735" s="83"/>
      <c r="E735" s="22"/>
    </row>
    <row r="736" spans="2:5" ht="13">
      <c r="B736" s="83"/>
      <c r="E736" s="22"/>
    </row>
    <row r="737" spans="2:5" ht="13">
      <c r="B737" s="83"/>
      <c r="E737" s="22"/>
    </row>
    <row r="738" spans="2:5" ht="13">
      <c r="B738" s="83"/>
      <c r="E738" s="22"/>
    </row>
    <row r="739" spans="2:5" ht="13">
      <c r="B739" s="83"/>
      <c r="E739" s="22"/>
    </row>
    <row r="740" spans="2:5" ht="13">
      <c r="B740" s="83"/>
      <c r="E740" s="22"/>
    </row>
    <row r="741" spans="2:5" ht="13">
      <c r="B741" s="83"/>
      <c r="E741" s="22"/>
    </row>
    <row r="742" spans="2:5" ht="13">
      <c r="B742" s="83"/>
      <c r="E742" s="22"/>
    </row>
    <row r="743" spans="2:5" ht="13">
      <c r="B743" s="83"/>
      <c r="E743" s="22"/>
    </row>
    <row r="744" spans="2:5" ht="13">
      <c r="B744" s="83"/>
      <c r="E744" s="22"/>
    </row>
    <row r="745" spans="2:5" ht="13">
      <c r="B745" s="83"/>
      <c r="E745" s="22"/>
    </row>
    <row r="746" spans="2:5" ht="13">
      <c r="B746" s="83"/>
      <c r="E746" s="22"/>
    </row>
    <row r="747" spans="2:5" ht="13">
      <c r="B747" s="83"/>
      <c r="E747" s="22"/>
    </row>
    <row r="748" spans="2:5" ht="13">
      <c r="B748" s="83"/>
      <c r="E748" s="22"/>
    </row>
    <row r="749" spans="2:5" ht="13">
      <c r="B749" s="83"/>
      <c r="E749" s="22"/>
    </row>
    <row r="750" spans="2:5" ht="13">
      <c r="B750" s="83"/>
      <c r="E750" s="22"/>
    </row>
    <row r="751" spans="2:5" ht="13">
      <c r="B751" s="83"/>
      <c r="E751" s="22"/>
    </row>
    <row r="752" spans="2:5" ht="13">
      <c r="B752" s="83"/>
      <c r="E752" s="22"/>
    </row>
    <row r="753" spans="2:5" ht="13">
      <c r="B753" s="83"/>
      <c r="E753" s="22"/>
    </row>
    <row r="754" spans="2:5" ht="13">
      <c r="B754" s="83"/>
      <c r="E754" s="22"/>
    </row>
    <row r="755" spans="2:5" ht="13">
      <c r="B755" s="83"/>
      <c r="E755" s="22"/>
    </row>
    <row r="756" spans="2:5" ht="13">
      <c r="B756" s="83"/>
      <c r="E756" s="22"/>
    </row>
    <row r="757" spans="2:5" ht="13">
      <c r="B757" s="83"/>
      <c r="E757" s="22"/>
    </row>
    <row r="758" spans="2:5" ht="13">
      <c r="B758" s="83"/>
      <c r="E758" s="22"/>
    </row>
    <row r="759" spans="2:5" ht="13">
      <c r="B759" s="83"/>
      <c r="E759" s="22"/>
    </row>
    <row r="760" spans="2:5" ht="13">
      <c r="B760" s="83"/>
      <c r="E760" s="22"/>
    </row>
    <row r="761" spans="2:5" ht="13">
      <c r="B761" s="83"/>
      <c r="E761" s="22"/>
    </row>
    <row r="762" spans="2:5" ht="13">
      <c r="B762" s="83"/>
      <c r="E762" s="22"/>
    </row>
    <row r="763" spans="2:5" ht="13">
      <c r="B763" s="83"/>
      <c r="E763" s="22"/>
    </row>
    <row r="764" spans="2:5" ht="13">
      <c r="B764" s="83"/>
      <c r="E764" s="22"/>
    </row>
    <row r="765" spans="2:5" ht="13">
      <c r="B765" s="83"/>
      <c r="E765" s="22"/>
    </row>
    <row r="766" spans="2:5" ht="13">
      <c r="B766" s="83"/>
      <c r="E766" s="22"/>
    </row>
    <row r="767" spans="2:5" ht="13">
      <c r="B767" s="83"/>
      <c r="E767" s="22"/>
    </row>
    <row r="768" spans="2:5" ht="13">
      <c r="B768" s="83"/>
      <c r="E768" s="22"/>
    </row>
    <row r="769" spans="2:5" ht="13">
      <c r="B769" s="83"/>
      <c r="E769" s="22"/>
    </row>
    <row r="770" spans="2:5" ht="13">
      <c r="B770" s="83"/>
      <c r="E770" s="22"/>
    </row>
    <row r="771" spans="2:5" ht="13">
      <c r="B771" s="83"/>
      <c r="E771" s="22"/>
    </row>
    <row r="772" spans="2:5" ht="13">
      <c r="B772" s="83"/>
      <c r="E772" s="22"/>
    </row>
    <row r="773" spans="2:5" ht="13">
      <c r="B773" s="83"/>
      <c r="E773" s="22"/>
    </row>
    <row r="774" spans="2:5" ht="13">
      <c r="B774" s="83"/>
      <c r="E774" s="22"/>
    </row>
    <row r="775" spans="2:5" ht="13">
      <c r="B775" s="83"/>
      <c r="E775" s="22"/>
    </row>
    <row r="776" spans="2:5" ht="13">
      <c r="B776" s="83"/>
      <c r="E776" s="22"/>
    </row>
    <row r="777" spans="2:5" ht="13">
      <c r="B777" s="83"/>
      <c r="E777" s="22"/>
    </row>
    <row r="778" spans="2:5" ht="13">
      <c r="B778" s="83"/>
      <c r="E778" s="22"/>
    </row>
    <row r="779" spans="2:5" ht="13">
      <c r="B779" s="83"/>
      <c r="E779" s="22"/>
    </row>
    <row r="780" spans="2:5" ht="13">
      <c r="B780" s="83"/>
      <c r="E780" s="22"/>
    </row>
    <row r="781" spans="2:5" ht="13">
      <c r="B781" s="83"/>
      <c r="E781" s="22"/>
    </row>
    <row r="782" spans="2:5" ht="13">
      <c r="B782" s="83"/>
      <c r="E782" s="22"/>
    </row>
    <row r="783" spans="2:5" ht="13">
      <c r="B783" s="83"/>
      <c r="E783" s="22"/>
    </row>
    <row r="784" spans="2:5" ht="13">
      <c r="B784" s="83"/>
      <c r="E784" s="22"/>
    </row>
    <row r="785" spans="2:5" ht="13">
      <c r="B785" s="83"/>
      <c r="E785" s="22"/>
    </row>
    <row r="786" spans="2:5" ht="13">
      <c r="B786" s="83"/>
      <c r="E786" s="22"/>
    </row>
    <row r="787" spans="2:5" ht="13">
      <c r="B787" s="83"/>
      <c r="E787" s="22"/>
    </row>
    <row r="788" spans="2:5" ht="13">
      <c r="B788" s="83"/>
      <c r="E788" s="22"/>
    </row>
    <row r="789" spans="2:5" ht="13">
      <c r="B789" s="83"/>
      <c r="E789" s="22"/>
    </row>
    <row r="790" spans="2:5" ht="13">
      <c r="B790" s="83"/>
      <c r="E790" s="22"/>
    </row>
    <row r="791" spans="2:5" ht="13">
      <c r="B791" s="83"/>
      <c r="E791" s="22"/>
    </row>
    <row r="792" spans="2:5" ht="13">
      <c r="B792" s="83"/>
      <c r="E792" s="22"/>
    </row>
    <row r="793" spans="2:5" ht="13">
      <c r="B793" s="83"/>
      <c r="E793" s="22"/>
    </row>
    <row r="794" spans="2:5" ht="13">
      <c r="B794" s="83"/>
      <c r="E794" s="22"/>
    </row>
    <row r="795" spans="2:5" ht="13">
      <c r="B795" s="83"/>
      <c r="E795" s="22"/>
    </row>
    <row r="796" spans="2:5" ht="13">
      <c r="B796" s="83"/>
      <c r="E796" s="22"/>
    </row>
    <row r="797" spans="2:5" ht="13">
      <c r="B797" s="83"/>
      <c r="E797" s="22"/>
    </row>
    <row r="798" spans="2:5" ht="13">
      <c r="B798" s="83"/>
      <c r="E798" s="22"/>
    </row>
    <row r="799" spans="2:5" ht="13">
      <c r="B799" s="83"/>
      <c r="E799" s="22"/>
    </row>
    <row r="800" spans="2:5" ht="13">
      <c r="B800" s="83"/>
      <c r="E800" s="22"/>
    </row>
    <row r="801" spans="2:5" ht="13">
      <c r="B801" s="83"/>
      <c r="E801" s="22"/>
    </row>
    <row r="802" spans="2:5" ht="13">
      <c r="B802" s="83"/>
      <c r="E802" s="22"/>
    </row>
    <row r="803" spans="2:5" ht="13">
      <c r="B803" s="83"/>
      <c r="E803" s="22"/>
    </row>
    <row r="804" spans="2:5" ht="13">
      <c r="B804" s="83"/>
      <c r="E804" s="22"/>
    </row>
    <row r="805" spans="2:5" ht="13">
      <c r="B805" s="83"/>
      <c r="E805" s="22"/>
    </row>
    <row r="806" spans="2:5" ht="13">
      <c r="B806" s="83"/>
      <c r="E806" s="22"/>
    </row>
    <row r="807" spans="2:5" ht="13">
      <c r="B807" s="83"/>
      <c r="E807" s="22"/>
    </row>
    <row r="808" spans="2:5" ht="13">
      <c r="B808" s="83"/>
      <c r="E808" s="22"/>
    </row>
    <row r="809" spans="2:5" ht="13">
      <c r="B809" s="83"/>
      <c r="E809" s="22"/>
    </row>
    <row r="810" spans="2:5" ht="13">
      <c r="B810" s="83"/>
      <c r="E810" s="22"/>
    </row>
    <row r="811" spans="2:5" ht="13">
      <c r="B811" s="83"/>
      <c r="E811" s="22"/>
    </row>
    <row r="812" spans="2:5" ht="13">
      <c r="B812" s="83"/>
      <c r="E812" s="22"/>
    </row>
    <row r="813" spans="2:5" ht="13">
      <c r="B813" s="83"/>
      <c r="E813" s="22"/>
    </row>
    <row r="814" spans="2:5" ht="13">
      <c r="B814" s="83"/>
      <c r="E814" s="22"/>
    </row>
    <row r="815" spans="2:5" ht="13">
      <c r="B815" s="83"/>
      <c r="E815" s="22"/>
    </row>
    <row r="816" spans="2:5" ht="13">
      <c r="B816" s="83"/>
      <c r="E816" s="22"/>
    </row>
    <row r="817" spans="2:5" ht="13">
      <c r="B817" s="83"/>
      <c r="E817" s="22"/>
    </row>
    <row r="818" spans="2:5" ht="13">
      <c r="B818" s="83"/>
      <c r="E818" s="22"/>
    </row>
    <row r="819" spans="2:5" ht="13">
      <c r="B819" s="83"/>
      <c r="E819" s="22"/>
    </row>
    <row r="820" spans="2:5" ht="13">
      <c r="B820" s="83"/>
      <c r="E820" s="22"/>
    </row>
    <row r="821" spans="2:5" ht="13">
      <c r="B821" s="83"/>
      <c r="E821" s="22"/>
    </row>
    <row r="822" spans="2:5" ht="13">
      <c r="B822" s="83"/>
      <c r="E822" s="22"/>
    </row>
    <row r="823" spans="2:5" ht="13">
      <c r="B823" s="83"/>
      <c r="E823" s="22"/>
    </row>
    <row r="824" spans="2:5" ht="13">
      <c r="B824" s="83"/>
      <c r="E824" s="22"/>
    </row>
    <row r="825" spans="2:5" ht="13">
      <c r="B825" s="83"/>
      <c r="E825" s="22"/>
    </row>
    <row r="826" spans="2:5" ht="13">
      <c r="B826" s="83"/>
      <c r="E826" s="22"/>
    </row>
    <row r="827" spans="2:5" ht="13">
      <c r="B827" s="83"/>
      <c r="E827" s="22"/>
    </row>
    <row r="828" spans="2:5" ht="13">
      <c r="B828" s="83"/>
      <c r="E828" s="22"/>
    </row>
    <row r="829" spans="2:5" ht="13">
      <c r="B829" s="83"/>
      <c r="E829" s="22"/>
    </row>
    <row r="830" spans="2:5" ht="13">
      <c r="B830" s="83"/>
      <c r="E830" s="22"/>
    </row>
    <row r="831" spans="2:5" ht="13">
      <c r="B831" s="83"/>
      <c r="E831" s="22"/>
    </row>
    <row r="832" spans="2:5" ht="13">
      <c r="B832" s="83"/>
      <c r="E832" s="22"/>
    </row>
    <row r="833" spans="2:5" ht="13">
      <c r="B833" s="83"/>
      <c r="E833" s="22"/>
    </row>
    <row r="834" spans="2:5" ht="13">
      <c r="B834" s="83"/>
      <c r="E834" s="22"/>
    </row>
    <row r="835" spans="2:5" ht="13">
      <c r="B835" s="83"/>
      <c r="E835" s="22"/>
    </row>
    <row r="836" spans="2:5" ht="13">
      <c r="B836" s="83"/>
      <c r="E836" s="22"/>
    </row>
    <row r="837" spans="2:5" ht="13">
      <c r="B837" s="83"/>
      <c r="E837" s="22"/>
    </row>
    <row r="838" spans="2:5" ht="13">
      <c r="B838" s="83"/>
      <c r="E838" s="22"/>
    </row>
    <row r="839" spans="2:5" ht="13">
      <c r="B839" s="83"/>
      <c r="E839" s="22"/>
    </row>
    <row r="840" spans="2:5" ht="13">
      <c r="B840" s="83"/>
      <c r="E840" s="22"/>
    </row>
    <row r="841" spans="2:5" ht="13">
      <c r="B841" s="83"/>
      <c r="E841" s="22"/>
    </row>
    <row r="842" spans="2:5" ht="13">
      <c r="B842" s="83"/>
      <c r="E842" s="22"/>
    </row>
    <row r="843" spans="2:5" ht="13">
      <c r="B843" s="83"/>
      <c r="E843" s="22"/>
    </row>
    <row r="844" spans="2:5" ht="13">
      <c r="B844" s="83"/>
      <c r="E844" s="22"/>
    </row>
    <row r="845" spans="2:5" ht="13">
      <c r="B845" s="83"/>
      <c r="E845" s="22"/>
    </row>
    <row r="846" spans="2:5" ht="13">
      <c r="B846" s="83"/>
      <c r="E846" s="22"/>
    </row>
    <row r="847" spans="2:5" ht="13">
      <c r="B847" s="83"/>
      <c r="E847" s="22"/>
    </row>
    <row r="848" spans="2:5" ht="13">
      <c r="B848" s="83"/>
      <c r="E848" s="22"/>
    </row>
    <row r="849" spans="2:5" ht="13">
      <c r="B849" s="83"/>
      <c r="E849" s="22"/>
    </row>
    <row r="850" spans="2:5" ht="13">
      <c r="B850" s="83"/>
      <c r="E850" s="22"/>
    </row>
    <row r="851" spans="2:5" ht="13">
      <c r="B851" s="83"/>
      <c r="E851" s="22"/>
    </row>
    <row r="852" spans="2:5" ht="13">
      <c r="B852" s="83"/>
      <c r="E852" s="22"/>
    </row>
    <row r="853" spans="2:5" ht="13">
      <c r="B853" s="83"/>
      <c r="E853" s="22"/>
    </row>
    <row r="854" spans="2:5" ht="13">
      <c r="B854" s="83"/>
      <c r="E854" s="22"/>
    </row>
    <row r="855" spans="2:5" ht="13">
      <c r="B855" s="83"/>
      <c r="E855" s="22"/>
    </row>
    <row r="856" spans="2:5" ht="13">
      <c r="B856" s="83"/>
      <c r="E856" s="22"/>
    </row>
    <row r="857" spans="2:5" ht="13">
      <c r="B857" s="83"/>
      <c r="E857" s="22"/>
    </row>
    <row r="858" spans="2:5" ht="13">
      <c r="B858" s="83"/>
      <c r="E858" s="22"/>
    </row>
    <row r="859" spans="2:5" ht="13">
      <c r="B859" s="83"/>
      <c r="E859" s="22"/>
    </row>
    <row r="860" spans="2:5" ht="13">
      <c r="B860" s="83"/>
      <c r="E860" s="22"/>
    </row>
    <row r="861" spans="2:5" ht="13">
      <c r="B861" s="83"/>
      <c r="E861" s="22"/>
    </row>
    <row r="862" spans="2:5" ht="13">
      <c r="B862" s="83"/>
      <c r="E862" s="22"/>
    </row>
    <row r="863" spans="2:5" ht="13">
      <c r="B863" s="83"/>
      <c r="E863" s="22"/>
    </row>
    <row r="864" spans="2:5" ht="13">
      <c r="B864" s="83"/>
      <c r="E864" s="22"/>
    </row>
    <row r="865" spans="2:5" ht="13">
      <c r="B865" s="83"/>
      <c r="E865" s="22"/>
    </row>
    <row r="866" spans="2:5" ht="13">
      <c r="B866" s="83"/>
      <c r="E866" s="22"/>
    </row>
    <row r="867" spans="2:5" ht="13">
      <c r="B867" s="83"/>
      <c r="E867" s="22"/>
    </row>
    <row r="868" spans="2:5" ht="13">
      <c r="B868" s="83"/>
      <c r="E868" s="22"/>
    </row>
    <row r="869" spans="2:5" ht="13">
      <c r="B869" s="83"/>
      <c r="E869" s="22"/>
    </row>
    <row r="870" spans="2:5" ht="13">
      <c r="B870" s="83"/>
      <c r="E870" s="22"/>
    </row>
    <row r="871" spans="2:5" ht="13">
      <c r="B871" s="83"/>
      <c r="E871" s="22"/>
    </row>
    <row r="872" spans="2:5" ht="13">
      <c r="B872" s="83"/>
      <c r="E872" s="22"/>
    </row>
    <row r="873" spans="2:5" ht="13">
      <c r="B873" s="83"/>
      <c r="E873" s="22"/>
    </row>
    <row r="874" spans="2:5" ht="13">
      <c r="B874" s="83"/>
      <c r="E874" s="22"/>
    </row>
    <row r="875" spans="2:5" ht="13">
      <c r="B875" s="83"/>
      <c r="E875" s="22"/>
    </row>
    <row r="876" spans="2:5" ht="13">
      <c r="B876" s="83"/>
      <c r="E876" s="22"/>
    </row>
    <row r="877" spans="2:5" ht="13">
      <c r="B877" s="83"/>
      <c r="E877" s="22"/>
    </row>
    <row r="878" spans="2:5" ht="13">
      <c r="B878" s="83"/>
      <c r="E878" s="22"/>
    </row>
    <row r="879" spans="2:5" ht="13">
      <c r="B879" s="83"/>
      <c r="E879" s="22"/>
    </row>
    <row r="880" spans="2:5" ht="13">
      <c r="B880" s="83"/>
      <c r="E880" s="22"/>
    </row>
    <row r="881" spans="2:5" ht="13">
      <c r="B881" s="83"/>
      <c r="E881" s="22"/>
    </row>
    <row r="882" spans="2:5" ht="13">
      <c r="B882" s="83"/>
      <c r="E882" s="22"/>
    </row>
    <row r="883" spans="2:5" ht="13">
      <c r="B883" s="83"/>
      <c r="E883" s="22"/>
    </row>
    <row r="884" spans="2:5" ht="13">
      <c r="B884" s="83"/>
      <c r="E884" s="22"/>
    </row>
    <row r="885" spans="2:5" ht="13">
      <c r="B885" s="83"/>
      <c r="E885" s="22"/>
    </row>
    <row r="886" spans="2:5" ht="13">
      <c r="B886" s="83"/>
      <c r="E886" s="22"/>
    </row>
    <row r="887" spans="2:5" ht="13">
      <c r="B887" s="83"/>
      <c r="E887" s="22"/>
    </row>
    <row r="888" spans="2:5" ht="13">
      <c r="B888" s="83"/>
      <c r="E888" s="22"/>
    </row>
    <row r="889" spans="2:5" ht="13">
      <c r="B889" s="83"/>
      <c r="E889" s="22"/>
    </row>
    <row r="890" spans="2:5" ht="13">
      <c r="B890" s="83"/>
      <c r="E890" s="22"/>
    </row>
    <row r="891" spans="2:5" ht="13">
      <c r="B891" s="83"/>
      <c r="E891" s="22"/>
    </row>
    <row r="892" spans="2:5" ht="13">
      <c r="B892" s="83"/>
      <c r="E892" s="22"/>
    </row>
    <row r="893" spans="2:5" ht="13">
      <c r="B893" s="83"/>
      <c r="E893" s="22"/>
    </row>
    <row r="894" spans="2:5" ht="13">
      <c r="B894" s="83"/>
      <c r="E894" s="22"/>
    </row>
    <row r="895" spans="2:5" ht="13">
      <c r="B895" s="83"/>
      <c r="E895" s="22"/>
    </row>
    <row r="896" spans="2:5" ht="13">
      <c r="B896" s="83"/>
      <c r="E896" s="22"/>
    </row>
    <row r="897" spans="2:5" ht="13">
      <c r="B897" s="83"/>
      <c r="E897" s="22"/>
    </row>
    <row r="898" spans="2:5" ht="13">
      <c r="B898" s="83"/>
      <c r="E898" s="22"/>
    </row>
    <row r="899" spans="2:5" ht="13">
      <c r="B899" s="83"/>
      <c r="E899" s="22"/>
    </row>
    <row r="900" spans="2:5" ht="13">
      <c r="B900" s="83"/>
      <c r="E900" s="22"/>
    </row>
    <row r="901" spans="2:5" ht="13">
      <c r="B901" s="83"/>
      <c r="E901" s="22"/>
    </row>
    <row r="902" spans="2:5" ht="13">
      <c r="B902" s="83"/>
      <c r="E902" s="22"/>
    </row>
    <row r="903" spans="2:5" ht="13">
      <c r="B903" s="83"/>
      <c r="E903" s="22"/>
    </row>
    <row r="904" spans="2:5" ht="13">
      <c r="B904" s="83"/>
      <c r="E904" s="22"/>
    </row>
    <row r="905" spans="2:5" ht="13">
      <c r="B905" s="83"/>
      <c r="E905" s="22"/>
    </row>
    <row r="906" spans="2:5" ht="13">
      <c r="B906" s="83"/>
      <c r="E906" s="22"/>
    </row>
    <row r="907" spans="2:5" ht="13">
      <c r="B907" s="83"/>
      <c r="E907" s="22"/>
    </row>
    <row r="908" spans="2:5" ht="13">
      <c r="B908" s="83"/>
      <c r="E908" s="22"/>
    </row>
    <row r="909" spans="2:5" ht="13">
      <c r="B909" s="83"/>
      <c r="E909" s="22"/>
    </row>
    <row r="910" spans="2:5" ht="13">
      <c r="B910" s="83"/>
      <c r="E910" s="22"/>
    </row>
    <row r="911" spans="2:5" ht="13">
      <c r="B911" s="83"/>
      <c r="E911" s="22"/>
    </row>
    <row r="912" spans="2:5" ht="13">
      <c r="B912" s="83"/>
      <c r="E912" s="22"/>
    </row>
    <row r="913" spans="2:5" ht="13">
      <c r="B913" s="83"/>
      <c r="E913" s="22"/>
    </row>
    <row r="914" spans="2:5" ht="13">
      <c r="B914" s="83"/>
      <c r="E914" s="22"/>
    </row>
    <row r="915" spans="2:5" ht="13">
      <c r="B915" s="83"/>
      <c r="E915" s="22"/>
    </row>
    <row r="916" spans="2:5" ht="13">
      <c r="B916" s="83"/>
      <c r="E916" s="22"/>
    </row>
    <row r="917" spans="2:5" ht="13">
      <c r="B917" s="83"/>
      <c r="E917" s="22"/>
    </row>
    <row r="918" spans="2:5" ht="13">
      <c r="B918" s="83"/>
      <c r="E918" s="22"/>
    </row>
    <row r="919" spans="2:5" ht="13">
      <c r="B919" s="83"/>
      <c r="E919" s="22"/>
    </row>
    <row r="920" spans="2:5" ht="13">
      <c r="B920" s="83"/>
      <c r="E920" s="22"/>
    </row>
    <row r="921" spans="2:5" ht="13">
      <c r="B921" s="83"/>
      <c r="E921" s="22"/>
    </row>
    <row r="922" spans="2:5" ht="13">
      <c r="B922" s="83"/>
      <c r="E922" s="22"/>
    </row>
    <row r="923" spans="2:5" ht="13">
      <c r="B923" s="83"/>
      <c r="E923" s="22"/>
    </row>
    <row r="924" spans="2:5" ht="13">
      <c r="B924" s="83"/>
      <c r="E924" s="22"/>
    </row>
    <row r="925" spans="2:5" ht="13">
      <c r="B925" s="83"/>
      <c r="E925" s="22"/>
    </row>
    <row r="926" spans="2:5" ht="13">
      <c r="B926" s="83"/>
      <c r="E926" s="22"/>
    </row>
    <row r="927" spans="2:5" ht="13">
      <c r="B927" s="83"/>
      <c r="E927" s="22"/>
    </row>
    <row r="928" spans="2:5" ht="13">
      <c r="B928" s="83"/>
      <c r="E928" s="22"/>
    </row>
    <row r="929" spans="2:5" ht="13">
      <c r="B929" s="83"/>
      <c r="E929" s="22"/>
    </row>
    <row r="930" spans="2:5" ht="13">
      <c r="B930" s="83"/>
      <c r="E930" s="22"/>
    </row>
    <row r="931" spans="2:5" ht="13">
      <c r="B931" s="83"/>
      <c r="E931" s="22"/>
    </row>
    <row r="932" spans="2:5" ht="13">
      <c r="B932" s="83"/>
      <c r="E932" s="22"/>
    </row>
    <row r="933" spans="2:5" ht="13">
      <c r="B933" s="83"/>
      <c r="E933" s="22"/>
    </row>
    <row r="934" spans="2:5" ht="13">
      <c r="B934" s="83"/>
      <c r="E934" s="22"/>
    </row>
    <row r="935" spans="2:5" ht="13">
      <c r="B935" s="83"/>
      <c r="E935" s="22"/>
    </row>
    <row r="936" spans="2:5" ht="13">
      <c r="B936" s="83"/>
      <c r="E936" s="22"/>
    </row>
    <row r="937" spans="2:5" ht="13">
      <c r="B937" s="83"/>
      <c r="E937" s="22"/>
    </row>
    <row r="938" spans="2:5" ht="13">
      <c r="B938" s="83"/>
      <c r="E938" s="22"/>
    </row>
    <row r="939" spans="2:5" ht="13">
      <c r="B939" s="83"/>
      <c r="E939" s="22"/>
    </row>
    <row r="940" spans="2:5" ht="13">
      <c r="B940" s="83"/>
      <c r="E940" s="22"/>
    </row>
    <row r="941" spans="2:5" ht="13">
      <c r="B941" s="83"/>
      <c r="E941" s="22"/>
    </row>
    <row r="942" spans="2:5" ht="13">
      <c r="B942" s="83"/>
      <c r="E942" s="22"/>
    </row>
    <row r="943" spans="2:5" ht="13">
      <c r="B943" s="83"/>
      <c r="E943" s="22"/>
    </row>
    <row r="944" spans="2:5" ht="13">
      <c r="B944" s="83"/>
      <c r="E944" s="22"/>
    </row>
    <row r="945" spans="2:5" ht="13">
      <c r="B945" s="83"/>
      <c r="E945" s="22"/>
    </row>
    <row r="946" spans="2:5" ht="13">
      <c r="B946" s="83"/>
      <c r="E946" s="22"/>
    </row>
    <row r="947" spans="2:5" ht="13">
      <c r="B947" s="83"/>
      <c r="E947" s="22"/>
    </row>
    <row r="948" spans="2:5" ht="13">
      <c r="B948" s="83"/>
      <c r="E948" s="22"/>
    </row>
    <row r="949" spans="2:5" ht="13">
      <c r="B949" s="83"/>
      <c r="E949" s="22"/>
    </row>
    <row r="950" spans="2:5" ht="13">
      <c r="B950" s="83"/>
      <c r="E950" s="22"/>
    </row>
    <row r="951" spans="2:5" ht="13">
      <c r="B951" s="83"/>
      <c r="E951" s="22"/>
    </row>
    <row r="952" spans="2:5" ht="13">
      <c r="B952" s="83"/>
      <c r="E952" s="22"/>
    </row>
    <row r="953" spans="2:5" ht="13">
      <c r="B953" s="83"/>
      <c r="E953" s="22"/>
    </row>
    <row r="954" spans="2:5" ht="13">
      <c r="B954" s="83"/>
      <c r="E954" s="22"/>
    </row>
    <row r="955" spans="2:5" ht="13">
      <c r="B955" s="83"/>
      <c r="E955" s="22"/>
    </row>
    <row r="956" spans="2:5" ht="13">
      <c r="B956" s="83"/>
      <c r="E956" s="22"/>
    </row>
    <row r="957" spans="2:5" ht="13">
      <c r="B957" s="83"/>
      <c r="E957" s="22"/>
    </row>
    <row r="958" spans="2:5" ht="13">
      <c r="B958" s="83"/>
      <c r="E958" s="22"/>
    </row>
    <row r="959" spans="2:5" ht="13">
      <c r="B959" s="83"/>
      <c r="E959" s="22"/>
    </row>
    <row r="960" spans="2:5" ht="13">
      <c r="B960" s="83"/>
      <c r="E960" s="22"/>
    </row>
    <row r="961" spans="2:5" ht="13">
      <c r="B961" s="83"/>
      <c r="E961" s="22"/>
    </row>
    <row r="962" spans="2:5" ht="13">
      <c r="B962" s="83"/>
      <c r="E962" s="22"/>
    </row>
    <row r="963" spans="2:5" ht="13">
      <c r="B963" s="83"/>
      <c r="E963" s="22"/>
    </row>
    <row r="964" spans="2:5" ht="13">
      <c r="B964" s="83"/>
      <c r="E964" s="22"/>
    </row>
    <row r="965" spans="2:5" ht="13">
      <c r="B965" s="83"/>
      <c r="E965" s="22"/>
    </row>
    <row r="966" spans="2:5" ht="13">
      <c r="B966" s="83"/>
      <c r="E966" s="22"/>
    </row>
    <row r="967" spans="2:5" ht="13">
      <c r="B967" s="83"/>
      <c r="E967" s="22"/>
    </row>
    <row r="968" spans="2:5" ht="13">
      <c r="B968" s="83"/>
      <c r="E968" s="22"/>
    </row>
    <row r="969" spans="2:5" ht="13">
      <c r="B969" s="83"/>
      <c r="E969" s="22"/>
    </row>
    <row r="970" spans="2:5" ht="13">
      <c r="B970" s="83"/>
      <c r="E970" s="22"/>
    </row>
    <row r="971" spans="2:5" ht="13">
      <c r="B971" s="83"/>
      <c r="E971" s="22"/>
    </row>
    <row r="972" spans="2:5" ht="13">
      <c r="B972" s="83"/>
      <c r="E972" s="22"/>
    </row>
    <row r="973" spans="2:5" ht="13">
      <c r="B973" s="83"/>
      <c r="E973" s="22"/>
    </row>
    <row r="974" spans="2:5" ht="13">
      <c r="B974" s="83"/>
      <c r="E974" s="22"/>
    </row>
    <row r="975" spans="2:5" ht="13">
      <c r="B975" s="83"/>
      <c r="E975" s="22"/>
    </row>
    <row r="976" spans="2:5" ht="13">
      <c r="B976" s="83"/>
      <c r="E976" s="22"/>
    </row>
    <row r="977" spans="2:5" ht="13">
      <c r="B977" s="83"/>
      <c r="E977" s="22"/>
    </row>
    <row r="978" spans="2:5" ht="13">
      <c r="B978" s="83"/>
      <c r="E978" s="22"/>
    </row>
    <row r="979" spans="2:5" ht="13">
      <c r="B979" s="83"/>
      <c r="E979" s="22"/>
    </row>
    <row r="980" spans="2:5" ht="13">
      <c r="B980" s="83"/>
      <c r="E980" s="22"/>
    </row>
    <row r="981" spans="2:5" ht="13">
      <c r="B981" s="83"/>
      <c r="E981" s="22"/>
    </row>
    <row r="982" spans="2:5" ht="13">
      <c r="B982" s="83"/>
      <c r="E982" s="22"/>
    </row>
    <row r="983" spans="2:5" ht="13">
      <c r="B983" s="83"/>
      <c r="E983" s="22"/>
    </row>
    <row r="984" spans="2:5" ht="13">
      <c r="B984" s="83"/>
      <c r="E984" s="22"/>
    </row>
    <row r="985" spans="2:5" ht="13">
      <c r="B985" s="83"/>
      <c r="E985" s="22"/>
    </row>
    <row r="986" spans="2:5" ht="13">
      <c r="B986" s="83"/>
      <c r="E986" s="22"/>
    </row>
    <row r="987" spans="2:5" ht="13">
      <c r="B987" s="83"/>
      <c r="E987" s="22"/>
    </row>
    <row r="988" spans="2:5" ht="13">
      <c r="B988" s="83"/>
      <c r="E988" s="22"/>
    </row>
    <row r="989" spans="2:5" ht="13">
      <c r="B989" s="83"/>
      <c r="E989" s="22"/>
    </row>
    <row r="990" spans="2:5" ht="13">
      <c r="B990" s="83"/>
      <c r="E990" s="22"/>
    </row>
    <row r="991" spans="2:5" ht="13">
      <c r="B991" s="83"/>
      <c r="E991" s="22"/>
    </row>
    <row r="992" spans="2:5" ht="13">
      <c r="B992" s="83"/>
      <c r="E992" s="22"/>
    </row>
    <row r="993" spans="2:5" ht="13">
      <c r="B993" s="83"/>
      <c r="E993" s="22"/>
    </row>
    <row r="994" spans="2:5" ht="13">
      <c r="B994" s="83"/>
      <c r="E994" s="22"/>
    </row>
    <row r="995" spans="2:5" ht="13">
      <c r="B995" s="83"/>
      <c r="E995" s="22"/>
    </row>
    <row r="996" spans="2:5" ht="13">
      <c r="B996" s="83"/>
      <c r="E996" s="22"/>
    </row>
    <row r="997" spans="2:5" ht="13">
      <c r="B997" s="83"/>
      <c r="E997" s="2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998"/>
  <sheetViews>
    <sheetView workbookViewId="0"/>
  </sheetViews>
  <sheetFormatPr baseColWidth="10" defaultColWidth="12.6640625" defaultRowHeight="15.75" customHeight="1"/>
  <cols>
    <col min="3" max="3" width="15.33203125" customWidth="1"/>
    <col min="4" max="4" width="16.6640625" customWidth="1"/>
  </cols>
  <sheetData>
    <row r="1" spans="1:13" ht="15.75" customHeight="1">
      <c r="A1" s="10" t="s">
        <v>1540</v>
      </c>
      <c r="E1" s="22"/>
    </row>
    <row r="2" spans="1:13" ht="15.75" customHeight="1">
      <c r="B2" s="10" t="s">
        <v>55</v>
      </c>
      <c r="C2" s="10" t="s">
        <v>454</v>
      </c>
      <c r="D2" s="10" t="s">
        <v>455</v>
      </c>
      <c r="E2" s="75" t="s">
        <v>1529</v>
      </c>
      <c r="F2" s="10" t="s">
        <v>1541</v>
      </c>
      <c r="H2" s="10" t="s">
        <v>1526</v>
      </c>
      <c r="I2" s="10" t="s">
        <v>1542</v>
      </c>
    </row>
    <row r="3" spans="1:13" ht="15.75" customHeight="1">
      <c r="B3" s="74">
        <v>44562</v>
      </c>
      <c r="C3" s="23" t="s">
        <v>1543</v>
      </c>
      <c r="D3" s="23" t="s">
        <v>1544</v>
      </c>
      <c r="E3" s="22">
        <v>34173.599999999999</v>
      </c>
      <c r="F3" s="23" t="s">
        <v>125</v>
      </c>
      <c r="H3" s="776">
        <f>SUMIF(F2:F9,"&lt;&gt;S",E2:E9)</f>
        <v>0</v>
      </c>
      <c r="I3" s="69">
        <f>SUMIF(F11:F58,"&lt;&gt;S",E11:E58)</f>
        <v>5750</v>
      </c>
    </row>
    <row r="4" spans="1:13" ht="15.75" customHeight="1">
      <c r="B4" s="394" t="s">
        <v>1545</v>
      </c>
      <c r="C4" s="23" t="s">
        <v>1543</v>
      </c>
      <c r="D4" s="45" t="s">
        <v>1546</v>
      </c>
      <c r="E4" s="55">
        <v>3500</v>
      </c>
      <c r="F4" s="23" t="s">
        <v>125</v>
      </c>
    </row>
    <row r="5" spans="1:13" ht="15.75" customHeight="1">
      <c r="B5" s="394" t="s">
        <v>1545</v>
      </c>
      <c r="C5" s="23" t="s">
        <v>1543</v>
      </c>
      <c r="D5" s="45" t="s">
        <v>1547</v>
      </c>
      <c r="E5" s="55">
        <v>1300</v>
      </c>
      <c r="F5" s="23" t="s">
        <v>125</v>
      </c>
    </row>
    <row r="6" spans="1:13" ht="15.75" customHeight="1">
      <c r="B6" s="394" t="s">
        <v>1545</v>
      </c>
      <c r="C6" s="23" t="s">
        <v>1543</v>
      </c>
      <c r="D6" s="45" t="s">
        <v>1548</v>
      </c>
      <c r="E6" s="55">
        <v>4500</v>
      </c>
      <c r="F6" s="23" t="s">
        <v>125</v>
      </c>
    </row>
    <row r="7" spans="1:13" ht="15.75" customHeight="1">
      <c r="B7" s="394" t="s">
        <v>1545</v>
      </c>
      <c r="C7" s="23" t="s">
        <v>1543</v>
      </c>
      <c r="D7" s="45" t="s">
        <v>531</v>
      </c>
      <c r="E7" s="55">
        <v>5008</v>
      </c>
      <c r="F7" s="23" t="s">
        <v>125</v>
      </c>
    </row>
    <row r="8" spans="1:13" ht="15.75" customHeight="1">
      <c r="B8" s="394">
        <v>44621</v>
      </c>
      <c r="C8" s="23" t="s">
        <v>1549</v>
      </c>
      <c r="D8" s="45" t="s">
        <v>1064</v>
      </c>
      <c r="E8" s="55">
        <v>283871</v>
      </c>
      <c r="F8" s="23" t="s">
        <v>125</v>
      </c>
    </row>
    <row r="9" spans="1:13" ht="15.75" customHeight="1">
      <c r="E9" s="22"/>
    </row>
    <row r="10" spans="1:13" ht="15.75" customHeight="1">
      <c r="A10" s="10" t="s">
        <v>1550</v>
      </c>
      <c r="E10" s="22"/>
    </row>
    <row r="11" spans="1:13" ht="15.75" customHeight="1">
      <c r="B11" s="10" t="s">
        <v>55</v>
      </c>
      <c r="C11" s="10" t="s">
        <v>454</v>
      </c>
      <c r="D11" s="10" t="s">
        <v>455</v>
      </c>
      <c r="E11" s="75" t="s">
        <v>1525</v>
      </c>
      <c r="F11" s="10" t="s">
        <v>1541</v>
      </c>
    </row>
    <row r="12" spans="1:13" ht="15.75" customHeight="1">
      <c r="B12" s="109" t="s">
        <v>830</v>
      </c>
      <c r="C12" s="109" t="s">
        <v>1551</v>
      </c>
      <c r="D12" s="109" t="s">
        <v>61</v>
      </c>
      <c r="E12" s="108">
        <v>5660</v>
      </c>
      <c r="F12" s="109" t="s">
        <v>125</v>
      </c>
      <c r="G12" s="109"/>
      <c r="H12" s="109"/>
      <c r="I12" s="109"/>
      <c r="J12" s="109"/>
      <c r="K12" s="109"/>
      <c r="L12" s="109"/>
      <c r="M12" s="109"/>
    </row>
    <row r="13" spans="1:13" ht="15.75" customHeight="1">
      <c r="B13" s="794" t="s">
        <v>134</v>
      </c>
      <c r="C13" s="109" t="s">
        <v>1552</v>
      </c>
      <c r="D13" s="109" t="s">
        <v>1553</v>
      </c>
      <c r="E13" s="108">
        <v>19633</v>
      </c>
      <c r="F13" s="109" t="s">
        <v>125</v>
      </c>
      <c r="G13" s="109"/>
      <c r="H13" s="109"/>
      <c r="I13" s="109"/>
      <c r="J13" s="109"/>
      <c r="K13" s="109"/>
      <c r="L13" s="109"/>
      <c r="M13" s="109"/>
    </row>
    <row r="14" spans="1:13" ht="15.75" customHeight="1">
      <c r="B14" s="795">
        <v>44652</v>
      </c>
      <c r="C14" s="109" t="s">
        <v>1551</v>
      </c>
      <c r="D14" s="109" t="s">
        <v>61</v>
      </c>
      <c r="E14" s="108">
        <v>3175</v>
      </c>
      <c r="F14" s="109" t="s">
        <v>125</v>
      </c>
      <c r="G14" s="109"/>
      <c r="H14" s="109"/>
      <c r="I14" s="109"/>
      <c r="J14" s="109"/>
      <c r="K14" s="109"/>
      <c r="L14" s="109"/>
      <c r="M14" s="109"/>
    </row>
    <row r="15" spans="1:13" ht="15.75" customHeight="1">
      <c r="B15" s="796">
        <v>44900</v>
      </c>
      <c r="C15" s="109" t="s">
        <v>1551</v>
      </c>
      <c r="D15" s="109" t="s">
        <v>61</v>
      </c>
      <c r="E15" s="108">
        <v>313</v>
      </c>
      <c r="F15" s="109" t="s">
        <v>125</v>
      </c>
      <c r="G15" s="109"/>
      <c r="H15" s="109"/>
      <c r="I15" s="109"/>
      <c r="J15" s="109"/>
      <c r="K15" s="109"/>
      <c r="L15" s="109"/>
      <c r="M15" s="109"/>
    </row>
    <row r="16" spans="1:13" ht="15.75" customHeight="1">
      <c r="B16" s="797">
        <v>44567</v>
      </c>
      <c r="C16" s="109" t="s">
        <v>1551</v>
      </c>
      <c r="D16" s="109" t="s">
        <v>61</v>
      </c>
      <c r="E16" s="108">
        <v>4000</v>
      </c>
      <c r="F16" s="109" t="s">
        <v>125</v>
      </c>
      <c r="G16" s="109"/>
      <c r="H16" s="109"/>
      <c r="I16" s="109"/>
      <c r="J16" s="109"/>
      <c r="K16" s="109"/>
      <c r="L16" s="109"/>
      <c r="M16" s="109"/>
    </row>
    <row r="17" spans="2:13" ht="15.75" customHeight="1">
      <c r="B17" s="795">
        <v>44774</v>
      </c>
      <c r="C17" s="109" t="s">
        <v>1551</v>
      </c>
      <c r="D17" s="109" t="s">
        <v>61</v>
      </c>
      <c r="E17" s="108">
        <v>6000</v>
      </c>
      <c r="F17" s="109" t="s">
        <v>125</v>
      </c>
      <c r="G17" s="109"/>
      <c r="H17" s="109"/>
      <c r="I17" s="109"/>
      <c r="J17" s="109"/>
      <c r="K17" s="109"/>
      <c r="L17" s="109"/>
      <c r="M17" s="109"/>
    </row>
    <row r="18" spans="2:13" ht="15.75" customHeight="1">
      <c r="B18" s="798">
        <v>44866</v>
      </c>
      <c r="C18" s="109" t="s">
        <v>1551</v>
      </c>
      <c r="D18" s="109" t="s">
        <v>61</v>
      </c>
      <c r="E18" s="108">
        <v>7800</v>
      </c>
      <c r="F18" s="109" t="s">
        <v>125</v>
      </c>
      <c r="G18" s="109"/>
      <c r="H18" s="109"/>
      <c r="I18" s="109"/>
      <c r="J18" s="109"/>
      <c r="K18" s="109"/>
      <c r="L18" s="108"/>
      <c r="M18" s="109"/>
    </row>
    <row r="19" spans="2:13" ht="15.75" customHeight="1">
      <c r="B19" s="798">
        <v>44896</v>
      </c>
      <c r="C19" s="109" t="s">
        <v>1551</v>
      </c>
      <c r="D19" s="109" t="s">
        <v>61</v>
      </c>
      <c r="E19" s="108">
        <v>7850</v>
      </c>
      <c r="F19" s="109" t="s">
        <v>125</v>
      </c>
      <c r="G19" s="109"/>
      <c r="H19" s="109"/>
      <c r="I19" s="109"/>
      <c r="J19" s="109"/>
      <c r="K19" s="109"/>
      <c r="L19" s="108"/>
      <c r="M19" s="109"/>
    </row>
    <row r="20" spans="2:13" ht="15.75" customHeight="1">
      <c r="B20" s="798">
        <v>45413</v>
      </c>
      <c r="C20" s="109" t="s">
        <v>1554</v>
      </c>
      <c r="D20" s="109" t="s">
        <v>1554</v>
      </c>
      <c r="E20" s="108">
        <v>7813</v>
      </c>
      <c r="F20" s="109" t="s">
        <v>125</v>
      </c>
      <c r="G20" s="109"/>
      <c r="H20" s="109"/>
      <c r="I20" s="109"/>
      <c r="J20" s="109"/>
      <c r="K20" s="109"/>
      <c r="L20" s="108"/>
      <c r="M20" s="109"/>
    </row>
    <row r="21" spans="2:13" ht="15.75" customHeight="1">
      <c r="B21" s="797">
        <v>45841</v>
      </c>
      <c r="C21" s="109" t="s">
        <v>1555</v>
      </c>
      <c r="D21" s="109" t="s">
        <v>1556</v>
      </c>
      <c r="E21" s="108">
        <v>2000</v>
      </c>
      <c r="F21" s="109" t="s">
        <v>125</v>
      </c>
      <c r="G21" s="109"/>
      <c r="H21" s="109"/>
      <c r="I21" s="109"/>
      <c r="J21" s="109"/>
      <c r="K21" s="109"/>
      <c r="L21" s="108"/>
      <c r="M21" s="109"/>
    </row>
    <row r="22" spans="2:13" ht="15.75" customHeight="1">
      <c r="B22" s="797">
        <v>45661</v>
      </c>
      <c r="C22" s="109" t="s">
        <v>1555</v>
      </c>
      <c r="D22" s="109" t="s">
        <v>1557</v>
      </c>
      <c r="E22" s="108">
        <v>2500</v>
      </c>
      <c r="F22" s="109" t="s">
        <v>125</v>
      </c>
      <c r="G22" s="109"/>
      <c r="H22" s="109"/>
      <c r="I22" s="109"/>
      <c r="J22" s="109"/>
      <c r="K22" s="109"/>
      <c r="L22" s="108"/>
      <c r="M22" s="109"/>
    </row>
    <row r="23" spans="2:13" ht="15.75" customHeight="1">
      <c r="B23" s="797">
        <v>45843</v>
      </c>
      <c r="C23" s="109" t="s">
        <v>1555</v>
      </c>
      <c r="D23" s="109" t="s">
        <v>1558</v>
      </c>
      <c r="E23" s="108">
        <v>2500</v>
      </c>
      <c r="F23" s="109" t="s">
        <v>125</v>
      </c>
      <c r="G23" s="109"/>
      <c r="H23" s="109"/>
      <c r="I23" s="109"/>
      <c r="J23" s="109"/>
      <c r="K23" s="109"/>
      <c r="L23" s="108"/>
      <c r="M23" s="109"/>
    </row>
    <row r="24" spans="2:13" ht="15.75" customHeight="1">
      <c r="B24" s="797">
        <v>45936</v>
      </c>
      <c r="C24" s="109" t="s">
        <v>1555</v>
      </c>
      <c r="D24" s="109" t="s">
        <v>1559</v>
      </c>
      <c r="E24" s="108">
        <v>2500</v>
      </c>
      <c r="F24" s="109" t="s">
        <v>125</v>
      </c>
      <c r="G24" s="109"/>
      <c r="H24" s="109"/>
      <c r="I24" s="109"/>
      <c r="J24" s="109"/>
      <c r="K24" s="109"/>
      <c r="L24" s="109"/>
      <c r="M24" s="109"/>
    </row>
    <row r="25" spans="2:13" ht="15.75" customHeight="1">
      <c r="B25" s="795">
        <v>45662</v>
      </c>
      <c r="C25" s="109" t="s">
        <v>1551</v>
      </c>
      <c r="D25" s="109" t="s">
        <v>61</v>
      </c>
      <c r="E25" s="108">
        <v>5769</v>
      </c>
      <c r="F25" s="109" t="s">
        <v>125</v>
      </c>
      <c r="G25" s="109"/>
      <c r="H25" s="109"/>
      <c r="I25" s="109"/>
      <c r="J25" s="109"/>
      <c r="K25" s="109"/>
      <c r="L25" s="109"/>
      <c r="M25" s="109"/>
    </row>
    <row r="26" spans="2:13" ht="15.75" customHeight="1">
      <c r="B26" s="794" t="s">
        <v>1560</v>
      </c>
      <c r="C26" s="109" t="s">
        <v>1561</v>
      </c>
      <c r="D26" s="109" t="s">
        <v>1562</v>
      </c>
      <c r="E26" s="108">
        <v>3000</v>
      </c>
      <c r="F26" s="109" t="s">
        <v>125</v>
      </c>
      <c r="G26" s="109"/>
      <c r="H26" s="109"/>
      <c r="I26" s="109"/>
      <c r="J26" s="109"/>
      <c r="K26" s="109"/>
      <c r="L26" s="109"/>
      <c r="M26" s="109"/>
    </row>
    <row r="27" spans="2:13" ht="15.75" customHeight="1">
      <c r="B27" s="795">
        <v>45778</v>
      </c>
      <c r="C27" s="109" t="s">
        <v>1555</v>
      </c>
      <c r="D27" s="109"/>
      <c r="E27" s="108">
        <v>2500</v>
      </c>
      <c r="F27" s="109" t="s">
        <v>125</v>
      </c>
      <c r="G27" s="109"/>
      <c r="H27" s="109"/>
      <c r="I27" s="109"/>
      <c r="J27" s="109"/>
      <c r="K27" s="109"/>
      <c r="L27" s="109"/>
      <c r="M27" s="109"/>
    </row>
    <row r="28" spans="2:13" ht="15.75" customHeight="1">
      <c r="B28" s="775">
        <v>45809</v>
      </c>
      <c r="C28" s="109" t="s">
        <v>1555</v>
      </c>
      <c r="D28" s="109"/>
      <c r="E28" s="108">
        <v>2500</v>
      </c>
      <c r="F28" s="23" t="s">
        <v>125</v>
      </c>
    </row>
    <row r="29" spans="2:13" ht="15.75" customHeight="1">
      <c r="B29" s="775">
        <v>45839</v>
      </c>
      <c r="C29" s="109" t="s">
        <v>1555</v>
      </c>
      <c r="D29" s="109"/>
      <c r="E29" s="108">
        <v>2500</v>
      </c>
      <c r="F29" s="23" t="s">
        <v>125</v>
      </c>
    </row>
    <row r="30" spans="2:13" ht="15.75" customHeight="1">
      <c r="B30" s="775">
        <v>45870</v>
      </c>
      <c r="C30" s="109" t="s">
        <v>1555</v>
      </c>
      <c r="D30" s="109"/>
      <c r="E30" s="108">
        <v>2500</v>
      </c>
      <c r="F30" s="23" t="s">
        <v>125</v>
      </c>
      <c r="G30" s="23" t="s">
        <v>1563</v>
      </c>
    </row>
    <row r="31" spans="2:13" ht="15.75" customHeight="1">
      <c r="B31" s="775">
        <v>45901</v>
      </c>
      <c r="C31" s="109" t="s">
        <v>1555</v>
      </c>
      <c r="D31" s="109"/>
      <c r="E31" s="108">
        <v>2500</v>
      </c>
      <c r="F31" s="23" t="s">
        <v>125</v>
      </c>
      <c r="G31" s="23" t="s">
        <v>1563</v>
      </c>
    </row>
    <row r="32" spans="2:13" ht="15.75" customHeight="1">
      <c r="B32" s="775">
        <v>45658</v>
      </c>
      <c r="C32" s="23" t="s">
        <v>1564</v>
      </c>
      <c r="E32" s="22">
        <v>1600</v>
      </c>
      <c r="F32" s="23" t="s">
        <v>125</v>
      </c>
    </row>
    <row r="33" spans="2:6" ht="15.75" customHeight="1">
      <c r="B33" s="775">
        <v>45870</v>
      </c>
      <c r="C33" s="23" t="s">
        <v>1565</v>
      </c>
      <c r="E33" s="22">
        <v>630</v>
      </c>
      <c r="F33" s="23" t="s">
        <v>125</v>
      </c>
    </row>
    <row r="34" spans="2:6" ht="15.75" customHeight="1">
      <c r="B34" s="775">
        <v>45901</v>
      </c>
      <c r="C34" s="23" t="s">
        <v>1566</v>
      </c>
      <c r="E34" s="22">
        <v>6810</v>
      </c>
      <c r="F34" s="23" t="s">
        <v>125</v>
      </c>
    </row>
    <row r="35" spans="2:6" ht="15.75" customHeight="1">
      <c r="B35" s="799">
        <v>45931</v>
      </c>
      <c r="C35" s="23" t="s">
        <v>1567</v>
      </c>
      <c r="E35" s="22">
        <f>5500/2</f>
        <v>2750</v>
      </c>
    </row>
    <row r="36" spans="2:6" ht="15.75" customHeight="1">
      <c r="B36" s="799">
        <v>45962</v>
      </c>
      <c r="C36" s="23" t="s">
        <v>1568</v>
      </c>
      <c r="E36" s="22">
        <f>6000/2</f>
        <v>3000</v>
      </c>
    </row>
    <row r="37" spans="2:6" ht="15.75" customHeight="1">
      <c r="E37" s="22"/>
    </row>
    <row r="38" spans="2:6" ht="15.75" customHeight="1">
      <c r="E38" s="22"/>
    </row>
    <row r="39" spans="2:6" ht="15.75" customHeight="1">
      <c r="E39" s="22"/>
    </row>
    <row r="40" spans="2:6" ht="15.75" customHeight="1">
      <c r="E40" s="22"/>
    </row>
    <row r="41" spans="2:6" ht="15.75" customHeight="1">
      <c r="E41" s="22"/>
    </row>
    <row r="42" spans="2:6" ht="15.75" customHeight="1">
      <c r="E42" s="22"/>
    </row>
    <row r="43" spans="2:6" ht="15.75" customHeight="1">
      <c r="E43" s="22"/>
    </row>
    <row r="44" spans="2:6" ht="15.75" customHeight="1">
      <c r="E44" s="22"/>
    </row>
    <row r="45" spans="2:6" ht="15.75" customHeight="1">
      <c r="E45" s="22"/>
    </row>
    <row r="46" spans="2:6" ht="15.75" customHeight="1">
      <c r="E46" s="22"/>
    </row>
    <row r="47" spans="2:6" ht="15.75" customHeight="1">
      <c r="E47" s="22"/>
    </row>
    <row r="48" spans="2:6" ht="15.75" customHeight="1">
      <c r="E48" s="22"/>
    </row>
    <row r="49" spans="5:5" ht="15.75" customHeight="1">
      <c r="E49" s="22"/>
    </row>
    <row r="50" spans="5:5" ht="15.75" customHeight="1">
      <c r="E50" s="22"/>
    </row>
    <row r="51" spans="5:5" ht="15.75" customHeight="1">
      <c r="E51" s="22"/>
    </row>
    <row r="52" spans="5:5" ht="15.75" customHeight="1">
      <c r="E52" s="22"/>
    </row>
    <row r="53" spans="5:5" ht="15.75" customHeight="1">
      <c r="E53" s="22"/>
    </row>
    <row r="54" spans="5:5" ht="15.75" customHeight="1">
      <c r="E54" s="22"/>
    </row>
    <row r="55" spans="5:5" ht="15.75" customHeight="1">
      <c r="E55" s="22"/>
    </row>
    <row r="56" spans="5:5" ht="15.75" customHeight="1">
      <c r="E56" s="22"/>
    </row>
    <row r="57" spans="5:5" ht="15.75" customHeight="1">
      <c r="E57" s="22"/>
    </row>
    <row r="58" spans="5:5" ht="15.75" customHeight="1">
      <c r="E58" s="22"/>
    </row>
    <row r="59" spans="5:5" ht="15.75" customHeight="1">
      <c r="E59" s="22"/>
    </row>
    <row r="60" spans="5:5" ht="15.75" customHeight="1">
      <c r="E60" s="22"/>
    </row>
    <row r="61" spans="5:5" ht="15.75" customHeight="1">
      <c r="E61" s="22"/>
    </row>
    <row r="62" spans="5:5" ht="15.75" customHeight="1">
      <c r="E62" s="22"/>
    </row>
    <row r="63" spans="5:5" ht="15.75" customHeight="1">
      <c r="E63" s="22"/>
    </row>
    <row r="64" spans="5:5" ht="15.75" customHeight="1">
      <c r="E64" s="22"/>
    </row>
    <row r="65" spans="5:5" ht="13">
      <c r="E65" s="22"/>
    </row>
    <row r="66" spans="5:5" ht="13">
      <c r="E66" s="22"/>
    </row>
    <row r="67" spans="5:5" ht="13">
      <c r="E67" s="22"/>
    </row>
    <row r="68" spans="5:5" ht="13">
      <c r="E68" s="22"/>
    </row>
    <row r="69" spans="5:5" ht="13">
      <c r="E69" s="22"/>
    </row>
    <row r="70" spans="5:5" ht="13">
      <c r="E70" s="22"/>
    </row>
    <row r="71" spans="5:5" ht="13">
      <c r="E71" s="22"/>
    </row>
    <row r="72" spans="5:5" ht="13">
      <c r="E72" s="22"/>
    </row>
    <row r="73" spans="5:5" ht="13">
      <c r="E73" s="22"/>
    </row>
    <row r="74" spans="5:5" ht="13">
      <c r="E74" s="22"/>
    </row>
    <row r="75" spans="5:5" ht="13">
      <c r="E75" s="22"/>
    </row>
    <row r="76" spans="5:5" ht="13">
      <c r="E76" s="22"/>
    </row>
    <row r="77" spans="5:5" ht="13">
      <c r="E77" s="22"/>
    </row>
    <row r="78" spans="5:5" ht="13">
      <c r="E78" s="22"/>
    </row>
    <row r="79" spans="5:5" ht="13">
      <c r="E79" s="22"/>
    </row>
    <row r="80" spans="5:5" ht="13">
      <c r="E80" s="22"/>
    </row>
    <row r="81" spans="5:5" ht="13">
      <c r="E81" s="22"/>
    </row>
    <row r="82" spans="5:5" ht="13">
      <c r="E82" s="22"/>
    </row>
    <row r="83" spans="5:5" ht="13">
      <c r="E83" s="22"/>
    </row>
    <row r="84" spans="5:5" ht="13">
      <c r="E84" s="22"/>
    </row>
    <row r="85" spans="5:5" ht="13">
      <c r="E85" s="22"/>
    </row>
    <row r="86" spans="5:5" ht="13">
      <c r="E86" s="22"/>
    </row>
    <row r="87" spans="5:5" ht="13">
      <c r="E87" s="22"/>
    </row>
    <row r="88" spans="5:5" ht="13">
      <c r="E88" s="22"/>
    </row>
    <row r="89" spans="5:5" ht="13">
      <c r="E89" s="22"/>
    </row>
    <row r="90" spans="5:5" ht="13">
      <c r="E90" s="22"/>
    </row>
    <row r="91" spans="5:5" ht="13">
      <c r="E91" s="22"/>
    </row>
    <row r="92" spans="5:5" ht="13">
      <c r="E92" s="22"/>
    </row>
    <row r="93" spans="5:5" ht="13">
      <c r="E93" s="22"/>
    </row>
    <row r="94" spans="5:5" ht="13">
      <c r="E94" s="22"/>
    </row>
    <row r="95" spans="5:5" ht="13">
      <c r="E95" s="22"/>
    </row>
    <row r="96" spans="5:5" ht="13">
      <c r="E96" s="22"/>
    </row>
    <row r="97" spans="5:5" ht="13">
      <c r="E97" s="22"/>
    </row>
    <row r="98" spans="5:5" ht="13">
      <c r="E98" s="22"/>
    </row>
    <row r="99" spans="5:5" ht="13">
      <c r="E99" s="22"/>
    </row>
    <row r="100" spans="5:5" ht="13">
      <c r="E100" s="22"/>
    </row>
    <row r="101" spans="5:5" ht="13">
      <c r="E101" s="22"/>
    </row>
    <row r="102" spans="5:5" ht="13">
      <c r="E102" s="22"/>
    </row>
    <row r="103" spans="5:5" ht="13">
      <c r="E103" s="22"/>
    </row>
    <row r="104" spans="5:5" ht="13">
      <c r="E104" s="22"/>
    </row>
    <row r="105" spans="5:5" ht="13">
      <c r="E105" s="22"/>
    </row>
    <row r="106" spans="5:5" ht="13">
      <c r="E106" s="22"/>
    </row>
    <row r="107" spans="5:5" ht="13">
      <c r="E107" s="22"/>
    </row>
    <row r="108" spans="5:5" ht="13">
      <c r="E108" s="22"/>
    </row>
    <row r="109" spans="5:5" ht="13">
      <c r="E109" s="22"/>
    </row>
    <row r="110" spans="5:5" ht="13">
      <c r="E110" s="22"/>
    </row>
    <row r="111" spans="5:5" ht="13">
      <c r="E111" s="22"/>
    </row>
    <row r="112" spans="5:5" ht="13">
      <c r="E112" s="22"/>
    </row>
    <row r="113" spans="5:5" ht="13">
      <c r="E113" s="22"/>
    </row>
    <row r="114" spans="5:5" ht="13">
      <c r="E114" s="22"/>
    </row>
    <row r="115" spans="5:5" ht="13">
      <c r="E115" s="22"/>
    </row>
    <row r="116" spans="5:5" ht="13">
      <c r="E116" s="22"/>
    </row>
    <row r="117" spans="5:5" ht="13">
      <c r="E117" s="22"/>
    </row>
    <row r="118" spans="5:5" ht="13">
      <c r="E118" s="22"/>
    </row>
    <row r="119" spans="5:5" ht="13">
      <c r="E119" s="22"/>
    </row>
    <row r="120" spans="5:5" ht="13">
      <c r="E120" s="22"/>
    </row>
    <row r="121" spans="5:5" ht="13">
      <c r="E121" s="22"/>
    </row>
    <row r="122" spans="5:5" ht="13">
      <c r="E122" s="22"/>
    </row>
    <row r="123" spans="5:5" ht="13">
      <c r="E123" s="22"/>
    </row>
    <row r="124" spans="5:5" ht="13">
      <c r="E124" s="22"/>
    </row>
    <row r="125" spans="5:5" ht="13">
      <c r="E125" s="22"/>
    </row>
    <row r="126" spans="5:5" ht="13">
      <c r="E126" s="22"/>
    </row>
    <row r="127" spans="5:5" ht="13">
      <c r="E127" s="22"/>
    </row>
    <row r="128" spans="5:5" ht="13">
      <c r="E128" s="22"/>
    </row>
    <row r="129" spans="5:5" ht="13">
      <c r="E129" s="22"/>
    </row>
    <row r="130" spans="5:5" ht="13">
      <c r="E130" s="22"/>
    </row>
    <row r="131" spans="5:5" ht="13">
      <c r="E131" s="22"/>
    </row>
    <row r="132" spans="5:5" ht="13">
      <c r="E132" s="22"/>
    </row>
    <row r="133" spans="5:5" ht="13">
      <c r="E133" s="22"/>
    </row>
    <row r="134" spans="5:5" ht="13">
      <c r="E134" s="22"/>
    </row>
    <row r="135" spans="5:5" ht="13">
      <c r="E135" s="22"/>
    </row>
    <row r="136" spans="5:5" ht="13">
      <c r="E136" s="22"/>
    </row>
    <row r="137" spans="5:5" ht="13">
      <c r="E137" s="22"/>
    </row>
    <row r="138" spans="5:5" ht="13">
      <c r="E138" s="22"/>
    </row>
    <row r="139" spans="5:5" ht="13">
      <c r="E139" s="22"/>
    </row>
    <row r="140" spans="5:5" ht="13">
      <c r="E140" s="22"/>
    </row>
    <row r="141" spans="5:5" ht="13">
      <c r="E141" s="22"/>
    </row>
    <row r="142" spans="5:5" ht="13">
      <c r="E142" s="22"/>
    </row>
    <row r="143" spans="5:5" ht="13">
      <c r="E143" s="22"/>
    </row>
    <row r="144" spans="5:5" ht="13">
      <c r="E144" s="22"/>
    </row>
    <row r="145" spans="5:5" ht="13">
      <c r="E145" s="22"/>
    </row>
    <row r="146" spans="5:5" ht="13">
      <c r="E146" s="22"/>
    </row>
    <row r="147" spans="5:5" ht="13">
      <c r="E147" s="22"/>
    </row>
    <row r="148" spans="5:5" ht="13">
      <c r="E148" s="22"/>
    </row>
    <row r="149" spans="5:5" ht="13">
      <c r="E149" s="22"/>
    </row>
    <row r="150" spans="5:5" ht="13">
      <c r="E150" s="22"/>
    </row>
    <row r="151" spans="5:5" ht="13">
      <c r="E151" s="22"/>
    </row>
    <row r="152" spans="5:5" ht="13">
      <c r="E152" s="22"/>
    </row>
    <row r="153" spans="5:5" ht="13">
      <c r="E153" s="22"/>
    </row>
    <row r="154" spans="5:5" ht="13">
      <c r="E154" s="22"/>
    </row>
    <row r="155" spans="5:5" ht="13">
      <c r="E155" s="22"/>
    </row>
    <row r="156" spans="5:5" ht="13">
      <c r="E156" s="22"/>
    </row>
    <row r="157" spans="5:5" ht="13">
      <c r="E157" s="22"/>
    </row>
    <row r="158" spans="5:5" ht="13">
      <c r="E158" s="22"/>
    </row>
    <row r="159" spans="5:5" ht="13">
      <c r="E159" s="22"/>
    </row>
    <row r="160" spans="5:5" ht="13">
      <c r="E160" s="22"/>
    </row>
    <row r="161" spans="5:5" ht="13">
      <c r="E161" s="22"/>
    </row>
    <row r="162" spans="5:5" ht="13">
      <c r="E162" s="22"/>
    </row>
    <row r="163" spans="5:5" ht="13">
      <c r="E163" s="22"/>
    </row>
    <row r="164" spans="5:5" ht="13">
      <c r="E164" s="22"/>
    </row>
    <row r="165" spans="5:5" ht="13">
      <c r="E165" s="22"/>
    </row>
    <row r="166" spans="5:5" ht="13">
      <c r="E166" s="22"/>
    </row>
    <row r="167" spans="5:5" ht="13">
      <c r="E167" s="22"/>
    </row>
    <row r="168" spans="5:5" ht="13">
      <c r="E168" s="22"/>
    </row>
    <row r="169" spans="5:5" ht="13">
      <c r="E169" s="22"/>
    </row>
    <row r="170" spans="5:5" ht="13">
      <c r="E170" s="22"/>
    </row>
    <row r="171" spans="5:5" ht="13">
      <c r="E171" s="22"/>
    </row>
    <row r="172" spans="5:5" ht="13">
      <c r="E172" s="22"/>
    </row>
    <row r="173" spans="5:5" ht="13">
      <c r="E173" s="22"/>
    </row>
    <row r="174" spans="5:5" ht="13">
      <c r="E174" s="22"/>
    </row>
    <row r="175" spans="5:5" ht="13">
      <c r="E175" s="22"/>
    </row>
    <row r="176" spans="5:5" ht="13">
      <c r="E176" s="22"/>
    </row>
    <row r="177" spans="5:5" ht="13">
      <c r="E177" s="22"/>
    </row>
    <row r="178" spans="5:5" ht="13">
      <c r="E178" s="22"/>
    </row>
    <row r="179" spans="5:5" ht="13">
      <c r="E179" s="22"/>
    </row>
    <row r="180" spans="5:5" ht="13">
      <c r="E180" s="22"/>
    </row>
    <row r="181" spans="5:5" ht="13">
      <c r="E181" s="22"/>
    </row>
    <row r="182" spans="5:5" ht="13">
      <c r="E182" s="22"/>
    </row>
    <row r="183" spans="5:5" ht="13">
      <c r="E183" s="22"/>
    </row>
    <row r="184" spans="5:5" ht="13">
      <c r="E184" s="22"/>
    </row>
    <row r="185" spans="5:5" ht="13">
      <c r="E185" s="22"/>
    </row>
    <row r="186" spans="5:5" ht="13">
      <c r="E186" s="22"/>
    </row>
    <row r="187" spans="5:5" ht="13">
      <c r="E187" s="22"/>
    </row>
    <row r="188" spans="5:5" ht="13">
      <c r="E188" s="22"/>
    </row>
    <row r="189" spans="5:5" ht="13">
      <c r="E189" s="22"/>
    </row>
    <row r="190" spans="5:5" ht="13">
      <c r="E190" s="22"/>
    </row>
    <row r="191" spans="5:5" ht="13">
      <c r="E191" s="22"/>
    </row>
    <row r="192" spans="5:5" ht="13">
      <c r="E192" s="22"/>
    </row>
    <row r="193" spans="5:5" ht="13">
      <c r="E193" s="22"/>
    </row>
    <row r="194" spans="5:5" ht="13">
      <c r="E194" s="22"/>
    </row>
    <row r="195" spans="5:5" ht="13">
      <c r="E195" s="22"/>
    </row>
    <row r="196" spans="5:5" ht="13">
      <c r="E196" s="22"/>
    </row>
    <row r="197" spans="5:5" ht="13">
      <c r="E197" s="22"/>
    </row>
    <row r="198" spans="5:5" ht="13">
      <c r="E198" s="22"/>
    </row>
    <row r="199" spans="5:5" ht="13">
      <c r="E199" s="22"/>
    </row>
    <row r="200" spans="5:5" ht="13">
      <c r="E200" s="22"/>
    </row>
    <row r="201" spans="5:5" ht="13">
      <c r="E201" s="22"/>
    </row>
    <row r="202" spans="5:5" ht="13">
      <c r="E202" s="22"/>
    </row>
    <row r="203" spans="5:5" ht="13">
      <c r="E203" s="22"/>
    </row>
    <row r="204" spans="5:5" ht="13">
      <c r="E204" s="22"/>
    </row>
    <row r="205" spans="5:5" ht="13">
      <c r="E205" s="22"/>
    </row>
    <row r="206" spans="5:5" ht="13">
      <c r="E206" s="22"/>
    </row>
    <row r="207" spans="5:5" ht="13">
      <c r="E207" s="22"/>
    </row>
    <row r="208" spans="5:5" ht="13">
      <c r="E208" s="22"/>
    </row>
    <row r="209" spans="5:5" ht="13">
      <c r="E209" s="22"/>
    </row>
    <row r="210" spans="5:5" ht="13">
      <c r="E210" s="22"/>
    </row>
    <row r="211" spans="5:5" ht="13">
      <c r="E211" s="22"/>
    </row>
    <row r="212" spans="5:5" ht="13">
      <c r="E212" s="22"/>
    </row>
    <row r="213" spans="5:5" ht="13">
      <c r="E213" s="22"/>
    </row>
    <row r="214" spans="5:5" ht="13">
      <c r="E214" s="22"/>
    </row>
    <row r="215" spans="5:5" ht="13">
      <c r="E215" s="22"/>
    </row>
    <row r="216" spans="5:5" ht="13">
      <c r="E216" s="22"/>
    </row>
    <row r="217" spans="5:5" ht="13">
      <c r="E217" s="22"/>
    </row>
    <row r="218" spans="5:5" ht="13">
      <c r="E218" s="22"/>
    </row>
    <row r="219" spans="5:5" ht="13">
      <c r="E219" s="22"/>
    </row>
    <row r="220" spans="5:5" ht="13">
      <c r="E220" s="22"/>
    </row>
    <row r="221" spans="5:5" ht="13">
      <c r="E221" s="22"/>
    </row>
    <row r="222" spans="5:5" ht="13">
      <c r="E222" s="22"/>
    </row>
    <row r="223" spans="5:5" ht="13">
      <c r="E223" s="22"/>
    </row>
    <row r="224" spans="5:5" ht="13">
      <c r="E224" s="22"/>
    </row>
    <row r="225" spans="5:5" ht="13">
      <c r="E225" s="22"/>
    </row>
    <row r="226" spans="5:5" ht="13">
      <c r="E226" s="22"/>
    </row>
    <row r="227" spans="5:5" ht="13">
      <c r="E227" s="22"/>
    </row>
    <row r="228" spans="5:5" ht="13">
      <c r="E228" s="22"/>
    </row>
    <row r="229" spans="5:5" ht="13">
      <c r="E229" s="22"/>
    </row>
    <row r="230" spans="5:5" ht="13">
      <c r="E230" s="22"/>
    </row>
    <row r="231" spans="5:5" ht="13">
      <c r="E231" s="22"/>
    </row>
    <row r="232" spans="5:5" ht="13">
      <c r="E232" s="22"/>
    </row>
    <row r="233" spans="5:5" ht="13">
      <c r="E233" s="22"/>
    </row>
    <row r="234" spans="5:5" ht="13">
      <c r="E234" s="22"/>
    </row>
    <row r="235" spans="5:5" ht="13">
      <c r="E235" s="22"/>
    </row>
    <row r="236" spans="5:5" ht="13">
      <c r="E236" s="22"/>
    </row>
    <row r="237" spans="5:5" ht="13">
      <c r="E237" s="22"/>
    </row>
    <row r="238" spans="5:5" ht="13">
      <c r="E238" s="22"/>
    </row>
    <row r="239" spans="5:5" ht="13">
      <c r="E239" s="22"/>
    </row>
    <row r="240" spans="5:5" ht="13">
      <c r="E240" s="22"/>
    </row>
    <row r="241" spans="5:5" ht="13">
      <c r="E241" s="22"/>
    </row>
    <row r="242" spans="5:5" ht="13">
      <c r="E242" s="22"/>
    </row>
    <row r="243" spans="5:5" ht="13">
      <c r="E243" s="22"/>
    </row>
    <row r="244" spans="5:5" ht="13">
      <c r="E244" s="22"/>
    </row>
    <row r="245" spans="5:5" ht="13">
      <c r="E245" s="22"/>
    </row>
    <row r="246" spans="5:5" ht="13">
      <c r="E246" s="22"/>
    </row>
    <row r="247" spans="5:5" ht="13">
      <c r="E247" s="22"/>
    </row>
    <row r="248" spans="5:5" ht="13">
      <c r="E248" s="22"/>
    </row>
    <row r="249" spans="5:5" ht="13">
      <c r="E249" s="22"/>
    </row>
    <row r="250" spans="5:5" ht="13">
      <c r="E250" s="22"/>
    </row>
    <row r="251" spans="5:5" ht="13">
      <c r="E251" s="22"/>
    </row>
    <row r="252" spans="5:5" ht="13">
      <c r="E252" s="22"/>
    </row>
    <row r="253" spans="5:5" ht="13">
      <c r="E253" s="22"/>
    </row>
    <row r="254" spans="5:5" ht="13">
      <c r="E254" s="22"/>
    </row>
    <row r="255" spans="5:5" ht="13">
      <c r="E255" s="22"/>
    </row>
    <row r="256" spans="5:5" ht="13">
      <c r="E256" s="22"/>
    </row>
    <row r="257" spans="5:5" ht="13">
      <c r="E257" s="22"/>
    </row>
    <row r="258" spans="5:5" ht="13">
      <c r="E258" s="22"/>
    </row>
    <row r="259" spans="5:5" ht="13">
      <c r="E259" s="22"/>
    </row>
    <row r="260" spans="5:5" ht="13">
      <c r="E260" s="22"/>
    </row>
    <row r="261" spans="5:5" ht="13">
      <c r="E261" s="22"/>
    </row>
    <row r="262" spans="5:5" ht="13">
      <c r="E262" s="22"/>
    </row>
    <row r="263" spans="5:5" ht="13">
      <c r="E263" s="22"/>
    </row>
    <row r="264" spans="5:5" ht="13">
      <c r="E264" s="22"/>
    </row>
    <row r="265" spans="5:5" ht="13">
      <c r="E265" s="22"/>
    </row>
    <row r="266" spans="5:5" ht="13">
      <c r="E266" s="22"/>
    </row>
    <row r="267" spans="5:5" ht="13">
      <c r="E267" s="22"/>
    </row>
    <row r="268" spans="5:5" ht="13">
      <c r="E268" s="22"/>
    </row>
    <row r="269" spans="5:5" ht="13">
      <c r="E269" s="22"/>
    </row>
    <row r="270" spans="5:5" ht="13">
      <c r="E270" s="22"/>
    </row>
    <row r="271" spans="5:5" ht="13">
      <c r="E271" s="22"/>
    </row>
    <row r="272" spans="5:5" ht="13">
      <c r="E272" s="22"/>
    </row>
    <row r="273" spans="5:5" ht="13">
      <c r="E273" s="22"/>
    </row>
    <row r="274" spans="5:5" ht="13">
      <c r="E274" s="22"/>
    </row>
    <row r="275" spans="5:5" ht="13">
      <c r="E275" s="22"/>
    </row>
    <row r="276" spans="5:5" ht="13">
      <c r="E276" s="22"/>
    </row>
    <row r="277" spans="5:5" ht="13">
      <c r="E277" s="22"/>
    </row>
    <row r="278" spans="5:5" ht="13">
      <c r="E278" s="22"/>
    </row>
    <row r="279" spans="5:5" ht="13">
      <c r="E279" s="22"/>
    </row>
    <row r="280" spans="5:5" ht="13">
      <c r="E280" s="22"/>
    </row>
    <row r="281" spans="5:5" ht="13">
      <c r="E281" s="22"/>
    </row>
    <row r="282" spans="5:5" ht="13">
      <c r="E282" s="22"/>
    </row>
    <row r="283" spans="5:5" ht="13">
      <c r="E283" s="22"/>
    </row>
    <row r="284" spans="5:5" ht="13">
      <c r="E284" s="22"/>
    </row>
    <row r="285" spans="5:5" ht="13">
      <c r="E285" s="22"/>
    </row>
    <row r="286" spans="5:5" ht="13">
      <c r="E286" s="22"/>
    </row>
    <row r="287" spans="5:5" ht="13">
      <c r="E287" s="22"/>
    </row>
    <row r="288" spans="5:5" ht="13">
      <c r="E288" s="22"/>
    </row>
    <row r="289" spans="5:5" ht="13">
      <c r="E289" s="22"/>
    </row>
    <row r="290" spans="5:5" ht="13">
      <c r="E290" s="22"/>
    </row>
    <row r="291" spans="5:5" ht="13">
      <c r="E291" s="22"/>
    </row>
    <row r="292" spans="5:5" ht="13">
      <c r="E292" s="22"/>
    </row>
    <row r="293" spans="5:5" ht="13">
      <c r="E293" s="22"/>
    </row>
    <row r="294" spans="5:5" ht="13">
      <c r="E294" s="22"/>
    </row>
    <row r="295" spans="5:5" ht="13">
      <c r="E295" s="22"/>
    </row>
    <row r="296" spans="5:5" ht="13">
      <c r="E296" s="22"/>
    </row>
    <row r="297" spans="5:5" ht="13">
      <c r="E297" s="22"/>
    </row>
    <row r="298" spans="5:5" ht="13">
      <c r="E298" s="22"/>
    </row>
    <row r="299" spans="5:5" ht="13">
      <c r="E299" s="22"/>
    </row>
    <row r="300" spans="5:5" ht="13">
      <c r="E300" s="22"/>
    </row>
    <row r="301" spans="5:5" ht="13">
      <c r="E301" s="22"/>
    </row>
    <row r="302" spans="5:5" ht="13">
      <c r="E302" s="22"/>
    </row>
    <row r="303" spans="5:5" ht="13">
      <c r="E303" s="22"/>
    </row>
    <row r="304" spans="5:5" ht="13">
      <c r="E304" s="22"/>
    </row>
    <row r="305" spans="5:5" ht="13">
      <c r="E305" s="22"/>
    </row>
    <row r="306" spans="5:5" ht="13">
      <c r="E306" s="22"/>
    </row>
    <row r="307" spans="5:5" ht="13">
      <c r="E307" s="22"/>
    </row>
    <row r="308" spans="5:5" ht="13">
      <c r="E308" s="22"/>
    </row>
    <row r="309" spans="5:5" ht="13">
      <c r="E309" s="22"/>
    </row>
    <row r="310" spans="5:5" ht="13">
      <c r="E310" s="22"/>
    </row>
    <row r="311" spans="5:5" ht="13">
      <c r="E311" s="22"/>
    </row>
    <row r="312" spans="5:5" ht="13">
      <c r="E312" s="22"/>
    </row>
    <row r="313" spans="5:5" ht="13">
      <c r="E313" s="22"/>
    </row>
    <row r="314" spans="5:5" ht="13">
      <c r="E314" s="22"/>
    </row>
    <row r="315" spans="5:5" ht="13">
      <c r="E315" s="22"/>
    </row>
    <row r="316" spans="5:5" ht="13">
      <c r="E316" s="22"/>
    </row>
    <row r="317" spans="5:5" ht="13">
      <c r="E317" s="22"/>
    </row>
    <row r="318" spans="5:5" ht="13">
      <c r="E318" s="22"/>
    </row>
    <row r="319" spans="5:5" ht="13">
      <c r="E319" s="22"/>
    </row>
    <row r="320" spans="5:5" ht="13">
      <c r="E320" s="22"/>
    </row>
    <row r="321" spans="5:5" ht="13">
      <c r="E321" s="22"/>
    </row>
    <row r="322" spans="5:5" ht="13">
      <c r="E322" s="22"/>
    </row>
    <row r="323" spans="5:5" ht="13">
      <c r="E323" s="22"/>
    </row>
    <row r="324" spans="5:5" ht="13">
      <c r="E324" s="22"/>
    </row>
    <row r="325" spans="5:5" ht="13">
      <c r="E325" s="22"/>
    </row>
    <row r="326" spans="5:5" ht="13">
      <c r="E326" s="22"/>
    </row>
    <row r="327" spans="5:5" ht="13">
      <c r="E327" s="22"/>
    </row>
    <row r="328" spans="5:5" ht="13">
      <c r="E328" s="22"/>
    </row>
    <row r="329" spans="5:5" ht="13">
      <c r="E329" s="22"/>
    </row>
    <row r="330" spans="5:5" ht="13">
      <c r="E330" s="22"/>
    </row>
    <row r="331" spans="5:5" ht="13">
      <c r="E331" s="22"/>
    </row>
    <row r="332" spans="5:5" ht="13">
      <c r="E332" s="22"/>
    </row>
    <row r="333" spans="5:5" ht="13">
      <c r="E333" s="22"/>
    </row>
    <row r="334" spans="5:5" ht="13">
      <c r="E334" s="22"/>
    </row>
    <row r="335" spans="5:5" ht="13">
      <c r="E335" s="22"/>
    </row>
    <row r="336" spans="5:5" ht="13">
      <c r="E336" s="22"/>
    </row>
    <row r="337" spans="5:5" ht="13">
      <c r="E337" s="22"/>
    </row>
    <row r="338" spans="5:5" ht="13">
      <c r="E338" s="22"/>
    </row>
    <row r="339" spans="5:5" ht="13">
      <c r="E339" s="22"/>
    </row>
    <row r="340" spans="5:5" ht="13">
      <c r="E340" s="22"/>
    </row>
    <row r="341" spans="5:5" ht="13">
      <c r="E341" s="22"/>
    </row>
    <row r="342" spans="5:5" ht="13">
      <c r="E342" s="22"/>
    </row>
    <row r="343" spans="5:5" ht="13">
      <c r="E343" s="22"/>
    </row>
    <row r="344" spans="5:5" ht="13">
      <c r="E344" s="22"/>
    </row>
    <row r="345" spans="5:5" ht="13">
      <c r="E345" s="22"/>
    </row>
    <row r="346" spans="5:5" ht="13">
      <c r="E346" s="22"/>
    </row>
    <row r="347" spans="5:5" ht="13">
      <c r="E347" s="22"/>
    </row>
    <row r="348" spans="5:5" ht="13">
      <c r="E348" s="22"/>
    </row>
    <row r="349" spans="5:5" ht="13">
      <c r="E349" s="22"/>
    </row>
    <row r="350" spans="5:5" ht="13">
      <c r="E350" s="22"/>
    </row>
    <row r="351" spans="5:5" ht="13">
      <c r="E351" s="22"/>
    </row>
    <row r="352" spans="5:5" ht="13">
      <c r="E352" s="22"/>
    </row>
    <row r="353" spans="5:5" ht="13">
      <c r="E353" s="22"/>
    </row>
    <row r="354" spans="5:5" ht="13">
      <c r="E354" s="22"/>
    </row>
    <row r="355" spans="5:5" ht="13">
      <c r="E355" s="22"/>
    </row>
    <row r="356" spans="5:5" ht="13">
      <c r="E356" s="22"/>
    </row>
    <row r="357" spans="5:5" ht="13">
      <c r="E357" s="22"/>
    </row>
    <row r="358" spans="5:5" ht="13">
      <c r="E358" s="22"/>
    </row>
    <row r="359" spans="5:5" ht="13">
      <c r="E359" s="22"/>
    </row>
    <row r="360" spans="5:5" ht="13">
      <c r="E360" s="22"/>
    </row>
    <row r="361" spans="5:5" ht="13">
      <c r="E361" s="22"/>
    </row>
    <row r="362" spans="5:5" ht="13">
      <c r="E362" s="22"/>
    </row>
    <row r="363" spans="5:5" ht="13">
      <c r="E363" s="22"/>
    </row>
    <row r="364" spans="5:5" ht="13">
      <c r="E364" s="22"/>
    </row>
    <row r="365" spans="5:5" ht="13">
      <c r="E365" s="22"/>
    </row>
    <row r="366" spans="5:5" ht="13">
      <c r="E366" s="22"/>
    </row>
    <row r="367" spans="5:5" ht="13">
      <c r="E367" s="22"/>
    </row>
    <row r="368" spans="5:5" ht="13">
      <c r="E368" s="22"/>
    </row>
    <row r="369" spans="5:5" ht="13">
      <c r="E369" s="22"/>
    </row>
    <row r="370" spans="5:5" ht="13">
      <c r="E370" s="22"/>
    </row>
    <row r="371" spans="5:5" ht="13">
      <c r="E371" s="22"/>
    </row>
    <row r="372" spans="5:5" ht="13">
      <c r="E372" s="22"/>
    </row>
    <row r="373" spans="5:5" ht="13">
      <c r="E373" s="22"/>
    </row>
    <row r="374" spans="5:5" ht="13">
      <c r="E374" s="22"/>
    </row>
    <row r="375" spans="5:5" ht="13">
      <c r="E375" s="22"/>
    </row>
    <row r="376" spans="5:5" ht="13">
      <c r="E376" s="22"/>
    </row>
    <row r="377" spans="5:5" ht="13">
      <c r="E377" s="22"/>
    </row>
    <row r="378" spans="5:5" ht="13">
      <c r="E378" s="22"/>
    </row>
    <row r="379" spans="5:5" ht="13">
      <c r="E379" s="22"/>
    </row>
    <row r="380" spans="5:5" ht="13">
      <c r="E380" s="22"/>
    </row>
    <row r="381" spans="5:5" ht="13">
      <c r="E381" s="22"/>
    </row>
    <row r="382" spans="5:5" ht="13">
      <c r="E382" s="22"/>
    </row>
    <row r="383" spans="5:5" ht="13">
      <c r="E383" s="22"/>
    </row>
    <row r="384" spans="5:5" ht="13">
      <c r="E384" s="22"/>
    </row>
    <row r="385" spans="5:5" ht="13">
      <c r="E385" s="22"/>
    </row>
    <row r="386" spans="5:5" ht="13">
      <c r="E386" s="22"/>
    </row>
    <row r="387" spans="5:5" ht="13">
      <c r="E387" s="22"/>
    </row>
    <row r="388" spans="5:5" ht="13">
      <c r="E388" s="22"/>
    </row>
    <row r="389" spans="5:5" ht="13">
      <c r="E389" s="22"/>
    </row>
    <row r="390" spans="5:5" ht="13">
      <c r="E390" s="22"/>
    </row>
    <row r="391" spans="5:5" ht="13">
      <c r="E391" s="22"/>
    </row>
    <row r="392" spans="5:5" ht="13">
      <c r="E392" s="22"/>
    </row>
    <row r="393" spans="5:5" ht="13">
      <c r="E393" s="22"/>
    </row>
    <row r="394" spans="5:5" ht="13">
      <c r="E394" s="22"/>
    </row>
    <row r="395" spans="5:5" ht="13">
      <c r="E395" s="22"/>
    </row>
    <row r="396" spans="5:5" ht="13">
      <c r="E396" s="22"/>
    </row>
    <row r="397" spans="5:5" ht="13">
      <c r="E397" s="22"/>
    </row>
    <row r="398" spans="5:5" ht="13">
      <c r="E398" s="22"/>
    </row>
    <row r="399" spans="5:5" ht="13">
      <c r="E399" s="22"/>
    </row>
    <row r="400" spans="5:5" ht="13">
      <c r="E400" s="22"/>
    </row>
    <row r="401" spans="5:5" ht="13">
      <c r="E401" s="22"/>
    </row>
    <row r="402" spans="5:5" ht="13">
      <c r="E402" s="22"/>
    </row>
    <row r="403" spans="5:5" ht="13">
      <c r="E403" s="22"/>
    </row>
    <row r="404" spans="5:5" ht="13">
      <c r="E404" s="22"/>
    </row>
    <row r="405" spans="5:5" ht="13">
      <c r="E405" s="22"/>
    </row>
    <row r="406" spans="5:5" ht="13">
      <c r="E406" s="22"/>
    </row>
    <row r="407" spans="5:5" ht="13">
      <c r="E407" s="22"/>
    </row>
    <row r="408" spans="5:5" ht="13">
      <c r="E408" s="22"/>
    </row>
    <row r="409" spans="5:5" ht="13">
      <c r="E409" s="22"/>
    </row>
    <row r="410" spans="5:5" ht="13">
      <c r="E410" s="22"/>
    </row>
    <row r="411" spans="5:5" ht="13">
      <c r="E411" s="22"/>
    </row>
    <row r="412" spans="5:5" ht="13">
      <c r="E412" s="22"/>
    </row>
    <row r="413" spans="5:5" ht="13">
      <c r="E413" s="22"/>
    </row>
    <row r="414" spans="5:5" ht="13">
      <c r="E414" s="22"/>
    </row>
    <row r="415" spans="5:5" ht="13">
      <c r="E415" s="22"/>
    </row>
    <row r="416" spans="5:5" ht="13">
      <c r="E416" s="22"/>
    </row>
    <row r="417" spans="5:5" ht="13">
      <c r="E417" s="22"/>
    </row>
    <row r="418" spans="5:5" ht="13">
      <c r="E418" s="22"/>
    </row>
    <row r="419" spans="5:5" ht="13">
      <c r="E419" s="22"/>
    </row>
    <row r="420" spans="5:5" ht="13">
      <c r="E420" s="22"/>
    </row>
    <row r="421" spans="5:5" ht="13">
      <c r="E421" s="22"/>
    </row>
    <row r="422" spans="5:5" ht="13">
      <c r="E422" s="22"/>
    </row>
    <row r="423" spans="5:5" ht="13">
      <c r="E423" s="22"/>
    </row>
    <row r="424" spans="5:5" ht="13">
      <c r="E424" s="22"/>
    </row>
    <row r="425" spans="5:5" ht="13">
      <c r="E425" s="22"/>
    </row>
    <row r="426" spans="5:5" ht="13">
      <c r="E426" s="22"/>
    </row>
    <row r="427" spans="5:5" ht="13">
      <c r="E427" s="22"/>
    </row>
    <row r="428" spans="5:5" ht="13">
      <c r="E428" s="22"/>
    </row>
    <row r="429" spans="5:5" ht="13">
      <c r="E429" s="22"/>
    </row>
    <row r="430" spans="5:5" ht="13">
      <c r="E430" s="22"/>
    </row>
    <row r="431" spans="5:5" ht="13">
      <c r="E431" s="22"/>
    </row>
    <row r="432" spans="5:5" ht="13">
      <c r="E432" s="22"/>
    </row>
    <row r="433" spans="5:5" ht="13">
      <c r="E433" s="22"/>
    </row>
    <row r="434" spans="5:5" ht="13">
      <c r="E434" s="22"/>
    </row>
    <row r="435" spans="5:5" ht="13">
      <c r="E435" s="22"/>
    </row>
    <row r="436" spans="5:5" ht="13">
      <c r="E436" s="22"/>
    </row>
    <row r="437" spans="5:5" ht="13">
      <c r="E437" s="22"/>
    </row>
    <row r="438" spans="5:5" ht="13">
      <c r="E438" s="22"/>
    </row>
    <row r="439" spans="5:5" ht="13">
      <c r="E439" s="22"/>
    </row>
    <row r="440" spans="5:5" ht="13">
      <c r="E440" s="22"/>
    </row>
    <row r="441" spans="5:5" ht="13">
      <c r="E441" s="22"/>
    </row>
    <row r="442" spans="5:5" ht="13">
      <c r="E442" s="22"/>
    </row>
    <row r="443" spans="5:5" ht="13">
      <c r="E443" s="22"/>
    </row>
    <row r="444" spans="5:5" ht="13">
      <c r="E444" s="22"/>
    </row>
    <row r="445" spans="5:5" ht="13">
      <c r="E445" s="22"/>
    </row>
    <row r="446" spans="5:5" ht="13">
      <c r="E446" s="22"/>
    </row>
    <row r="447" spans="5:5" ht="13">
      <c r="E447" s="22"/>
    </row>
    <row r="448" spans="5:5" ht="13">
      <c r="E448" s="22"/>
    </row>
    <row r="449" spans="5:5" ht="13">
      <c r="E449" s="22"/>
    </row>
    <row r="450" spans="5:5" ht="13">
      <c r="E450" s="22"/>
    </row>
    <row r="451" spans="5:5" ht="13">
      <c r="E451" s="22"/>
    </row>
    <row r="452" spans="5:5" ht="13">
      <c r="E452" s="22"/>
    </row>
    <row r="453" spans="5:5" ht="13">
      <c r="E453" s="22"/>
    </row>
    <row r="454" spans="5:5" ht="13">
      <c r="E454" s="22"/>
    </row>
    <row r="455" spans="5:5" ht="13">
      <c r="E455" s="22"/>
    </row>
    <row r="456" spans="5:5" ht="13">
      <c r="E456" s="22"/>
    </row>
    <row r="457" spans="5:5" ht="13">
      <c r="E457" s="22"/>
    </row>
    <row r="458" spans="5:5" ht="13">
      <c r="E458" s="22"/>
    </row>
    <row r="459" spans="5:5" ht="13">
      <c r="E459" s="22"/>
    </row>
    <row r="460" spans="5:5" ht="13">
      <c r="E460" s="22"/>
    </row>
    <row r="461" spans="5:5" ht="13">
      <c r="E461" s="22"/>
    </row>
    <row r="462" spans="5:5" ht="13">
      <c r="E462" s="22"/>
    </row>
    <row r="463" spans="5:5" ht="13">
      <c r="E463" s="22"/>
    </row>
    <row r="464" spans="5:5" ht="13">
      <c r="E464" s="22"/>
    </row>
    <row r="465" spans="5:5" ht="13">
      <c r="E465" s="22"/>
    </row>
    <row r="466" spans="5:5" ht="13">
      <c r="E466" s="22"/>
    </row>
    <row r="467" spans="5:5" ht="13">
      <c r="E467" s="22"/>
    </row>
    <row r="468" spans="5:5" ht="13">
      <c r="E468" s="22"/>
    </row>
    <row r="469" spans="5:5" ht="13">
      <c r="E469" s="22"/>
    </row>
    <row r="470" spans="5:5" ht="13">
      <c r="E470" s="22"/>
    </row>
    <row r="471" spans="5:5" ht="13">
      <c r="E471" s="22"/>
    </row>
    <row r="472" spans="5:5" ht="13">
      <c r="E472" s="22"/>
    </row>
    <row r="473" spans="5:5" ht="13">
      <c r="E473" s="22"/>
    </row>
    <row r="474" spans="5:5" ht="13">
      <c r="E474" s="22"/>
    </row>
    <row r="475" spans="5:5" ht="13">
      <c r="E475" s="22"/>
    </row>
    <row r="476" spans="5:5" ht="13">
      <c r="E476" s="22"/>
    </row>
    <row r="477" spans="5:5" ht="13">
      <c r="E477" s="22"/>
    </row>
    <row r="478" spans="5:5" ht="13">
      <c r="E478" s="22"/>
    </row>
    <row r="479" spans="5:5" ht="13">
      <c r="E479" s="22"/>
    </row>
    <row r="480" spans="5:5" ht="13">
      <c r="E480" s="22"/>
    </row>
    <row r="481" spans="5:5" ht="13">
      <c r="E481" s="22"/>
    </row>
    <row r="482" spans="5:5" ht="13">
      <c r="E482" s="22"/>
    </row>
    <row r="483" spans="5:5" ht="13">
      <c r="E483" s="22"/>
    </row>
    <row r="484" spans="5:5" ht="13">
      <c r="E484" s="22"/>
    </row>
    <row r="485" spans="5:5" ht="13">
      <c r="E485" s="22"/>
    </row>
    <row r="486" spans="5:5" ht="13">
      <c r="E486" s="22"/>
    </row>
    <row r="487" spans="5:5" ht="13">
      <c r="E487" s="22"/>
    </row>
    <row r="488" spans="5:5" ht="13">
      <c r="E488" s="22"/>
    </row>
    <row r="489" spans="5:5" ht="13">
      <c r="E489" s="22"/>
    </row>
    <row r="490" spans="5:5" ht="13">
      <c r="E490" s="22"/>
    </row>
    <row r="491" spans="5:5" ht="13">
      <c r="E491" s="22"/>
    </row>
    <row r="492" spans="5:5" ht="13">
      <c r="E492" s="22"/>
    </row>
    <row r="493" spans="5:5" ht="13">
      <c r="E493" s="22"/>
    </row>
    <row r="494" spans="5:5" ht="13">
      <c r="E494" s="22"/>
    </row>
    <row r="495" spans="5:5" ht="13">
      <c r="E495" s="22"/>
    </row>
    <row r="496" spans="5:5" ht="13">
      <c r="E496" s="22"/>
    </row>
    <row r="497" spans="5:5" ht="13">
      <c r="E497" s="22"/>
    </row>
    <row r="498" spans="5:5" ht="13">
      <c r="E498" s="22"/>
    </row>
    <row r="499" spans="5:5" ht="13">
      <c r="E499" s="22"/>
    </row>
    <row r="500" spans="5:5" ht="13">
      <c r="E500" s="22"/>
    </row>
    <row r="501" spans="5:5" ht="13">
      <c r="E501" s="22"/>
    </row>
    <row r="502" spans="5:5" ht="13">
      <c r="E502" s="22"/>
    </row>
    <row r="503" spans="5:5" ht="13">
      <c r="E503" s="22"/>
    </row>
    <row r="504" spans="5:5" ht="13">
      <c r="E504" s="22"/>
    </row>
    <row r="505" spans="5:5" ht="13">
      <c r="E505" s="22"/>
    </row>
    <row r="506" spans="5:5" ht="13">
      <c r="E506" s="22"/>
    </row>
    <row r="507" spans="5:5" ht="13">
      <c r="E507" s="22"/>
    </row>
    <row r="508" spans="5:5" ht="13">
      <c r="E508" s="22"/>
    </row>
    <row r="509" spans="5:5" ht="13">
      <c r="E509" s="22"/>
    </row>
    <row r="510" spans="5:5" ht="13">
      <c r="E510" s="22"/>
    </row>
    <row r="511" spans="5:5" ht="13">
      <c r="E511" s="22"/>
    </row>
    <row r="512" spans="5:5" ht="13">
      <c r="E512" s="22"/>
    </row>
    <row r="513" spans="5:5" ht="13">
      <c r="E513" s="22"/>
    </row>
    <row r="514" spans="5:5" ht="13">
      <c r="E514" s="22"/>
    </row>
    <row r="515" spans="5:5" ht="13">
      <c r="E515" s="22"/>
    </row>
    <row r="516" spans="5:5" ht="13">
      <c r="E516" s="22"/>
    </row>
    <row r="517" spans="5:5" ht="13">
      <c r="E517" s="22"/>
    </row>
    <row r="518" spans="5:5" ht="13">
      <c r="E518" s="22"/>
    </row>
    <row r="519" spans="5:5" ht="13">
      <c r="E519" s="22"/>
    </row>
    <row r="520" spans="5:5" ht="13">
      <c r="E520" s="22"/>
    </row>
    <row r="521" spans="5:5" ht="13">
      <c r="E521" s="22"/>
    </row>
    <row r="522" spans="5:5" ht="13">
      <c r="E522" s="22"/>
    </row>
    <row r="523" spans="5:5" ht="13">
      <c r="E523" s="22"/>
    </row>
    <row r="524" spans="5:5" ht="13">
      <c r="E524" s="22"/>
    </row>
    <row r="525" spans="5:5" ht="13">
      <c r="E525" s="22"/>
    </row>
    <row r="526" spans="5:5" ht="13">
      <c r="E526" s="22"/>
    </row>
    <row r="527" spans="5:5" ht="13">
      <c r="E527" s="22"/>
    </row>
    <row r="528" spans="5:5" ht="13">
      <c r="E528" s="22"/>
    </row>
    <row r="529" spans="5:5" ht="13">
      <c r="E529" s="22"/>
    </row>
    <row r="530" spans="5:5" ht="13">
      <c r="E530" s="22"/>
    </row>
    <row r="531" spans="5:5" ht="13">
      <c r="E531" s="22"/>
    </row>
    <row r="532" spans="5:5" ht="13">
      <c r="E532" s="22"/>
    </row>
    <row r="533" spans="5:5" ht="13">
      <c r="E533" s="22"/>
    </row>
    <row r="534" spans="5:5" ht="13">
      <c r="E534" s="22"/>
    </row>
    <row r="535" spans="5:5" ht="13">
      <c r="E535" s="22"/>
    </row>
    <row r="536" spans="5:5" ht="13">
      <c r="E536" s="22"/>
    </row>
    <row r="537" spans="5:5" ht="13">
      <c r="E537" s="22"/>
    </row>
    <row r="538" spans="5:5" ht="13">
      <c r="E538" s="22"/>
    </row>
    <row r="539" spans="5:5" ht="13">
      <c r="E539" s="22"/>
    </row>
    <row r="540" spans="5:5" ht="13">
      <c r="E540" s="22"/>
    </row>
    <row r="541" spans="5:5" ht="13">
      <c r="E541" s="22"/>
    </row>
    <row r="542" spans="5:5" ht="13">
      <c r="E542" s="22"/>
    </row>
    <row r="543" spans="5:5" ht="13">
      <c r="E543" s="22"/>
    </row>
    <row r="544" spans="5:5" ht="13">
      <c r="E544" s="22"/>
    </row>
    <row r="545" spans="5:5" ht="13">
      <c r="E545" s="22"/>
    </row>
    <row r="546" spans="5:5" ht="13">
      <c r="E546" s="22"/>
    </row>
    <row r="547" spans="5:5" ht="13">
      <c r="E547" s="22"/>
    </row>
    <row r="548" spans="5:5" ht="13">
      <c r="E548" s="22"/>
    </row>
    <row r="549" spans="5:5" ht="13">
      <c r="E549" s="22"/>
    </row>
    <row r="550" spans="5:5" ht="13">
      <c r="E550" s="22"/>
    </row>
    <row r="551" spans="5:5" ht="13">
      <c r="E551" s="22"/>
    </row>
    <row r="552" spans="5:5" ht="13">
      <c r="E552" s="22"/>
    </row>
    <row r="553" spans="5:5" ht="13">
      <c r="E553" s="22"/>
    </row>
    <row r="554" spans="5:5" ht="13">
      <c r="E554" s="22"/>
    </row>
    <row r="555" spans="5:5" ht="13">
      <c r="E555" s="22"/>
    </row>
    <row r="556" spans="5:5" ht="13">
      <c r="E556" s="22"/>
    </row>
    <row r="557" spans="5:5" ht="13">
      <c r="E557" s="22"/>
    </row>
    <row r="558" spans="5:5" ht="13">
      <c r="E558" s="22"/>
    </row>
    <row r="559" spans="5:5" ht="13">
      <c r="E559" s="22"/>
    </row>
    <row r="560" spans="5:5" ht="13">
      <c r="E560" s="22"/>
    </row>
    <row r="561" spans="5:5" ht="13">
      <c r="E561" s="22"/>
    </row>
    <row r="562" spans="5:5" ht="13">
      <c r="E562" s="22"/>
    </row>
    <row r="563" spans="5:5" ht="13">
      <c r="E563" s="22"/>
    </row>
    <row r="564" spans="5:5" ht="13">
      <c r="E564" s="22"/>
    </row>
    <row r="565" spans="5:5" ht="13">
      <c r="E565" s="22"/>
    </row>
    <row r="566" spans="5:5" ht="13">
      <c r="E566" s="22"/>
    </row>
    <row r="567" spans="5:5" ht="13">
      <c r="E567" s="22"/>
    </row>
    <row r="568" spans="5:5" ht="13">
      <c r="E568" s="22"/>
    </row>
    <row r="569" spans="5:5" ht="13">
      <c r="E569" s="22"/>
    </row>
    <row r="570" spans="5:5" ht="13">
      <c r="E570" s="22"/>
    </row>
    <row r="571" spans="5:5" ht="13">
      <c r="E571" s="22"/>
    </row>
    <row r="572" spans="5:5" ht="13">
      <c r="E572" s="22"/>
    </row>
    <row r="573" spans="5:5" ht="13">
      <c r="E573" s="22"/>
    </row>
    <row r="574" spans="5:5" ht="13">
      <c r="E574" s="22"/>
    </row>
    <row r="575" spans="5:5" ht="13">
      <c r="E575" s="22"/>
    </row>
    <row r="576" spans="5:5" ht="13">
      <c r="E576" s="22"/>
    </row>
    <row r="577" spans="5:5" ht="13">
      <c r="E577" s="22"/>
    </row>
    <row r="578" spans="5:5" ht="13">
      <c r="E578" s="22"/>
    </row>
    <row r="579" spans="5:5" ht="13">
      <c r="E579" s="22"/>
    </row>
    <row r="580" spans="5:5" ht="13">
      <c r="E580" s="22"/>
    </row>
    <row r="581" spans="5:5" ht="13">
      <c r="E581" s="22"/>
    </row>
    <row r="582" spans="5:5" ht="13">
      <c r="E582" s="22"/>
    </row>
    <row r="583" spans="5:5" ht="13">
      <c r="E583" s="22"/>
    </row>
    <row r="584" spans="5:5" ht="13">
      <c r="E584" s="22"/>
    </row>
    <row r="585" spans="5:5" ht="13">
      <c r="E585" s="22"/>
    </row>
    <row r="586" spans="5:5" ht="13">
      <c r="E586" s="22"/>
    </row>
    <row r="587" spans="5:5" ht="13">
      <c r="E587" s="22"/>
    </row>
    <row r="588" spans="5:5" ht="13">
      <c r="E588" s="22"/>
    </row>
    <row r="589" spans="5:5" ht="13">
      <c r="E589" s="22"/>
    </row>
    <row r="590" spans="5:5" ht="13">
      <c r="E590" s="22"/>
    </row>
    <row r="591" spans="5:5" ht="13">
      <c r="E591" s="22"/>
    </row>
    <row r="592" spans="5:5" ht="13">
      <c r="E592" s="22"/>
    </row>
    <row r="593" spans="5:5" ht="13">
      <c r="E593" s="22"/>
    </row>
    <row r="594" spans="5:5" ht="13">
      <c r="E594" s="22"/>
    </row>
    <row r="595" spans="5:5" ht="13">
      <c r="E595" s="22"/>
    </row>
    <row r="596" spans="5:5" ht="13">
      <c r="E596" s="22"/>
    </row>
    <row r="597" spans="5:5" ht="13">
      <c r="E597" s="22"/>
    </row>
    <row r="598" spans="5:5" ht="13">
      <c r="E598" s="22"/>
    </row>
    <row r="599" spans="5:5" ht="13">
      <c r="E599" s="22"/>
    </row>
    <row r="600" spans="5:5" ht="13">
      <c r="E600" s="22"/>
    </row>
    <row r="601" spans="5:5" ht="13">
      <c r="E601" s="22"/>
    </row>
    <row r="602" spans="5:5" ht="13">
      <c r="E602" s="22"/>
    </row>
    <row r="603" spans="5:5" ht="13">
      <c r="E603" s="22"/>
    </row>
    <row r="604" spans="5:5" ht="13">
      <c r="E604" s="22"/>
    </row>
    <row r="605" spans="5:5" ht="13">
      <c r="E605" s="22"/>
    </row>
    <row r="606" spans="5:5" ht="13">
      <c r="E606" s="22"/>
    </row>
    <row r="607" spans="5:5" ht="13">
      <c r="E607" s="22"/>
    </row>
    <row r="608" spans="5:5" ht="13">
      <c r="E608" s="22"/>
    </row>
    <row r="609" spans="5:5" ht="13">
      <c r="E609" s="22"/>
    </row>
    <row r="610" spans="5:5" ht="13">
      <c r="E610" s="22"/>
    </row>
    <row r="611" spans="5:5" ht="13">
      <c r="E611" s="22"/>
    </row>
    <row r="612" spans="5:5" ht="13">
      <c r="E612" s="22"/>
    </row>
    <row r="613" spans="5:5" ht="13">
      <c r="E613" s="22"/>
    </row>
    <row r="614" spans="5:5" ht="13">
      <c r="E614" s="22"/>
    </row>
    <row r="615" spans="5:5" ht="13">
      <c r="E615" s="22"/>
    </row>
    <row r="616" spans="5:5" ht="13">
      <c r="E616" s="22"/>
    </row>
    <row r="617" spans="5:5" ht="13">
      <c r="E617" s="22"/>
    </row>
    <row r="618" spans="5:5" ht="13">
      <c r="E618" s="22"/>
    </row>
    <row r="619" spans="5:5" ht="13">
      <c r="E619" s="22"/>
    </row>
    <row r="620" spans="5:5" ht="13">
      <c r="E620" s="22"/>
    </row>
    <row r="621" spans="5:5" ht="13">
      <c r="E621" s="22"/>
    </row>
    <row r="622" spans="5:5" ht="13">
      <c r="E622" s="22"/>
    </row>
    <row r="623" spans="5:5" ht="13">
      <c r="E623" s="22"/>
    </row>
    <row r="624" spans="5:5" ht="13">
      <c r="E624" s="22"/>
    </row>
    <row r="625" spans="5:5" ht="13">
      <c r="E625" s="22"/>
    </row>
    <row r="626" spans="5:5" ht="13">
      <c r="E626" s="22"/>
    </row>
    <row r="627" spans="5:5" ht="13">
      <c r="E627" s="22"/>
    </row>
    <row r="628" spans="5:5" ht="13">
      <c r="E628" s="22"/>
    </row>
    <row r="629" spans="5:5" ht="13">
      <c r="E629" s="22"/>
    </row>
    <row r="630" spans="5:5" ht="13">
      <c r="E630" s="22"/>
    </row>
    <row r="631" spans="5:5" ht="13">
      <c r="E631" s="22"/>
    </row>
    <row r="632" spans="5:5" ht="13">
      <c r="E632" s="22"/>
    </row>
    <row r="633" spans="5:5" ht="13">
      <c r="E633" s="22"/>
    </row>
    <row r="634" spans="5:5" ht="13">
      <c r="E634" s="22"/>
    </row>
    <row r="635" spans="5:5" ht="13">
      <c r="E635" s="22"/>
    </row>
    <row r="636" spans="5:5" ht="13">
      <c r="E636" s="22"/>
    </row>
    <row r="637" spans="5:5" ht="13">
      <c r="E637" s="22"/>
    </row>
    <row r="638" spans="5:5" ht="13">
      <c r="E638" s="22"/>
    </row>
    <row r="639" spans="5:5" ht="13">
      <c r="E639" s="22"/>
    </row>
    <row r="640" spans="5:5" ht="13">
      <c r="E640" s="22"/>
    </row>
    <row r="641" spans="5:5" ht="13">
      <c r="E641" s="22"/>
    </row>
    <row r="642" spans="5:5" ht="13">
      <c r="E642" s="22"/>
    </row>
    <row r="643" spans="5:5" ht="13">
      <c r="E643" s="22"/>
    </row>
    <row r="644" spans="5:5" ht="13">
      <c r="E644" s="22"/>
    </row>
    <row r="645" spans="5:5" ht="13">
      <c r="E645" s="22"/>
    </row>
    <row r="646" spans="5:5" ht="13">
      <c r="E646" s="22"/>
    </row>
    <row r="647" spans="5:5" ht="13">
      <c r="E647" s="22"/>
    </row>
    <row r="648" spans="5:5" ht="13">
      <c r="E648" s="22"/>
    </row>
    <row r="649" spans="5:5" ht="13">
      <c r="E649" s="22"/>
    </row>
    <row r="650" spans="5:5" ht="13">
      <c r="E650" s="22"/>
    </row>
    <row r="651" spans="5:5" ht="13">
      <c r="E651" s="22"/>
    </row>
    <row r="652" spans="5:5" ht="13">
      <c r="E652" s="22"/>
    </row>
    <row r="653" spans="5:5" ht="13">
      <c r="E653" s="22"/>
    </row>
    <row r="654" spans="5:5" ht="13">
      <c r="E654" s="22"/>
    </row>
    <row r="655" spans="5:5" ht="13">
      <c r="E655" s="22"/>
    </row>
    <row r="656" spans="5:5" ht="13">
      <c r="E656" s="22"/>
    </row>
    <row r="657" spans="5:5" ht="13">
      <c r="E657" s="22"/>
    </row>
    <row r="658" spans="5:5" ht="13">
      <c r="E658" s="22"/>
    </row>
    <row r="659" spans="5:5" ht="13">
      <c r="E659" s="22"/>
    </row>
    <row r="660" spans="5:5" ht="13">
      <c r="E660" s="22"/>
    </row>
    <row r="661" spans="5:5" ht="13">
      <c r="E661" s="22"/>
    </row>
    <row r="662" spans="5:5" ht="13">
      <c r="E662" s="22"/>
    </row>
    <row r="663" spans="5:5" ht="13">
      <c r="E663" s="22"/>
    </row>
    <row r="664" spans="5:5" ht="13">
      <c r="E664" s="22"/>
    </row>
    <row r="665" spans="5:5" ht="13">
      <c r="E665" s="22"/>
    </row>
    <row r="666" spans="5:5" ht="13">
      <c r="E666" s="22"/>
    </row>
    <row r="667" spans="5:5" ht="13">
      <c r="E667" s="22"/>
    </row>
    <row r="668" spans="5:5" ht="13">
      <c r="E668" s="22"/>
    </row>
    <row r="669" spans="5:5" ht="13">
      <c r="E669" s="22"/>
    </row>
    <row r="670" spans="5:5" ht="13">
      <c r="E670" s="22"/>
    </row>
    <row r="671" spans="5:5" ht="13">
      <c r="E671" s="22"/>
    </row>
    <row r="672" spans="5:5" ht="13">
      <c r="E672" s="22"/>
    </row>
    <row r="673" spans="5:5" ht="13">
      <c r="E673" s="22"/>
    </row>
    <row r="674" spans="5:5" ht="13">
      <c r="E674" s="22"/>
    </row>
    <row r="675" spans="5:5" ht="13">
      <c r="E675" s="22"/>
    </row>
    <row r="676" spans="5:5" ht="13">
      <c r="E676" s="22"/>
    </row>
    <row r="677" spans="5:5" ht="13">
      <c r="E677" s="22"/>
    </row>
    <row r="678" spans="5:5" ht="13">
      <c r="E678" s="22"/>
    </row>
    <row r="679" spans="5:5" ht="13">
      <c r="E679" s="22"/>
    </row>
    <row r="680" spans="5:5" ht="13">
      <c r="E680" s="22"/>
    </row>
    <row r="681" spans="5:5" ht="13">
      <c r="E681" s="22"/>
    </row>
    <row r="682" spans="5:5" ht="13">
      <c r="E682" s="22"/>
    </row>
    <row r="683" spans="5:5" ht="13">
      <c r="E683" s="22"/>
    </row>
    <row r="684" spans="5:5" ht="13">
      <c r="E684" s="22"/>
    </row>
    <row r="685" spans="5:5" ht="13">
      <c r="E685" s="22"/>
    </row>
    <row r="686" spans="5:5" ht="13">
      <c r="E686" s="22"/>
    </row>
    <row r="687" spans="5:5" ht="13">
      <c r="E687" s="22"/>
    </row>
    <row r="688" spans="5:5" ht="13">
      <c r="E688" s="22"/>
    </row>
    <row r="689" spans="5:5" ht="13">
      <c r="E689" s="22"/>
    </row>
    <row r="690" spans="5:5" ht="13">
      <c r="E690" s="22"/>
    </row>
    <row r="691" spans="5:5" ht="13">
      <c r="E691" s="22"/>
    </row>
    <row r="692" spans="5:5" ht="13">
      <c r="E692" s="22"/>
    </row>
    <row r="693" spans="5:5" ht="13">
      <c r="E693" s="22"/>
    </row>
    <row r="694" spans="5:5" ht="13">
      <c r="E694" s="22"/>
    </row>
    <row r="695" spans="5:5" ht="13">
      <c r="E695" s="22"/>
    </row>
    <row r="696" spans="5:5" ht="13">
      <c r="E696" s="22"/>
    </row>
    <row r="697" spans="5:5" ht="13">
      <c r="E697" s="22"/>
    </row>
    <row r="698" spans="5:5" ht="13">
      <c r="E698" s="22"/>
    </row>
    <row r="699" spans="5:5" ht="13">
      <c r="E699" s="22"/>
    </row>
    <row r="700" spans="5:5" ht="13">
      <c r="E700" s="22"/>
    </row>
    <row r="701" spans="5:5" ht="13">
      <c r="E701" s="22"/>
    </row>
    <row r="702" spans="5:5" ht="13">
      <c r="E702" s="22"/>
    </row>
    <row r="703" spans="5:5" ht="13">
      <c r="E703" s="22"/>
    </row>
    <row r="704" spans="5:5" ht="13">
      <c r="E704" s="22"/>
    </row>
    <row r="705" spans="5:5" ht="13">
      <c r="E705" s="22"/>
    </row>
    <row r="706" spans="5:5" ht="13">
      <c r="E706" s="22"/>
    </row>
    <row r="707" spans="5:5" ht="13">
      <c r="E707" s="22"/>
    </row>
    <row r="708" spans="5:5" ht="13">
      <c r="E708" s="22"/>
    </row>
    <row r="709" spans="5:5" ht="13">
      <c r="E709" s="22"/>
    </row>
    <row r="710" spans="5:5" ht="13">
      <c r="E710" s="22"/>
    </row>
    <row r="711" spans="5:5" ht="13">
      <c r="E711" s="22"/>
    </row>
    <row r="712" spans="5:5" ht="13">
      <c r="E712" s="22"/>
    </row>
    <row r="713" spans="5:5" ht="13">
      <c r="E713" s="22"/>
    </row>
    <row r="714" spans="5:5" ht="13">
      <c r="E714" s="22"/>
    </row>
    <row r="715" spans="5:5" ht="13">
      <c r="E715" s="22"/>
    </row>
    <row r="716" spans="5:5" ht="13">
      <c r="E716" s="22"/>
    </row>
    <row r="717" spans="5:5" ht="13">
      <c r="E717" s="22"/>
    </row>
    <row r="718" spans="5:5" ht="13">
      <c r="E718" s="22"/>
    </row>
    <row r="719" spans="5:5" ht="13">
      <c r="E719" s="22"/>
    </row>
    <row r="720" spans="5:5" ht="13">
      <c r="E720" s="22"/>
    </row>
    <row r="721" spans="5:5" ht="13">
      <c r="E721" s="22"/>
    </row>
    <row r="722" spans="5:5" ht="13">
      <c r="E722" s="22"/>
    </row>
    <row r="723" spans="5:5" ht="13">
      <c r="E723" s="22"/>
    </row>
    <row r="724" spans="5:5" ht="13">
      <c r="E724" s="22"/>
    </row>
    <row r="725" spans="5:5" ht="13">
      <c r="E725" s="22"/>
    </row>
    <row r="726" spans="5:5" ht="13">
      <c r="E726" s="22"/>
    </row>
    <row r="727" spans="5:5" ht="13">
      <c r="E727" s="22"/>
    </row>
    <row r="728" spans="5:5" ht="13">
      <c r="E728" s="22"/>
    </row>
    <row r="729" spans="5:5" ht="13">
      <c r="E729" s="22"/>
    </row>
    <row r="730" spans="5:5" ht="13">
      <c r="E730" s="22"/>
    </row>
    <row r="731" spans="5:5" ht="13">
      <c r="E731" s="22"/>
    </row>
    <row r="732" spans="5:5" ht="13">
      <c r="E732" s="22"/>
    </row>
    <row r="733" spans="5:5" ht="13">
      <c r="E733" s="22"/>
    </row>
    <row r="734" spans="5:5" ht="13">
      <c r="E734" s="22"/>
    </row>
    <row r="735" spans="5:5" ht="13">
      <c r="E735" s="22"/>
    </row>
    <row r="736" spans="5:5" ht="13">
      <c r="E736" s="22"/>
    </row>
    <row r="737" spans="5:5" ht="13">
      <c r="E737" s="22"/>
    </row>
    <row r="738" spans="5:5" ht="13">
      <c r="E738" s="22"/>
    </row>
    <row r="739" spans="5:5" ht="13">
      <c r="E739" s="22"/>
    </row>
    <row r="740" spans="5:5" ht="13">
      <c r="E740" s="22"/>
    </row>
    <row r="741" spans="5:5" ht="13">
      <c r="E741" s="22"/>
    </row>
    <row r="742" spans="5:5" ht="13">
      <c r="E742" s="22"/>
    </row>
    <row r="743" spans="5:5" ht="13">
      <c r="E743" s="22"/>
    </row>
    <row r="744" spans="5:5" ht="13">
      <c r="E744" s="22"/>
    </row>
    <row r="745" spans="5:5" ht="13">
      <c r="E745" s="22"/>
    </row>
    <row r="746" spans="5:5" ht="13">
      <c r="E746" s="22"/>
    </row>
    <row r="747" spans="5:5" ht="13">
      <c r="E747" s="22"/>
    </row>
    <row r="748" spans="5:5" ht="13">
      <c r="E748" s="22"/>
    </row>
    <row r="749" spans="5:5" ht="13">
      <c r="E749" s="22"/>
    </row>
    <row r="750" spans="5:5" ht="13">
      <c r="E750" s="22"/>
    </row>
    <row r="751" spans="5:5" ht="13">
      <c r="E751" s="22"/>
    </row>
    <row r="752" spans="5:5" ht="13">
      <c r="E752" s="22"/>
    </row>
    <row r="753" spans="5:5" ht="13">
      <c r="E753" s="22"/>
    </row>
    <row r="754" spans="5:5" ht="13">
      <c r="E754" s="22"/>
    </row>
    <row r="755" spans="5:5" ht="13">
      <c r="E755" s="22"/>
    </row>
    <row r="756" spans="5:5" ht="13">
      <c r="E756" s="22"/>
    </row>
    <row r="757" spans="5:5" ht="13">
      <c r="E757" s="22"/>
    </row>
    <row r="758" spans="5:5" ht="13">
      <c r="E758" s="22"/>
    </row>
    <row r="759" spans="5:5" ht="13">
      <c r="E759" s="22"/>
    </row>
    <row r="760" spans="5:5" ht="13">
      <c r="E760" s="22"/>
    </row>
    <row r="761" spans="5:5" ht="13">
      <c r="E761" s="22"/>
    </row>
    <row r="762" spans="5:5" ht="13">
      <c r="E762" s="22"/>
    </row>
    <row r="763" spans="5:5" ht="13">
      <c r="E763" s="22"/>
    </row>
    <row r="764" spans="5:5" ht="13">
      <c r="E764" s="22"/>
    </row>
    <row r="765" spans="5:5" ht="13">
      <c r="E765" s="22"/>
    </row>
    <row r="766" spans="5:5" ht="13">
      <c r="E766" s="22"/>
    </row>
    <row r="767" spans="5:5" ht="13">
      <c r="E767" s="22"/>
    </row>
    <row r="768" spans="5:5" ht="13">
      <c r="E768" s="22"/>
    </row>
    <row r="769" spans="5:5" ht="13">
      <c r="E769" s="22"/>
    </row>
    <row r="770" spans="5:5" ht="13">
      <c r="E770" s="22"/>
    </row>
    <row r="771" spans="5:5" ht="13">
      <c r="E771" s="22"/>
    </row>
    <row r="772" spans="5:5" ht="13">
      <c r="E772" s="22"/>
    </row>
    <row r="773" spans="5:5" ht="13">
      <c r="E773" s="22"/>
    </row>
    <row r="774" spans="5:5" ht="13">
      <c r="E774" s="22"/>
    </row>
    <row r="775" spans="5:5" ht="13">
      <c r="E775" s="22"/>
    </row>
    <row r="776" spans="5:5" ht="13">
      <c r="E776" s="22"/>
    </row>
    <row r="777" spans="5:5" ht="13">
      <c r="E777" s="22"/>
    </row>
    <row r="778" spans="5:5" ht="13">
      <c r="E778" s="22"/>
    </row>
    <row r="779" spans="5:5" ht="13">
      <c r="E779" s="22"/>
    </row>
    <row r="780" spans="5:5" ht="13">
      <c r="E780" s="22"/>
    </row>
    <row r="781" spans="5:5" ht="13">
      <c r="E781" s="22"/>
    </row>
    <row r="782" spans="5:5" ht="13">
      <c r="E782" s="22"/>
    </row>
    <row r="783" spans="5:5" ht="13">
      <c r="E783" s="22"/>
    </row>
    <row r="784" spans="5:5" ht="13">
      <c r="E784" s="22"/>
    </row>
    <row r="785" spans="5:5" ht="13">
      <c r="E785" s="22"/>
    </row>
    <row r="786" spans="5:5" ht="13">
      <c r="E786" s="22"/>
    </row>
    <row r="787" spans="5:5" ht="13">
      <c r="E787" s="22"/>
    </row>
    <row r="788" spans="5:5" ht="13">
      <c r="E788" s="22"/>
    </row>
    <row r="789" spans="5:5" ht="13">
      <c r="E789" s="22"/>
    </row>
    <row r="790" spans="5:5" ht="13">
      <c r="E790" s="22"/>
    </row>
    <row r="791" spans="5:5" ht="13">
      <c r="E791" s="22"/>
    </row>
    <row r="792" spans="5:5" ht="13">
      <c r="E792" s="22"/>
    </row>
    <row r="793" spans="5:5" ht="13">
      <c r="E793" s="22"/>
    </row>
    <row r="794" spans="5:5" ht="13">
      <c r="E794" s="22"/>
    </row>
    <row r="795" spans="5:5" ht="13">
      <c r="E795" s="22"/>
    </row>
    <row r="796" spans="5:5" ht="13">
      <c r="E796" s="22"/>
    </row>
    <row r="797" spans="5:5" ht="13">
      <c r="E797" s="22"/>
    </row>
    <row r="798" spans="5:5" ht="13">
      <c r="E798" s="22"/>
    </row>
    <row r="799" spans="5:5" ht="13">
      <c r="E799" s="22"/>
    </row>
    <row r="800" spans="5:5" ht="13">
      <c r="E800" s="22"/>
    </row>
    <row r="801" spans="5:5" ht="13">
      <c r="E801" s="22"/>
    </row>
    <row r="802" spans="5:5" ht="13">
      <c r="E802" s="22"/>
    </row>
    <row r="803" spans="5:5" ht="13">
      <c r="E803" s="22"/>
    </row>
    <row r="804" spans="5:5" ht="13">
      <c r="E804" s="22"/>
    </row>
    <row r="805" spans="5:5" ht="13">
      <c r="E805" s="22"/>
    </row>
    <row r="806" spans="5:5" ht="13">
      <c r="E806" s="22"/>
    </row>
    <row r="807" spans="5:5" ht="13">
      <c r="E807" s="22"/>
    </row>
    <row r="808" spans="5:5" ht="13">
      <c r="E808" s="22"/>
    </row>
    <row r="809" spans="5:5" ht="13">
      <c r="E809" s="22"/>
    </row>
    <row r="810" spans="5:5" ht="13">
      <c r="E810" s="22"/>
    </row>
    <row r="811" spans="5:5" ht="13">
      <c r="E811" s="22"/>
    </row>
    <row r="812" spans="5:5" ht="13">
      <c r="E812" s="22"/>
    </row>
    <row r="813" spans="5:5" ht="13">
      <c r="E813" s="22"/>
    </row>
    <row r="814" spans="5:5" ht="13">
      <c r="E814" s="22"/>
    </row>
    <row r="815" spans="5:5" ht="13">
      <c r="E815" s="22"/>
    </row>
    <row r="816" spans="5:5" ht="13">
      <c r="E816" s="22"/>
    </row>
    <row r="817" spans="5:5" ht="13">
      <c r="E817" s="22"/>
    </row>
    <row r="818" spans="5:5" ht="13">
      <c r="E818" s="22"/>
    </row>
    <row r="819" spans="5:5" ht="13">
      <c r="E819" s="22"/>
    </row>
    <row r="820" spans="5:5" ht="13">
      <c r="E820" s="22"/>
    </row>
    <row r="821" spans="5:5" ht="13">
      <c r="E821" s="22"/>
    </row>
    <row r="822" spans="5:5" ht="13">
      <c r="E822" s="22"/>
    </row>
    <row r="823" spans="5:5" ht="13">
      <c r="E823" s="22"/>
    </row>
    <row r="824" spans="5:5" ht="13">
      <c r="E824" s="22"/>
    </row>
    <row r="825" spans="5:5" ht="13">
      <c r="E825" s="22"/>
    </row>
    <row r="826" spans="5:5" ht="13">
      <c r="E826" s="22"/>
    </row>
    <row r="827" spans="5:5" ht="13">
      <c r="E827" s="22"/>
    </row>
    <row r="828" spans="5:5" ht="13">
      <c r="E828" s="22"/>
    </row>
    <row r="829" spans="5:5" ht="13">
      <c r="E829" s="22"/>
    </row>
    <row r="830" spans="5:5" ht="13">
      <c r="E830" s="22"/>
    </row>
    <row r="831" spans="5:5" ht="13">
      <c r="E831" s="22"/>
    </row>
    <row r="832" spans="5:5" ht="13">
      <c r="E832" s="22"/>
    </row>
    <row r="833" spans="5:5" ht="13">
      <c r="E833" s="22"/>
    </row>
    <row r="834" spans="5:5" ht="13">
      <c r="E834" s="22"/>
    </row>
    <row r="835" spans="5:5" ht="13">
      <c r="E835" s="22"/>
    </row>
    <row r="836" spans="5:5" ht="13">
      <c r="E836" s="22"/>
    </row>
    <row r="837" spans="5:5" ht="13">
      <c r="E837" s="22"/>
    </row>
    <row r="838" spans="5:5" ht="13">
      <c r="E838" s="22"/>
    </row>
    <row r="839" spans="5:5" ht="13">
      <c r="E839" s="22"/>
    </row>
    <row r="840" spans="5:5" ht="13">
      <c r="E840" s="22"/>
    </row>
    <row r="841" spans="5:5" ht="13">
      <c r="E841" s="22"/>
    </row>
    <row r="842" spans="5:5" ht="13">
      <c r="E842" s="22"/>
    </row>
    <row r="843" spans="5:5" ht="13">
      <c r="E843" s="22"/>
    </row>
    <row r="844" spans="5:5" ht="13">
      <c r="E844" s="22"/>
    </row>
    <row r="845" spans="5:5" ht="13">
      <c r="E845" s="22"/>
    </row>
    <row r="846" spans="5:5" ht="13">
      <c r="E846" s="22"/>
    </row>
    <row r="847" spans="5:5" ht="13">
      <c r="E847" s="22"/>
    </row>
    <row r="848" spans="5:5" ht="13">
      <c r="E848" s="22"/>
    </row>
    <row r="849" spans="5:5" ht="13">
      <c r="E849" s="22"/>
    </row>
    <row r="850" spans="5:5" ht="13">
      <c r="E850" s="22"/>
    </row>
    <row r="851" spans="5:5" ht="13">
      <c r="E851" s="22"/>
    </row>
    <row r="852" spans="5:5" ht="13">
      <c r="E852" s="22"/>
    </row>
    <row r="853" spans="5:5" ht="13">
      <c r="E853" s="22"/>
    </row>
    <row r="854" spans="5:5" ht="13">
      <c r="E854" s="22"/>
    </row>
    <row r="855" spans="5:5" ht="13">
      <c r="E855" s="22"/>
    </row>
    <row r="856" spans="5:5" ht="13">
      <c r="E856" s="22"/>
    </row>
    <row r="857" spans="5:5" ht="13">
      <c r="E857" s="22"/>
    </row>
    <row r="858" spans="5:5" ht="13">
      <c r="E858" s="22"/>
    </row>
    <row r="859" spans="5:5" ht="13">
      <c r="E859" s="22"/>
    </row>
    <row r="860" spans="5:5" ht="13">
      <c r="E860" s="22"/>
    </row>
    <row r="861" spans="5:5" ht="13">
      <c r="E861" s="22"/>
    </row>
    <row r="862" spans="5:5" ht="13">
      <c r="E862" s="22"/>
    </row>
    <row r="863" spans="5:5" ht="13">
      <c r="E863" s="22"/>
    </row>
    <row r="864" spans="5:5" ht="13">
      <c r="E864" s="22"/>
    </row>
    <row r="865" spans="5:5" ht="13">
      <c r="E865" s="22"/>
    </row>
    <row r="866" spans="5:5" ht="13">
      <c r="E866" s="22"/>
    </row>
    <row r="867" spans="5:5" ht="13">
      <c r="E867" s="22"/>
    </row>
    <row r="868" spans="5:5" ht="13">
      <c r="E868" s="22"/>
    </row>
    <row r="869" spans="5:5" ht="13">
      <c r="E869" s="22"/>
    </row>
    <row r="870" spans="5:5" ht="13">
      <c r="E870" s="22"/>
    </row>
    <row r="871" spans="5:5" ht="13">
      <c r="E871" s="22"/>
    </row>
    <row r="872" spans="5:5" ht="13">
      <c r="E872" s="22"/>
    </row>
    <row r="873" spans="5:5" ht="13">
      <c r="E873" s="22"/>
    </row>
    <row r="874" spans="5:5" ht="13">
      <c r="E874" s="22"/>
    </row>
    <row r="875" spans="5:5" ht="13">
      <c r="E875" s="22"/>
    </row>
    <row r="876" spans="5:5" ht="13">
      <c r="E876" s="22"/>
    </row>
    <row r="877" spans="5:5" ht="13">
      <c r="E877" s="22"/>
    </row>
    <row r="878" spans="5:5" ht="13">
      <c r="E878" s="22"/>
    </row>
    <row r="879" spans="5:5" ht="13">
      <c r="E879" s="22"/>
    </row>
    <row r="880" spans="5:5" ht="13">
      <c r="E880" s="22"/>
    </row>
    <row r="881" spans="5:5" ht="13">
      <c r="E881" s="22"/>
    </row>
    <row r="882" spans="5:5" ht="13">
      <c r="E882" s="22"/>
    </row>
    <row r="883" spans="5:5" ht="13">
      <c r="E883" s="22"/>
    </row>
    <row r="884" spans="5:5" ht="13">
      <c r="E884" s="22"/>
    </row>
    <row r="885" spans="5:5" ht="13">
      <c r="E885" s="22"/>
    </row>
    <row r="886" spans="5:5" ht="13">
      <c r="E886" s="22"/>
    </row>
    <row r="887" spans="5:5" ht="13">
      <c r="E887" s="22"/>
    </row>
    <row r="888" spans="5:5" ht="13">
      <c r="E888" s="22"/>
    </row>
    <row r="889" spans="5:5" ht="13">
      <c r="E889" s="22"/>
    </row>
    <row r="890" spans="5:5" ht="13">
      <c r="E890" s="22"/>
    </row>
    <row r="891" spans="5:5" ht="13">
      <c r="E891" s="22"/>
    </row>
    <row r="892" spans="5:5" ht="13">
      <c r="E892" s="22"/>
    </row>
    <row r="893" spans="5:5" ht="13">
      <c r="E893" s="22"/>
    </row>
    <row r="894" spans="5:5" ht="13">
      <c r="E894" s="22"/>
    </row>
    <row r="895" spans="5:5" ht="13">
      <c r="E895" s="22"/>
    </row>
    <row r="896" spans="5:5" ht="13">
      <c r="E896" s="22"/>
    </row>
    <row r="897" spans="5:5" ht="13">
      <c r="E897" s="22"/>
    </row>
    <row r="898" spans="5:5" ht="13">
      <c r="E898" s="22"/>
    </row>
    <row r="899" spans="5:5" ht="13">
      <c r="E899" s="22"/>
    </row>
    <row r="900" spans="5:5" ht="13">
      <c r="E900" s="22"/>
    </row>
    <row r="901" spans="5:5" ht="13">
      <c r="E901" s="22"/>
    </row>
    <row r="902" spans="5:5" ht="13">
      <c r="E902" s="22"/>
    </row>
    <row r="903" spans="5:5" ht="13">
      <c r="E903" s="22"/>
    </row>
    <row r="904" spans="5:5" ht="13">
      <c r="E904" s="22"/>
    </row>
    <row r="905" spans="5:5" ht="13">
      <c r="E905" s="22"/>
    </row>
    <row r="906" spans="5:5" ht="13">
      <c r="E906" s="22"/>
    </row>
    <row r="907" spans="5:5" ht="13">
      <c r="E907" s="22"/>
    </row>
    <row r="908" spans="5:5" ht="13">
      <c r="E908" s="22"/>
    </row>
    <row r="909" spans="5:5" ht="13">
      <c r="E909" s="22"/>
    </row>
    <row r="910" spans="5:5" ht="13">
      <c r="E910" s="22"/>
    </row>
    <row r="911" spans="5:5" ht="13">
      <c r="E911" s="22"/>
    </row>
    <row r="912" spans="5:5" ht="13">
      <c r="E912" s="22"/>
    </row>
    <row r="913" spans="5:5" ht="13">
      <c r="E913" s="22"/>
    </row>
    <row r="914" spans="5:5" ht="13">
      <c r="E914" s="22"/>
    </row>
    <row r="915" spans="5:5" ht="13">
      <c r="E915" s="22"/>
    </row>
    <row r="916" spans="5:5" ht="13">
      <c r="E916" s="22"/>
    </row>
    <row r="917" spans="5:5" ht="13">
      <c r="E917" s="22"/>
    </row>
    <row r="918" spans="5:5" ht="13">
      <c r="E918" s="22"/>
    </row>
    <row r="919" spans="5:5" ht="13">
      <c r="E919" s="22"/>
    </row>
    <row r="920" spans="5:5" ht="13">
      <c r="E920" s="22"/>
    </row>
    <row r="921" spans="5:5" ht="13">
      <c r="E921" s="22"/>
    </row>
    <row r="922" spans="5:5" ht="13">
      <c r="E922" s="22"/>
    </row>
    <row r="923" spans="5:5" ht="13">
      <c r="E923" s="22"/>
    </row>
    <row r="924" spans="5:5" ht="13">
      <c r="E924" s="22"/>
    </row>
    <row r="925" spans="5:5" ht="13">
      <c r="E925" s="22"/>
    </row>
    <row r="926" spans="5:5" ht="13">
      <c r="E926" s="22"/>
    </row>
    <row r="927" spans="5:5" ht="13">
      <c r="E927" s="22"/>
    </row>
    <row r="928" spans="5:5" ht="13">
      <c r="E928" s="22"/>
    </row>
    <row r="929" spans="5:5" ht="13">
      <c r="E929" s="22"/>
    </row>
    <row r="930" spans="5:5" ht="13">
      <c r="E930" s="22"/>
    </row>
    <row r="931" spans="5:5" ht="13">
      <c r="E931" s="22"/>
    </row>
    <row r="932" spans="5:5" ht="13">
      <c r="E932" s="22"/>
    </row>
    <row r="933" spans="5:5" ht="13">
      <c r="E933" s="22"/>
    </row>
    <row r="934" spans="5:5" ht="13">
      <c r="E934" s="22"/>
    </row>
    <row r="935" spans="5:5" ht="13">
      <c r="E935" s="22"/>
    </row>
    <row r="936" spans="5:5" ht="13">
      <c r="E936" s="22"/>
    </row>
    <row r="937" spans="5:5" ht="13">
      <c r="E937" s="22"/>
    </row>
    <row r="938" spans="5:5" ht="13">
      <c r="E938" s="22"/>
    </row>
    <row r="939" spans="5:5" ht="13">
      <c r="E939" s="22"/>
    </row>
    <row r="940" spans="5:5" ht="13">
      <c r="E940" s="22"/>
    </row>
    <row r="941" spans="5:5" ht="13">
      <c r="E941" s="22"/>
    </row>
    <row r="942" spans="5:5" ht="13">
      <c r="E942" s="22"/>
    </row>
    <row r="943" spans="5:5" ht="13">
      <c r="E943" s="22"/>
    </row>
    <row r="944" spans="5:5" ht="13">
      <c r="E944" s="22"/>
    </row>
    <row r="945" spans="5:5" ht="13">
      <c r="E945" s="22"/>
    </row>
    <row r="946" spans="5:5" ht="13">
      <c r="E946" s="22"/>
    </row>
    <row r="947" spans="5:5" ht="13">
      <c r="E947" s="22"/>
    </row>
    <row r="948" spans="5:5" ht="13">
      <c r="E948" s="22"/>
    </row>
    <row r="949" spans="5:5" ht="13">
      <c r="E949" s="22"/>
    </row>
    <row r="950" spans="5:5" ht="13">
      <c r="E950" s="22"/>
    </row>
    <row r="951" spans="5:5" ht="13">
      <c r="E951" s="22"/>
    </row>
    <row r="952" spans="5:5" ht="13">
      <c r="E952" s="22"/>
    </row>
    <row r="953" spans="5:5" ht="13">
      <c r="E953" s="22"/>
    </row>
    <row r="954" spans="5:5" ht="13">
      <c r="E954" s="22"/>
    </row>
    <row r="955" spans="5:5" ht="13">
      <c r="E955" s="22"/>
    </row>
    <row r="956" spans="5:5" ht="13">
      <c r="E956" s="22"/>
    </row>
    <row r="957" spans="5:5" ht="13">
      <c r="E957" s="22"/>
    </row>
    <row r="958" spans="5:5" ht="13">
      <c r="E958" s="22"/>
    </row>
    <row r="959" spans="5:5" ht="13">
      <c r="E959" s="22"/>
    </row>
    <row r="960" spans="5:5" ht="13">
      <c r="E960" s="22"/>
    </row>
    <row r="961" spans="5:5" ht="13">
      <c r="E961" s="22"/>
    </row>
    <row r="962" spans="5:5" ht="13">
      <c r="E962" s="22"/>
    </row>
    <row r="963" spans="5:5" ht="13">
      <c r="E963" s="22"/>
    </row>
    <row r="964" spans="5:5" ht="13">
      <c r="E964" s="22"/>
    </row>
    <row r="965" spans="5:5" ht="13">
      <c r="E965" s="22"/>
    </row>
    <row r="966" spans="5:5" ht="13">
      <c r="E966" s="22"/>
    </row>
    <row r="967" spans="5:5" ht="13">
      <c r="E967" s="22"/>
    </row>
    <row r="968" spans="5:5" ht="13">
      <c r="E968" s="22"/>
    </row>
    <row r="969" spans="5:5" ht="13">
      <c r="E969" s="22"/>
    </row>
    <row r="970" spans="5:5" ht="13">
      <c r="E970" s="22"/>
    </row>
    <row r="971" spans="5:5" ht="13">
      <c r="E971" s="22"/>
    </row>
    <row r="972" spans="5:5" ht="13">
      <c r="E972" s="22"/>
    </row>
    <row r="973" spans="5:5" ht="13">
      <c r="E973" s="22"/>
    </row>
    <row r="974" spans="5:5" ht="13">
      <c r="E974" s="22"/>
    </row>
    <row r="975" spans="5:5" ht="13">
      <c r="E975" s="22"/>
    </row>
    <row r="976" spans="5:5" ht="13">
      <c r="E976" s="22"/>
    </row>
    <row r="977" spans="5:5" ht="13">
      <c r="E977" s="22"/>
    </row>
    <row r="978" spans="5:5" ht="13">
      <c r="E978" s="22"/>
    </row>
    <row r="979" spans="5:5" ht="13">
      <c r="E979" s="22"/>
    </row>
    <row r="980" spans="5:5" ht="13">
      <c r="E980" s="22"/>
    </row>
    <row r="981" spans="5:5" ht="13">
      <c r="E981" s="22"/>
    </row>
    <row r="982" spans="5:5" ht="13">
      <c r="E982" s="22"/>
    </row>
    <row r="983" spans="5:5" ht="13">
      <c r="E983" s="22"/>
    </row>
    <row r="984" spans="5:5" ht="13">
      <c r="E984" s="22"/>
    </row>
    <row r="985" spans="5:5" ht="13">
      <c r="E985" s="22"/>
    </row>
    <row r="986" spans="5:5" ht="13">
      <c r="E986" s="22"/>
    </row>
    <row r="987" spans="5:5" ht="13">
      <c r="E987" s="22"/>
    </row>
    <row r="988" spans="5:5" ht="13">
      <c r="E988" s="22"/>
    </row>
    <row r="989" spans="5:5" ht="13">
      <c r="E989" s="22"/>
    </row>
    <row r="990" spans="5:5" ht="13">
      <c r="E990" s="22"/>
    </row>
    <row r="991" spans="5:5" ht="13">
      <c r="E991" s="22"/>
    </row>
    <row r="992" spans="5:5" ht="13">
      <c r="E992" s="22"/>
    </row>
    <row r="993" spans="5:5" ht="13">
      <c r="E993" s="22"/>
    </row>
    <row r="994" spans="5:5" ht="13">
      <c r="E994" s="22"/>
    </row>
    <row r="995" spans="5:5" ht="13">
      <c r="E995" s="22"/>
    </row>
    <row r="996" spans="5:5" ht="13">
      <c r="E996" s="22"/>
    </row>
    <row r="997" spans="5:5" ht="13">
      <c r="E997" s="22"/>
    </row>
    <row r="998" spans="5:5" ht="13">
      <c r="E99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FacAnual</vt:lpstr>
      <vt:lpstr>Facturacion</vt:lpstr>
      <vt:lpstr>Irae</vt:lpstr>
      <vt:lpstr>Gastos</vt:lpstr>
      <vt:lpstr>CtaCteMN</vt:lpstr>
      <vt:lpstr>CtaCteUSS</vt:lpstr>
      <vt:lpstr>CertificadosFinal</vt:lpstr>
      <vt:lpstr>Prestamos</vt:lpstr>
      <vt:lpstr>APagar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Vazquez</cp:lastModifiedBy>
  <dcterms:modified xsi:type="dcterms:W3CDTF">2025-11-01T16:19:43Z</dcterms:modified>
</cp:coreProperties>
</file>